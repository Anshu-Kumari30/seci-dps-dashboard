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FY26-27/May 26/"/>
    </mc:Choice>
  </mc:AlternateContent>
  <xr:revisionPtr revIDLastSave="0" documentId="13_ncr:1_{A1687EF8-B170-D44C-A620-00BA49F587D5}" xr6:coauthVersionLast="47" xr6:coauthVersionMax="47" xr10:uidLastSave="{00000000-0000-0000-0000-000000000000}"/>
  <bookViews>
    <workbookView xWindow="0" yWindow="660" windowWidth="14720" windowHeight="169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Sheet1!$A$1:$L$1343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43" i="1" l="1"/>
  <c r="H1310" i="1"/>
  <c r="J1310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2" i="1"/>
  <c r="H945" i="1"/>
  <c r="H733" i="1"/>
  <c r="H580" i="1"/>
  <c r="H367" i="1"/>
  <c r="H214" i="1"/>
  <c r="H2" i="1"/>
  <c r="H3" i="1" s="1"/>
  <c r="J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2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D812" i="1"/>
  <c r="B812" i="1"/>
  <c r="B811" i="1"/>
  <c r="B810" i="1"/>
  <c r="D809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D793" i="1"/>
  <c r="B793" i="1"/>
  <c r="B792" i="1"/>
  <c r="B791" i="1"/>
  <c r="B790" i="1"/>
  <c r="B789" i="1"/>
  <c r="B788" i="1"/>
  <c r="B787" i="1"/>
  <c r="B786" i="1"/>
  <c r="B785" i="1"/>
  <c r="D784" i="1"/>
  <c r="B784" i="1"/>
  <c r="B783" i="1"/>
  <c r="D782" i="1"/>
  <c r="B782" i="1"/>
  <c r="B781" i="1"/>
  <c r="B780" i="1"/>
  <c r="D779" i="1"/>
  <c r="B779" i="1"/>
  <c r="B778" i="1"/>
  <c r="B777" i="1"/>
  <c r="B776" i="1"/>
  <c r="B775" i="1"/>
  <c r="B774" i="1"/>
  <c r="B773" i="1"/>
  <c r="B772" i="1"/>
  <c r="B771" i="1"/>
  <c r="D770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D744" i="1"/>
  <c r="B744" i="1"/>
  <c r="B743" i="1"/>
  <c r="B742" i="1"/>
  <c r="B741" i="1"/>
  <c r="D740" i="1"/>
  <c r="B740" i="1"/>
  <c r="B739" i="1"/>
  <c r="D738" i="1"/>
  <c r="B738" i="1"/>
  <c r="D737" i="1"/>
  <c r="B737" i="1"/>
  <c r="D736" i="1"/>
  <c r="B736" i="1"/>
  <c r="B735" i="1"/>
  <c r="B734" i="1"/>
  <c r="B733" i="1"/>
  <c r="B732" i="1"/>
  <c r="B731" i="1"/>
  <c r="B730" i="1"/>
  <c r="B729" i="1"/>
  <c r="B728" i="1"/>
  <c r="B727" i="1"/>
  <c r="D726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D251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H1311" i="1" l="1"/>
  <c r="J367" i="1"/>
  <c r="J214" i="1"/>
  <c r="J2" i="1"/>
  <c r="J580" i="1"/>
  <c r="H734" i="1"/>
  <c r="J734" i="1" s="1"/>
  <c r="J733" i="1"/>
  <c r="J945" i="1"/>
  <c r="H4" i="1"/>
  <c r="J4" i="1" s="1"/>
  <c r="H946" i="1"/>
  <c r="J946" i="1" s="1"/>
  <c r="H581" i="1"/>
  <c r="J581" i="1" s="1"/>
  <c r="H368" i="1"/>
  <c r="J368" i="1" s="1"/>
  <c r="H215" i="1"/>
  <c r="J215" i="1" s="1"/>
  <c r="J1311" i="1" l="1"/>
  <c r="H1312" i="1"/>
  <c r="H735" i="1"/>
  <c r="J735" i="1" s="1"/>
  <c r="H216" i="1"/>
  <c r="J216" i="1" s="1"/>
  <c r="H582" i="1"/>
  <c r="J582" i="1" s="1"/>
  <c r="H947" i="1"/>
  <c r="J947" i="1" s="1"/>
  <c r="H736" i="1"/>
  <c r="J736" i="1" s="1"/>
  <c r="H369" i="1"/>
  <c r="J369" i="1" s="1"/>
  <c r="H5" i="1"/>
  <c r="J5" i="1" s="1"/>
  <c r="H1313" i="1" l="1"/>
  <c r="J1312" i="1"/>
  <c r="H370" i="1"/>
  <c r="J370" i="1" s="1"/>
  <c r="H583" i="1"/>
  <c r="J583" i="1" s="1"/>
  <c r="H737" i="1"/>
  <c r="J737" i="1" s="1"/>
  <c r="H948" i="1"/>
  <c r="J948" i="1" s="1"/>
  <c r="H6" i="1"/>
  <c r="J6" i="1" s="1"/>
  <c r="H217" i="1"/>
  <c r="J217" i="1" s="1"/>
  <c r="H1314" i="1" l="1"/>
  <c r="J1313" i="1"/>
  <c r="H7" i="1"/>
  <c r="J7" i="1" s="1"/>
  <c r="H949" i="1"/>
  <c r="J949" i="1" s="1"/>
  <c r="H738" i="1"/>
  <c r="J738" i="1" s="1"/>
  <c r="H584" i="1"/>
  <c r="J584" i="1" s="1"/>
  <c r="H218" i="1"/>
  <c r="J218" i="1" s="1"/>
  <c r="H371" i="1"/>
  <c r="J371" i="1" s="1"/>
  <c r="H1315" i="1" l="1"/>
  <c r="J1314" i="1"/>
  <c r="H219" i="1"/>
  <c r="J219" i="1" s="1"/>
  <c r="H585" i="1"/>
  <c r="J585" i="1" s="1"/>
  <c r="H739" i="1"/>
  <c r="J739" i="1" s="1"/>
  <c r="H950" i="1"/>
  <c r="J950" i="1" s="1"/>
  <c r="H372" i="1"/>
  <c r="J372" i="1" s="1"/>
  <c r="H8" i="1"/>
  <c r="J8" i="1" s="1"/>
  <c r="H1316" i="1" l="1"/>
  <c r="J1315" i="1"/>
  <c r="H373" i="1"/>
  <c r="J373" i="1" s="1"/>
  <c r="H951" i="1"/>
  <c r="J951" i="1" s="1"/>
  <c r="H740" i="1"/>
  <c r="J740" i="1" s="1"/>
  <c r="H586" i="1"/>
  <c r="J586" i="1" s="1"/>
  <c r="H9" i="1"/>
  <c r="J9" i="1" s="1"/>
  <c r="H220" i="1"/>
  <c r="J220" i="1" s="1"/>
  <c r="H1317" i="1" l="1"/>
  <c r="J1316" i="1"/>
  <c r="H10" i="1"/>
  <c r="J10" i="1" s="1"/>
  <c r="H587" i="1"/>
  <c r="J587" i="1" s="1"/>
  <c r="H741" i="1"/>
  <c r="J741" i="1" s="1"/>
  <c r="H374" i="1"/>
  <c r="J374" i="1" s="1"/>
  <c r="H952" i="1"/>
  <c r="J952" i="1" s="1"/>
  <c r="H221" i="1"/>
  <c r="J221" i="1" s="1"/>
  <c r="H1318" i="1" l="1"/>
  <c r="J1317" i="1"/>
  <c r="H953" i="1"/>
  <c r="J953" i="1" s="1"/>
  <c r="H375" i="1"/>
  <c r="J375" i="1" s="1"/>
  <c r="H588" i="1"/>
  <c r="J588" i="1" s="1"/>
  <c r="H742" i="1"/>
  <c r="J742" i="1" s="1"/>
  <c r="H222" i="1"/>
  <c r="J222" i="1" s="1"/>
  <c r="H11" i="1"/>
  <c r="J11" i="1" s="1"/>
  <c r="H1319" i="1" l="1"/>
  <c r="J1318" i="1"/>
  <c r="H376" i="1"/>
  <c r="J376" i="1" s="1"/>
  <c r="H589" i="1"/>
  <c r="J589" i="1" s="1"/>
  <c r="H223" i="1"/>
  <c r="J223" i="1" s="1"/>
  <c r="H743" i="1"/>
  <c r="J743" i="1" s="1"/>
  <c r="H12" i="1"/>
  <c r="J12" i="1" s="1"/>
  <c r="H954" i="1"/>
  <c r="J954" i="1" s="1"/>
  <c r="H1320" i="1" l="1"/>
  <c r="J1319" i="1"/>
  <c r="H13" i="1"/>
  <c r="J13" i="1" s="1"/>
  <c r="H744" i="1"/>
  <c r="J744" i="1" s="1"/>
  <c r="H224" i="1"/>
  <c r="J224" i="1" s="1"/>
  <c r="H590" i="1"/>
  <c r="J590" i="1" s="1"/>
  <c r="H955" i="1"/>
  <c r="J955" i="1" s="1"/>
  <c r="H377" i="1"/>
  <c r="J377" i="1" s="1"/>
  <c r="H1321" i="1" l="1"/>
  <c r="J1320" i="1"/>
  <c r="H225" i="1"/>
  <c r="J225" i="1" s="1"/>
  <c r="H956" i="1"/>
  <c r="J956" i="1" s="1"/>
  <c r="H591" i="1"/>
  <c r="J591" i="1" s="1"/>
  <c r="H745" i="1"/>
  <c r="J745" i="1" s="1"/>
  <c r="H378" i="1"/>
  <c r="J378" i="1" s="1"/>
  <c r="H14" i="1"/>
  <c r="J14" i="1" s="1"/>
  <c r="H1322" i="1" l="1"/>
  <c r="J1321" i="1"/>
  <c r="H746" i="1"/>
  <c r="J746" i="1" s="1"/>
  <c r="H592" i="1"/>
  <c r="J592" i="1" s="1"/>
  <c r="H379" i="1"/>
  <c r="J379" i="1" s="1"/>
  <c r="H957" i="1"/>
  <c r="J957" i="1" s="1"/>
  <c r="H226" i="1"/>
  <c r="J226" i="1" s="1"/>
  <c r="H15" i="1"/>
  <c r="J15" i="1" s="1"/>
  <c r="H1323" i="1" l="1"/>
  <c r="J1322" i="1"/>
  <c r="H227" i="1"/>
  <c r="J227" i="1" s="1"/>
  <c r="H958" i="1"/>
  <c r="J958" i="1" s="1"/>
  <c r="H380" i="1"/>
  <c r="J380" i="1" s="1"/>
  <c r="H593" i="1"/>
  <c r="J593" i="1" s="1"/>
  <c r="H16" i="1"/>
  <c r="J16" i="1" s="1"/>
  <c r="H747" i="1"/>
  <c r="J747" i="1" s="1"/>
  <c r="H1324" i="1" l="1"/>
  <c r="J1323" i="1"/>
  <c r="H17" i="1"/>
  <c r="J17" i="1" s="1"/>
  <c r="H594" i="1"/>
  <c r="J594" i="1" s="1"/>
  <c r="H381" i="1"/>
  <c r="J381" i="1" s="1"/>
  <c r="H959" i="1"/>
  <c r="J959" i="1" s="1"/>
  <c r="H228" i="1"/>
  <c r="J228" i="1" s="1"/>
  <c r="H748" i="1"/>
  <c r="J748" i="1" s="1"/>
  <c r="H1325" i="1" l="1"/>
  <c r="J1324" i="1"/>
  <c r="H229" i="1"/>
  <c r="J229" i="1" s="1"/>
  <c r="H960" i="1"/>
  <c r="J960" i="1" s="1"/>
  <c r="H382" i="1"/>
  <c r="J382" i="1" s="1"/>
  <c r="H595" i="1"/>
  <c r="J595" i="1" s="1"/>
  <c r="H749" i="1"/>
  <c r="J749" i="1" s="1"/>
  <c r="H18" i="1"/>
  <c r="J18" i="1" s="1"/>
  <c r="H1326" i="1" l="1"/>
  <c r="J1325" i="1"/>
  <c r="H750" i="1"/>
  <c r="J750" i="1" s="1"/>
  <c r="H596" i="1"/>
  <c r="J596" i="1" s="1"/>
  <c r="H383" i="1"/>
  <c r="J383" i="1" s="1"/>
  <c r="H961" i="1"/>
  <c r="J961" i="1" s="1"/>
  <c r="H19" i="1"/>
  <c r="J19" i="1" s="1"/>
  <c r="H230" i="1"/>
  <c r="J230" i="1" s="1"/>
  <c r="H1327" i="1" l="1"/>
  <c r="J1326" i="1"/>
  <c r="H20" i="1"/>
  <c r="J20" i="1" s="1"/>
  <c r="H962" i="1"/>
  <c r="J962" i="1" s="1"/>
  <c r="H384" i="1"/>
  <c r="J384" i="1" s="1"/>
  <c r="H597" i="1"/>
  <c r="J597" i="1" s="1"/>
  <c r="H231" i="1"/>
  <c r="J231" i="1" s="1"/>
  <c r="H751" i="1"/>
  <c r="J751" i="1" s="1"/>
  <c r="H1328" i="1" l="1"/>
  <c r="J1327" i="1"/>
  <c r="H385" i="1"/>
  <c r="J385" i="1" s="1"/>
  <c r="H21" i="1"/>
  <c r="J21" i="1" s="1"/>
  <c r="H232" i="1"/>
  <c r="J232" i="1" s="1"/>
  <c r="H598" i="1"/>
  <c r="J598" i="1" s="1"/>
  <c r="H963" i="1"/>
  <c r="J963" i="1" s="1"/>
  <c r="H752" i="1"/>
  <c r="J752" i="1" s="1"/>
  <c r="H1329" i="1" l="1"/>
  <c r="J1328" i="1"/>
  <c r="H964" i="1"/>
  <c r="J964" i="1" s="1"/>
  <c r="H599" i="1"/>
  <c r="J599" i="1" s="1"/>
  <c r="H233" i="1"/>
  <c r="J233" i="1" s="1"/>
  <c r="H22" i="1"/>
  <c r="J22" i="1" s="1"/>
  <c r="H753" i="1"/>
  <c r="J753" i="1" s="1"/>
  <c r="H386" i="1"/>
  <c r="J386" i="1" s="1"/>
  <c r="H1330" i="1" l="1"/>
  <c r="J1329" i="1"/>
  <c r="H754" i="1"/>
  <c r="J754" i="1" s="1"/>
  <c r="H23" i="1"/>
  <c r="J23" i="1" s="1"/>
  <c r="H234" i="1"/>
  <c r="J234" i="1" s="1"/>
  <c r="H600" i="1"/>
  <c r="J600" i="1" s="1"/>
  <c r="H965" i="1"/>
  <c r="J965" i="1" s="1"/>
  <c r="H387" i="1"/>
  <c r="J387" i="1" s="1"/>
  <c r="H1331" i="1" l="1"/>
  <c r="J1330" i="1"/>
  <c r="H966" i="1"/>
  <c r="J966" i="1" s="1"/>
  <c r="H601" i="1"/>
  <c r="J601" i="1" s="1"/>
  <c r="H235" i="1"/>
  <c r="J235" i="1" s="1"/>
  <c r="H24" i="1"/>
  <c r="J24" i="1" s="1"/>
  <c r="H388" i="1"/>
  <c r="J388" i="1" s="1"/>
  <c r="H755" i="1"/>
  <c r="J755" i="1" s="1"/>
  <c r="H1332" i="1" l="1"/>
  <c r="J1331" i="1"/>
  <c r="H389" i="1"/>
  <c r="J389" i="1" s="1"/>
  <c r="H25" i="1"/>
  <c r="J25" i="1" s="1"/>
  <c r="H236" i="1"/>
  <c r="J236" i="1" s="1"/>
  <c r="H602" i="1"/>
  <c r="J602" i="1" s="1"/>
  <c r="H756" i="1"/>
  <c r="J756" i="1" s="1"/>
  <c r="H967" i="1"/>
  <c r="J967" i="1" s="1"/>
  <c r="H1333" i="1" l="1"/>
  <c r="J1332" i="1"/>
  <c r="H757" i="1"/>
  <c r="J757" i="1" s="1"/>
  <c r="H603" i="1"/>
  <c r="J603" i="1" s="1"/>
  <c r="H237" i="1"/>
  <c r="J237" i="1" s="1"/>
  <c r="H26" i="1"/>
  <c r="J26" i="1" s="1"/>
  <c r="H968" i="1"/>
  <c r="J968" i="1" s="1"/>
  <c r="H390" i="1"/>
  <c r="J390" i="1" s="1"/>
  <c r="H1334" i="1" l="1"/>
  <c r="J1333" i="1"/>
  <c r="H27" i="1"/>
  <c r="J27" i="1" s="1"/>
  <c r="H969" i="1"/>
  <c r="J969" i="1" s="1"/>
  <c r="H238" i="1"/>
  <c r="J238" i="1" s="1"/>
  <c r="H604" i="1"/>
  <c r="J604" i="1" s="1"/>
  <c r="H391" i="1"/>
  <c r="J391" i="1" s="1"/>
  <c r="H758" i="1"/>
  <c r="J758" i="1" s="1"/>
  <c r="H1335" i="1" l="1"/>
  <c r="J1334" i="1"/>
  <c r="H392" i="1"/>
  <c r="J392" i="1" s="1"/>
  <c r="H605" i="1"/>
  <c r="J605" i="1" s="1"/>
  <c r="H28" i="1"/>
  <c r="J28" i="1" s="1"/>
  <c r="H239" i="1"/>
  <c r="J239" i="1" s="1"/>
  <c r="H970" i="1"/>
  <c r="J970" i="1" s="1"/>
  <c r="H759" i="1"/>
  <c r="J759" i="1" s="1"/>
  <c r="H1336" i="1" l="1"/>
  <c r="J1335" i="1"/>
  <c r="H971" i="1"/>
  <c r="J971" i="1" s="1"/>
  <c r="H240" i="1"/>
  <c r="J240" i="1" s="1"/>
  <c r="H29" i="1"/>
  <c r="J29" i="1" s="1"/>
  <c r="H606" i="1"/>
  <c r="J606" i="1" s="1"/>
  <c r="H393" i="1"/>
  <c r="J393" i="1" s="1"/>
  <c r="H760" i="1"/>
  <c r="J760" i="1" s="1"/>
  <c r="H1337" i="1" l="1"/>
  <c r="J1336" i="1"/>
  <c r="H394" i="1"/>
  <c r="J394" i="1" s="1"/>
  <c r="H607" i="1"/>
  <c r="J607" i="1" s="1"/>
  <c r="H30" i="1"/>
  <c r="J30" i="1" s="1"/>
  <c r="H241" i="1"/>
  <c r="J241" i="1" s="1"/>
  <c r="H761" i="1"/>
  <c r="J761" i="1" s="1"/>
  <c r="H972" i="1"/>
  <c r="J972" i="1" s="1"/>
  <c r="H1338" i="1" l="1"/>
  <c r="J1337" i="1"/>
  <c r="H762" i="1"/>
  <c r="J762" i="1" s="1"/>
  <c r="H242" i="1"/>
  <c r="J242" i="1" s="1"/>
  <c r="H31" i="1"/>
  <c r="J31" i="1" s="1"/>
  <c r="H608" i="1"/>
  <c r="J608" i="1" s="1"/>
  <c r="H973" i="1"/>
  <c r="J973" i="1" s="1"/>
  <c r="H395" i="1"/>
  <c r="J395" i="1" s="1"/>
  <c r="H1339" i="1" l="1"/>
  <c r="J1338" i="1"/>
  <c r="H974" i="1"/>
  <c r="J974" i="1" s="1"/>
  <c r="H609" i="1"/>
  <c r="J609" i="1" s="1"/>
  <c r="H32" i="1"/>
  <c r="J32" i="1" s="1"/>
  <c r="H243" i="1"/>
  <c r="J243" i="1" s="1"/>
  <c r="H396" i="1"/>
  <c r="J396" i="1" s="1"/>
  <c r="H763" i="1"/>
  <c r="J763" i="1" s="1"/>
  <c r="H1340" i="1" l="1"/>
  <c r="J1339" i="1"/>
  <c r="H397" i="1"/>
  <c r="J397" i="1" s="1"/>
  <c r="H244" i="1"/>
  <c r="J244" i="1" s="1"/>
  <c r="H33" i="1"/>
  <c r="J33" i="1" s="1"/>
  <c r="H610" i="1"/>
  <c r="J610" i="1" s="1"/>
  <c r="H764" i="1"/>
  <c r="J764" i="1" s="1"/>
  <c r="H975" i="1"/>
  <c r="J975" i="1" s="1"/>
  <c r="H1341" i="1" l="1"/>
  <c r="J1340" i="1"/>
  <c r="H765" i="1"/>
  <c r="J765" i="1" s="1"/>
  <c r="H611" i="1"/>
  <c r="J611" i="1" s="1"/>
  <c r="H34" i="1"/>
  <c r="J34" i="1" s="1"/>
  <c r="H245" i="1"/>
  <c r="J245" i="1" s="1"/>
  <c r="H976" i="1"/>
  <c r="J976" i="1" s="1"/>
  <c r="H398" i="1"/>
  <c r="J398" i="1" s="1"/>
  <c r="H1342" i="1" l="1"/>
  <c r="J1341" i="1"/>
  <c r="H35" i="1"/>
  <c r="J35" i="1" s="1"/>
  <c r="H977" i="1"/>
  <c r="J977" i="1" s="1"/>
  <c r="H246" i="1"/>
  <c r="J246" i="1" s="1"/>
  <c r="H612" i="1"/>
  <c r="J612" i="1" s="1"/>
  <c r="H399" i="1"/>
  <c r="J399" i="1" s="1"/>
  <c r="H766" i="1"/>
  <c r="J766" i="1" s="1"/>
  <c r="H1343" i="1" l="1"/>
  <c r="J1343" i="1" s="1"/>
  <c r="J1342" i="1"/>
  <c r="H247" i="1"/>
  <c r="J247" i="1" s="1"/>
  <c r="H767" i="1"/>
  <c r="J767" i="1" s="1"/>
  <c r="H400" i="1"/>
  <c r="J400" i="1" s="1"/>
  <c r="H613" i="1"/>
  <c r="J613" i="1" s="1"/>
  <c r="H978" i="1"/>
  <c r="J978" i="1" s="1"/>
  <c r="H36" i="1"/>
  <c r="J36" i="1" s="1"/>
  <c r="H979" i="1" l="1"/>
  <c r="J979" i="1" s="1"/>
  <c r="H614" i="1"/>
  <c r="J614" i="1" s="1"/>
  <c r="H401" i="1"/>
  <c r="J401" i="1" s="1"/>
  <c r="H768" i="1"/>
  <c r="J768" i="1" s="1"/>
  <c r="H37" i="1"/>
  <c r="J37" i="1" s="1"/>
  <c r="H248" i="1"/>
  <c r="J248" i="1" s="1"/>
  <c r="H38" i="1" l="1"/>
  <c r="J38" i="1" s="1"/>
  <c r="H402" i="1"/>
  <c r="J402" i="1" s="1"/>
  <c r="H769" i="1"/>
  <c r="J769" i="1" s="1"/>
  <c r="H615" i="1"/>
  <c r="J615" i="1" s="1"/>
  <c r="H249" i="1"/>
  <c r="J249" i="1" s="1"/>
  <c r="H980" i="1"/>
  <c r="J980" i="1" s="1"/>
  <c r="H616" i="1" l="1"/>
  <c r="J616" i="1" s="1"/>
  <c r="H250" i="1"/>
  <c r="J250" i="1" s="1"/>
  <c r="H770" i="1"/>
  <c r="J770" i="1" s="1"/>
  <c r="H403" i="1"/>
  <c r="J403" i="1" s="1"/>
  <c r="H981" i="1"/>
  <c r="J981" i="1" s="1"/>
  <c r="H39" i="1"/>
  <c r="J39" i="1" s="1"/>
  <c r="H982" i="1" l="1"/>
  <c r="J982" i="1" s="1"/>
  <c r="H404" i="1"/>
  <c r="J404" i="1" s="1"/>
  <c r="H771" i="1"/>
  <c r="J771" i="1" s="1"/>
  <c r="H251" i="1"/>
  <c r="J251" i="1" s="1"/>
  <c r="H40" i="1"/>
  <c r="J40" i="1" s="1"/>
  <c r="H617" i="1"/>
  <c r="J617" i="1" s="1"/>
  <c r="H41" i="1" l="1"/>
  <c r="J41" i="1" s="1"/>
  <c r="H252" i="1"/>
  <c r="J252" i="1" s="1"/>
  <c r="H772" i="1"/>
  <c r="J772" i="1" s="1"/>
  <c r="H405" i="1"/>
  <c r="J405" i="1" s="1"/>
  <c r="H618" i="1"/>
  <c r="J618" i="1" s="1"/>
  <c r="H983" i="1"/>
  <c r="J983" i="1" s="1"/>
  <c r="H619" i="1" l="1"/>
  <c r="J619" i="1" s="1"/>
  <c r="H406" i="1"/>
  <c r="J406" i="1" s="1"/>
  <c r="H773" i="1"/>
  <c r="J773" i="1" s="1"/>
  <c r="H253" i="1"/>
  <c r="J253" i="1" s="1"/>
  <c r="H984" i="1"/>
  <c r="J984" i="1" s="1"/>
  <c r="H42" i="1"/>
  <c r="J42" i="1" s="1"/>
  <c r="H985" i="1" l="1"/>
  <c r="J985" i="1" s="1"/>
  <c r="H254" i="1"/>
  <c r="J254" i="1" s="1"/>
  <c r="H774" i="1"/>
  <c r="J774" i="1" s="1"/>
  <c r="H407" i="1"/>
  <c r="J407" i="1" s="1"/>
  <c r="H43" i="1"/>
  <c r="J43" i="1" s="1"/>
  <c r="H620" i="1"/>
  <c r="J620" i="1" s="1"/>
  <c r="H44" i="1" l="1"/>
  <c r="J44" i="1" s="1"/>
  <c r="H408" i="1"/>
  <c r="J408" i="1" s="1"/>
  <c r="H255" i="1"/>
  <c r="J255" i="1" s="1"/>
  <c r="H775" i="1"/>
  <c r="J775" i="1" s="1"/>
  <c r="H621" i="1"/>
  <c r="J621" i="1" s="1"/>
  <c r="H986" i="1"/>
  <c r="J986" i="1" s="1"/>
  <c r="H622" i="1" l="1"/>
  <c r="J622" i="1" s="1"/>
  <c r="H776" i="1"/>
  <c r="J776" i="1" s="1"/>
  <c r="H256" i="1"/>
  <c r="J256" i="1" s="1"/>
  <c r="H409" i="1"/>
  <c r="J409" i="1" s="1"/>
  <c r="H987" i="1"/>
  <c r="J987" i="1" s="1"/>
  <c r="H45" i="1"/>
  <c r="J45" i="1" s="1"/>
  <c r="H988" i="1" l="1"/>
  <c r="J988" i="1" s="1"/>
  <c r="H410" i="1"/>
  <c r="J410" i="1" s="1"/>
  <c r="H257" i="1"/>
  <c r="J257" i="1" s="1"/>
  <c r="H777" i="1"/>
  <c r="J777" i="1" s="1"/>
  <c r="H623" i="1"/>
  <c r="J623" i="1" s="1"/>
  <c r="H46" i="1"/>
  <c r="J46" i="1" s="1"/>
  <c r="H624" i="1" l="1"/>
  <c r="J624" i="1" s="1"/>
  <c r="H778" i="1"/>
  <c r="J778" i="1" s="1"/>
  <c r="H47" i="1"/>
  <c r="J47" i="1" s="1"/>
  <c r="H258" i="1"/>
  <c r="J258" i="1" s="1"/>
  <c r="H411" i="1"/>
  <c r="J411" i="1" s="1"/>
  <c r="H989" i="1"/>
  <c r="J989" i="1" s="1"/>
  <c r="H412" i="1" l="1"/>
  <c r="J412" i="1" s="1"/>
  <c r="H259" i="1"/>
  <c r="J259" i="1" s="1"/>
  <c r="H48" i="1"/>
  <c r="J48" i="1" s="1"/>
  <c r="H779" i="1"/>
  <c r="J779" i="1" s="1"/>
  <c r="H990" i="1"/>
  <c r="J990" i="1" s="1"/>
  <c r="H625" i="1"/>
  <c r="J625" i="1" s="1"/>
  <c r="H991" i="1" l="1"/>
  <c r="J991" i="1" s="1"/>
  <c r="H780" i="1"/>
  <c r="J780" i="1" s="1"/>
  <c r="H49" i="1"/>
  <c r="J49" i="1" s="1"/>
  <c r="H260" i="1"/>
  <c r="J260" i="1" s="1"/>
  <c r="H626" i="1"/>
  <c r="J626" i="1" s="1"/>
  <c r="H413" i="1"/>
  <c r="J413" i="1" s="1"/>
  <c r="H627" i="1" l="1"/>
  <c r="J627" i="1" s="1"/>
  <c r="H261" i="1"/>
  <c r="J261" i="1" s="1"/>
  <c r="H50" i="1"/>
  <c r="J50" i="1" s="1"/>
  <c r="H781" i="1"/>
  <c r="J781" i="1" s="1"/>
  <c r="H414" i="1"/>
  <c r="J414" i="1" s="1"/>
  <c r="H992" i="1"/>
  <c r="J992" i="1" s="1"/>
  <c r="H415" i="1" l="1"/>
  <c r="J415" i="1" s="1"/>
  <c r="H782" i="1"/>
  <c r="J782" i="1" s="1"/>
  <c r="H51" i="1"/>
  <c r="J51" i="1" s="1"/>
  <c r="H262" i="1"/>
  <c r="J262" i="1" s="1"/>
  <c r="H993" i="1"/>
  <c r="J993" i="1" s="1"/>
  <c r="H628" i="1"/>
  <c r="J628" i="1" s="1"/>
  <c r="H994" i="1" l="1"/>
  <c r="J994" i="1" s="1"/>
  <c r="H263" i="1"/>
  <c r="J263" i="1" s="1"/>
  <c r="H52" i="1"/>
  <c r="J52" i="1" s="1"/>
  <c r="H783" i="1"/>
  <c r="J783" i="1" s="1"/>
  <c r="H416" i="1"/>
  <c r="J416" i="1" s="1"/>
  <c r="H629" i="1"/>
  <c r="J629" i="1" s="1"/>
  <c r="H417" i="1" l="1"/>
  <c r="J417" i="1" s="1"/>
  <c r="H784" i="1"/>
  <c r="J784" i="1" s="1"/>
  <c r="H53" i="1"/>
  <c r="J53" i="1" s="1"/>
  <c r="H264" i="1"/>
  <c r="J264" i="1" s="1"/>
  <c r="H995" i="1"/>
  <c r="J995" i="1" s="1"/>
  <c r="H630" i="1"/>
  <c r="J630" i="1" s="1"/>
  <c r="H996" i="1" l="1"/>
  <c r="J996" i="1" s="1"/>
  <c r="H265" i="1"/>
  <c r="J265" i="1" s="1"/>
  <c r="H54" i="1"/>
  <c r="J54" i="1" s="1"/>
  <c r="H785" i="1"/>
  <c r="J785" i="1" s="1"/>
  <c r="H631" i="1"/>
  <c r="J631" i="1" s="1"/>
  <c r="H418" i="1"/>
  <c r="J418" i="1" s="1"/>
  <c r="H632" i="1" l="1"/>
  <c r="J632" i="1" s="1"/>
  <c r="H786" i="1"/>
  <c r="J786" i="1" s="1"/>
  <c r="H55" i="1"/>
  <c r="J55" i="1" s="1"/>
  <c r="H266" i="1"/>
  <c r="J266" i="1" s="1"/>
  <c r="H419" i="1"/>
  <c r="J419" i="1" s="1"/>
  <c r="H997" i="1"/>
  <c r="J997" i="1" s="1"/>
  <c r="H420" i="1" l="1"/>
  <c r="J420" i="1" s="1"/>
  <c r="H267" i="1"/>
  <c r="J267" i="1" s="1"/>
  <c r="H56" i="1"/>
  <c r="J56" i="1" s="1"/>
  <c r="H787" i="1"/>
  <c r="J787" i="1" s="1"/>
  <c r="H633" i="1"/>
  <c r="J633" i="1" s="1"/>
  <c r="H998" i="1"/>
  <c r="J998" i="1" s="1"/>
  <c r="H634" i="1" l="1"/>
  <c r="J634" i="1" s="1"/>
  <c r="H788" i="1"/>
  <c r="J788" i="1" s="1"/>
  <c r="H57" i="1"/>
  <c r="J57" i="1" s="1"/>
  <c r="H268" i="1"/>
  <c r="J268" i="1" s="1"/>
  <c r="H999" i="1"/>
  <c r="J999" i="1" s="1"/>
  <c r="H421" i="1"/>
  <c r="J421" i="1" s="1"/>
  <c r="H1000" i="1" l="1"/>
  <c r="J1000" i="1" s="1"/>
  <c r="H269" i="1"/>
  <c r="J269" i="1" s="1"/>
  <c r="H58" i="1"/>
  <c r="J58" i="1" s="1"/>
  <c r="H789" i="1"/>
  <c r="J789" i="1" s="1"/>
  <c r="H422" i="1"/>
  <c r="J422" i="1" s="1"/>
  <c r="H635" i="1"/>
  <c r="J635" i="1" s="1"/>
  <c r="H423" i="1" l="1"/>
  <c r="J423" i="1" s="1"/>
  <c r="H790" i="1"/>
  <c r="J790" i="1" s="1"/>
  <c r="H270" i="1"/>
  <c r="J270" i="1" s="1"/>
  <c r="H636" i="1"/>
  <c r="J636" i="1" s="1"/>
  <c r="H1001" i="1"/>
  <c r="J1001" i="1" s="1"/>
  <c r="H59" i="1"/>
  <c r="J59" i="1" s="1"/>
  <c r="H271" i="1" l="1"/>
  <c r="J271" i="1" s="1"/>
  <c r="H1002" i="1"/>
  <c r="J1002" i="1" s="1"/>
  <c r="H637" i="1"/>
  <c r="J637" i="1" s="1"/>
  <c r="H424" i="1"/>
  <c r="J424" i="1" s="1"/>
  <c r="H791" i="1"/>
  <c r="J791" i="1" s="1"/>
  <c r="H60" i="1"/>
  <c r="J60" i="1" s="1"/>
  <c r="H792" i="1" l="1"/>
  <c r="J792" i="1" s="1"/>
  <c r="H425" i="1"/>
  <c r="J425" i="1" s="1"/>
  <c r="H638" i="1"/>
  <c r="J638" i="1" s="1"/>
  <c r="H1003" i="1"/>
  <c r="J1003" i="1" s="1"/>
  <c r="H272" i="1"/>
  <c r="J272" i="1" s="1"/>
  <c r="H61" i="1"/>
  <c r="J61" i="1" s="1"/>
  <c r="H639" i="1" l="1"/>
  <c r="J639" i="1" s="1"/>
  <c r="H273" i="1"/>
  <c r="J273" i="1" s="1"/>
  <c r="H1004" i="1"/>
  <c r="J1004" i="1" s="1"/>
  <c r="H426" i="1"/>
  <c r="J426" i="1" s="1"/>
  <c r="H62" i="1"/>
  <c r="J62" i="1" s="1"/>
  <c r="H793" i="1"/>
  <c r="J793" i="1" s="1"/>
  <c r="H63" i="1" l="1"/>
  <c r="J63" i="1" s="1"/>
  <c r="H427" i="1"/>
  <c r="J427" i="1" s="1"/>
  <c r="H1005" i="1"/>
  <c r="J1005" i="1" s="1"/>
  <c r="H274" i="1"/>
  <c r="J274" i="1" s="1"/>
  <c r="H794" i="1"/>
  <c r="J794" i="1" s="1"/>
  <c r="H640" i="1"/>
  <c r="J640" i="1" s="1"/>
  <c r="H795" i="1" l="1"/>
  <c r="J795" i="1" s="1"/>
  <c r="H275" i="1"/>
  <c r="J275" i="1" s="1"/>
  <c r="H1006" i="1"/>
  <c r="J1006" i="1" s="1"/>
  <c r="H428" i="1"/>
  <c r="J428" i="1" s="1"/>
  <c r="H641" i="1"/>
  <c r="J641" i="1" s="1"/>
  <c r="H64" i="1"/>
  <c r="J64" i="1" s="1"/>
  <c r="H429" i="1" l="1"/>
  <c r="J429" i="1" s="1"/>
  <c r="H642" i="1"/>
  <c r="J642" i="1" s="1"/>
  <c r="H1007" i="1"/>
  <c r="J1007" i="1" s="1"/>
  <c r="H276" i="1"/>
  <c r="J276" i="1" s="1"/>
  <c r="H65" i="1"/>
  <c r="J65" i="1" s="1"/>
  <c r="H796" i="1"/>
  <c r="J796" i="1" s="1"/>
  <c r="H66" i="1" l="1"/>
  <c r="J66" i="1" s="1"/>
  <c r="H277" i="1"/>
  <c r="J277" i="1" s="1"/>
  <c r="H1008" i="1"/>
  <c r="J1008" i="1" s="1"/>
  <c r="H643" i="1"/>
  <c r="J643" i="1" s="1"/>
  <c r="H430" i="1"/>
  <c r="J430" i="1" s="1"/>
  <c r="H797" i="1"/>
  <c r="J797" i="1" s="1"/>
  <c r="H431" i="1" l="1"/>
  <c r="J431" i="1" s="1"/>
  <c r="H644" i="1"/>
  <c r="J644" i="1" s="1"/>
  <c r="H1009" i="1"/>
  <c r="J1009" i="1" s="1"/>
  <c r="H278" i="1"/>
  <c r="J278" i="1" s="1"/>
  <c r="H798" i="1"/>
  <c r="J798" i="1" s="1"/>
  <c r="H67" i="1"/>
  <c r="J67" i="1" s="1"/>
  <c r="H799" i="1" l="1"/>
  <c r="J799" i="1" s="1"/>
  <c r="H279" i="1"/>
  <c r="J279" i="1" s="1"/>
  <c r="H1010" i="1"/>
  <c r="J1010" i="1" s="1"/>
  <c r="H645" i="1"/>
  <c r="J645" i="1" s="1"/>
  <c r="H68" i="1"/>
  <c r="J68" i="1" s="1"/>
  <c r="H432" i="1"/>
  <c r="J432" i="1" s="1"/>
  <c r="H69" i="1" l="1"/>
  <c r="J69" i="1" s="1"/>
  <c r="H646" i="1"/>
  <c r="J646" i="1" s="1"/>
  <c r="H1011" i="1"/>
  <c r="J1011" i="1" s="1"/>
  <c r="H280" i="1"/>
  <c r="J280" i="1" s="1"/>
  <c r="H433" i="1"/>
  <c r="J433" i="1" s="1"/>
  <c r="H800" i="1"/>
  <c r="J800" i="1" s="1"/>
  <c r="H281" i="1" l="1"/>
  <c r="J281" i="1" s="1"/>
  <c r="H1012" i="1"/>
  <c r="J1012" i="1" s="1"/>
  <c r="H434" i="1"/>
  <c r="J434" i="1" s="1"/>
  <c r="H647" i="1"/>
  <c r="J647" i="1" s="1"/>
  <c r="H801" i="1"/>
  <c r="J801" i="1" s="1"/>
  <c r="H70" i="1"/>
  <c r="J70" i="1" s="1"/>
  <c r="H802" i="1" l="1"/>
  <c r="J802" i="1" s="1"/>
  <c r="H648" i="1"/>
  <c r="J648" i="1" s="1"/>
  <c r="H435" i="1"/>
  <c r="J435" i="1" s="1"/>
  <c r="H1013" i="1"/>
  <c r="J1013" i="1" s="1"/>
  <c r="H71" i="1"/>
  <c r="J71" i="1" s="1"/>
  <c r="H282" i="1"/>
  <c r="J282" i="1" s="1"/>
  <c r="H72" i="1" l="1"/>
  <c r="J72" i="1" s="1"/>
  <c r="H1014" i="1"/>
  <c r="J1014" i="1" s="1"/>
  <c r="H436" i="1"/>
  <c r="J436" i="1" s="1"/>
  <c r="H649" i="1"/>
  <c r="J649" i="1" s="1"/>
  <c r="H283" i="1"/>
  <c r="J283" i="1" s="1"/>
  <c r="H803" i="1"/>
  <c r="J803" i="1" s="1"/>
  <c r="H284" i="1" l="1"/>
  <c r="J284" i="1" s="1"/>
  <c r="H650" i="1"/>
  <c r="J650" i="1" s="1"/>
  <c r="H437" i="1"/>
  <c r="J437" i="1" s="1"/>
  <c r="H1015" i="1"/>
  <c r="J1015" i="1" s="1"/>
  <c r="H804" i="1"/>
  <c r="J804" i="1" s="1"/>
  <c r="H73" i="1"/>
  <c r="J73" i="1" s="1"/>
  <c r="H805" i="1" l="1"/>
  <c r="J805" i="1" s="1"/>
  <c r="H1016" i="1"/>
  <c r="J1016" i="1" s="1"/>
  <c r="H438" i="1"/>
  <c r="J438" i="1" s="1"/>
  <c r="H651" i="1"/>
  <c r="J651" i="1" s="1"/>
  <c r="H285" i="1"/>
  <c r="J285" i="1" s="1"/>
  <c r="H74" i="1"/>
  <c r="J74" i="1" s="1"/>
  <c r="H652" i="1" l="1"/>
  <c r="J652" i="1" s="1"/>
  <c r="H286" i="1"/>
  <c r="J286" i="1" s="1"/>
  <c r="H439" i="1"/>
  <c r="J439" i="1" s="1"/>
  <c r="H1017" i="1"/>
  <c r="J1017" i="1" s="1"/>
  <c r="H75" i="1"/>
  <c r="J75" i="1" s="1"/>
  <c r="H806" i="1"/>
  <c r="J806" i="1" s="1"/>
  <c r="H76" i="1" l="1"/>
  <c r="J76" i="1" s="1"/>
  <c r="H1018" i="1"/>
  <c r="J1018" i="1" s="1"/>
  <c r="H440" i="1"/>
  <c r="J440" i="1" s="1"/>
  <c r="H287" i="1"/>
  <c r="J287" i="1" s="1"/>
  <c r="H653" i="1"/>
  <c r="J653" i="1" s="1"/>
  <c r="H807" i="1"/>
  <c r="J807" i="1" s="1"/>
  <c r="H654" i="1" l="1"/>
  <c r="J654" i="1" s="1"/>
  <c r="H288" i="1"/>
  <c r="J288" i="1" s="1"/>
  <c r="H441" i="1"/>
  <c r="J441" i="1" s="1"/>
  <c r="H1019" i="1"/>
  <c r="J1019" i="1" s="1"/>
  <c r="H77" i="1"/>
  <c r="J77" i="1" s="1"/>
  <c r="H808" i="1"/>
  <c r="J808" i="1" s="1"/>
  <c r="H78" i="1" l="1"/>
  <c r="J78" i="1" s="1"/>
  <c r="H1020" i="1"/>
  <c r="J1020" i="1" s="1"/>
  <c r="H442" i="1"/>
  <c r="J442" i="1" s="1"/>
  <c r="H289" i="1"/>
  <c r="J289" i="1" s="1"/>
  <c r="H809" i="1"/>
  <c r="J809" i="1" s="1"/>
  <c r="H655" i="1"/>
  <c r="J655" i="1" s="1"/>
  <c r="H810" i="1" l="1"/>
  <c r="J810" i="1" s="1"/>
  <c r="H443" i="1"/>
  <c r="J443" i="1" s="1"/>
  <c r="H290" i="1"/>
  <c r="J290" i="1" s="1"/>
  <c r="H1021" i="1"/>
  <c r="J1021" i="1" s="1"/>
  <c r="H656" i="1"/>
  <c r="J656" i="1" s="1"/>
  <c r="H79" i="1"/>
  <c r="J79" i="1" s="1"/>
  <c r="H657" i="1" l="1"/>
  <c r="J657" i="1" s="1"/>
  <c r="H1022" i="1"/>
  <c r="J1022" i="1" s="1"/>
  <c r="H291" i="1"/>
  <c r="J291" i="1" s="1"/>
  <c r="H444" i="1"/>
  <c r="J444" i="1" s="1"/>
  <c r="H80" i="1"/>
  <c r="J80" i="1" s="1"/>
  <c r="H811" i="1"/>
  <c r="J811" i="1" s="1"/>
  <c r="H445" i="1" l="1"/>
  <c r="J445" i="1" s="1"/>
  <c r="H292" i="1"/>
  <c r="J292" i="1" s="1"/>
  <c r="H81" i="1"/>
  <c r="J81" i="1" s="1"/>
  <c r="H1023" i="1"/>
  <c r="J1023" i="1" s="1"/>
  <c r="H658" i="1"/>
  <c r="J658" i="1" s="1"/>
  <c r="H812" i="1"/>
  <c r="J812" i="1" s="1"/>
  <c r="H659" i="1" l="1"/>
  <c r="J659" i="1" s="1"/>
  <c r="H1024" i="1"/>
  <c r="J1024" i="1" s="1"/>
  <c r="H82" i="1"/>
  <c r="J82" i="1" s="1"/>
  <c r="H293" i="1"/>
  <c r="J293" i="1" s="1"/>
  <c r="H446" i="1"/>
  <c r="J446" i="1" s="1"/>
  <c r="H813" i="1"/>
  <c r="J813" i="1" s="1"/>
  <c r="H447" i="1" l="1"/>
  <c r="J447" i="1" s="1"/>
  <c r="H294" i="1"/>
  <c r="J294" i="1" s="1"/>
  <c r="H83" i="1"/>
  <c r="J83" i="1" s="1"/>
  <c r="H1025" i="1"/>
  <c r="J1025" i="1" s="1"/>
  <c r="H814" i="1"/>
  <c r="J814" i="1" s="1"/>
  <c r="H660" i="1"/>
  <c r="J660" i="1" s="1"/>
  <c r="H815" i="1" l="1"/>
  <c r="J815" i="1" s="1"/>
  <c r="H1026" i="1"/>
  <c r="J1026" i="1" s="1"/>
  <c r="H84" i="1"/>
  <c r="J84" i="1" s="1"/>
  <c r="H295" i="1"/>
  <c r="J295" i="1" s="1"/>
  <c r="H661" i="1"/>
  <c r="J661" i="1" s="1"/>
  <c r="H448" i="1"/>
  <c r="J448" i="1" s="1"/>
  <c r="H662" i="1" l="1"/>
  <c r="J662" i="1" s="1"/>
  <c r="H296" i="1"/>
  <c r="J296" i="1" s="1"/>
  <c r="H85" i="1"/>
  <c r="J85" i="1" s="1"/>
  <c r="H1027" i="1"/>
  <c r="J1027" i="1" s="1"/>
  <c r="H449" i="1"/>
  <c r="J449" i="1" s="1"/>
  <c r="H816" i="1"/>
  <c r="J816" i="1" s="1"/>
  <c r="H450" i="1" l="1"/>
  <c r="J450" i="1" s="1"/>
  <c r="H1028" i="1"/>
  <c r="J1028" i="1" s="1"/>
  <c r="H86" i="1"/>
  <c r="J86" i="1" s="1"/>
  <c r="H297" i="1"/>
  <c r="J297" i="1" s="1"/>
  <c r="H663" i="1"/>
  <c r="J663" i="1" s="1"/>
  <c r="H817" i="1"/>
  <c r="J817" i="1" s="1"/>
  <c r="H664" i="1" l="1"/>
  <c r="J664" i="1" s="1"/>
  <c r="H298" i="1"/>
  <c r="J298" i="1" s="1"/>
  <c r="H87" i="1"/>
  <c r="J87" i="1" s="1"/>
  <c r="H1029" i="1"/>
  <c r="J1029" i="1" s="1"/>
  <c r="H818" i="1"/>
  <c r="J818" i="1" s="1"/>
  <c r="H451" i="1"/>
  <c r="J451" i="1" s="1"/>
  <c r="H819" i="1" l="1"/>
  <c r="J819" i="1" s="1"/>
  <c r="H1030" i="1"/>
  <c r="J1030" i="1" s="1"/>
  <c r="H88" i="1"/>
  <c r="J88" i="1" s="1"/>
  <c r="H299" i="1"/>
  <c r="J299" i="1" s="1"/>
  <c r="H452" i="1"/>
  <c r="J452" i="1" s="1"/>
  <c r="H665" i="1"/>
  <c r="J665" i="1" s="1"/>
  <c r="H453" i="1" l="1"/>
  <c r="J453" i="1" s="1"/>
  <c r="H300" i="1"/>
  <c r="J300" i="1" s="1"/>
  <c r="H89" i="1"/>
  <c r="J89" i="1" s="1"/>
  <c r="H1031" i="1"/>
  <c r="J1031" i="1" s="1"/>
  <c r="H666" i="1"/>
  <c r="J666" i="1" s="1"/>
  <c r="H820" i="1"/>
  <c r="J820" i="1" s="1"/>
  <c r="H667" i="1" l="1"/>
  <c r="J667" i="1" s="1"/>
  <c r="H1032" i="1"/>
  <c r="J1032" i="1" s="1"/>
  <c r="H90" i="1"/>
  <c r="J90" i="1" s="1"/>
  <c r="H301" i="1"/>
  <c r="J301" i="1" s="1"/>
  <c r="H821" i="1"/>
  <c r="J821" i="1" s="1"/>
  <c r="H454" i="1"/>
  <c r="J454" i="1" s="1"/>
  <c r="H822" i="1" l="1"/>
  <c r="J822" i="1" s="1"/>
  <c r="H302" i="1"/>
  <c r="J302" i="1" s="1"/>
  <c r="H91" i="1"/>
  <c r="J91" i="1" s="1"/>
  <c r="H1033" i="1"/>
  <c r="J1033" i="1" s="1"/>
  <c r="H455" i="1"/>
  <c r="J455" i="1" s="1"/>
  <c r="H668" i="1"/>
  <c r="J668" i="1" s="1"/>
  <c r="H456" i="1" l="1"/>
  <c r="J456" i="1" s="1"/>
  <c r="H1034" i="1"/>
  <c r="J1034" i="1" s="1"/>
  <c r="H92" i="1"/>
  <c r="J92" i="1" s="1"/>
  <c r="H303" i="1"/>
  <c r="J303" i="1" s="1"/>
  <c r="H669" i="1"/>
  <c r="J669" i="1" s="1"/>
  <c r="H823" i="1"/>
  <c r="J823" i="1" s="1"/>
  <c r="H670" i="1" l="1"/>
  <c r="J670" i="1" s="1"/>
  <c r="H304" i="1"/>
  <c r="J304" i="1" s="1"/>
  <c r="H93" i="1"/>
  <c r="J93" i="1" s="1"/>
  <c r="H1035" i="1"/>
  <c r="J1035" i="1" s="1"/>
  <c r="H824" i="1"/>
  <c r="J824" i="1" s="1"/>
  <c r="H457" i="1"/>
  <c r="J457" i="1" s="1"/>
  <c r="H825" i="1" l="1"/>
  <c r="J825" i="1" s="1"/>
  <c r="H1036" i="1"/>
  <c r="J1036" i="1" s="1"/>
  <c r="H94" i="1"/>
  <c r="J94" i="1" s="1"/>
  <c r="H305" i="1"/>
  <c r="J305" i="1" s="1"/>
  <c r="H458" i="1"/>
  <c r="J458" i="1" s="1"/>
  <c r="H671" i="1"/>
  <c r="J671" i="1" s="1"/>
  <c r="H826" i="1" l="1"/>
  <c r="J826" i="1" s="1"/>
  <c r="H459" i="1"/>
  <c r="J459" i="1" s="1"/>
  <c r="H306" i="1"/>
  <c r="J306" i="1" s="1"/>
  <c r="H95" i="1"/>
  <c r="J95" i="1" s="1"/>
  <c r="H1037" i="1"/>
  <c r="J1037" i="1" s="1"/>
  <c r="H672" i="1"/>
  <c r="J672" i="1" s="1"/>
  <c r="H1038" i="1" l="1"/>
  <c r="J1038" i="1" s="1"/>
  <c r="H96" i="1"/>
  <c r="J96" i="1" s="1"/>
  <c r="H307" i="1"/>
  <c r="J307" i="1" s="1"/>
  <c r="H460" i="1"/>
  <c r="J460" i="1" s="1"/>
  <c r="H673" i="1"/>
  <c r="J673" i="1" s="1"/>
  <c r="H827" i="1"/>
  <c r="J827" i="1" s="1"/>
  <c r="H674" i="1" l="1"/>
  <c r="J674" i="1" s="1"/>
  <c r="H461" i="1"/>
  <c r="J461" i="1" s="1"/>
  <c r="H308" i="1"/>
  <c r="J308" i="1" s="1"/>
  <c r="H97" i="1"/>
  <c r="J97" i="1" s="1"/>
  <c r="H1039" i="1"/>
  <c r="J1039" i="1" s="1"/>
  <c r="H828" i="1"/>
  <c r="J828" i="1" s="1"/>
  <c r="H1040" i="1" l="1"/>
  <c r="J1040" i="1" s="1"/>
  <c r="H98" i="1"/>
  <c r="J98" i="1" s="1"/>
  <c r="H309" i="1"/>
  <c r="J309" i="1" s="1"/>
  <c r="H462" i="1"/>
  <c r="J462" i="1" s="1"/>
  <c r="H829" i="1"/>
  <c r="J829" i="1" s="1"/>
  <c r="H675" i="1"/>
  <c r="J675" i="1" s="1"/>
  <c r="H830" i="1" l="1"/>
  <c r="J830" i="1" s="1"/>
  <c r="H463" i="1"/>
  <c r="J463" i="1" s="1"/>
  <c r="H310" i="1"/>
  <c r="J310" i="1" s="1"/>
  <c r="H99" i="1"/>
  <c r="J99" i="1" s="1"/>
  <c r="H676" i="1"/>
  <c r="J676" i="1" s="1"/>
  <c r="H1041" i="1"/>
  <c r="J1041" i="1" s="1"/>
  <c r="H677" i="1" l="1"/>
  <c r="J677" i="1" s="1"/>
  <c r="H100" i="1"/>
  <c r="J100" i="1" s="1"/>
  <c r="H311" i="1"/>
  <c r="J311" i="1" s="1"/>
  <c r="H464" i="1"/>
  <c r="J464" i="1" s="1"/>
  <c r="H831" i="1"/>
  <c r="J831" i="1" s="1"/>
  <c r="H1042" i="1"/>
  <c r="J1042" i="1" s="1"/>
  <c r="H465" i="1" l="1"/>
  <c r="J465" i="1" s="1"/>
  <c r="H832" i="1"/>
  <c r="J832" i="1" s="1"/>
  <c r="H312" i="1"/>
  <c r="J312" i="1" s="1"/>
  <c r="H101" i="1"/>
  <c r="J101" i="1" s="1"/>
  <c r="H1043" i="1"/>
  <c r="J1043" i="1" s="1"/>
  <c r="H678" i="1"/>
  <c r="J678" i="1" s="1"/>
  <c r="H102" i="1" l="1"/>
  <c r="J102" i="1" s="1"/>
  <c r="H313" i="1"/>
  <c r="J313" i="1" s="1"/>
  <c r="H466" i="1"/>
  <c r="J466" i="1" s="1"/>
  <c r="H1044" i="1"/>
  <c r="J1044" i="1" s="1"/>
  <c r="H833" i="1"/>
  <c r="J833" i="1" s="1"/>
  <c r="H679" i="1"/>
  <c r="J679" i="1" s="1"/>
  <c r="H834" i="1" l="1"/>
  <c r="J834" i="1" s="1"/>
  <c r="H1045" i="1"/>
  <c r="J1045" i="1" s="1"/>
  <c r="H467" i="1"/>
  <c r="J467" i="1" s="1"/>
  <c r="H314" i="1"/>
  <c r="J314" i="1" s="1"/>
  <c r="H680" i="1"/>
  <c r="J680" i="1" s="1"/>
  <c r="H103" i="1"/>
  <c r="J103" i="1" s="1"/>
  <c r="H681" i="1" l="1"/>
  <c r="J681" i="1" s="1"/>
  <c r="H315" i="1"/>
  <c r="J315" i="1" s="1"/>
  <c r="H468" i="1"/>
  <c r="J468" i="1" s="1"/>
  <c r="H1046" i="1"/>
  <c r="J1046" i="1" s="1"/>
  <c r="H104" i="1"/>
  <c r="J104" i="1" s="1"/>
  <c r="H835" i="1"/>
  <c r="J835" i="1" s="1"/>
  <c r="H105" i="1" l="1"/>
  <c r="J105" i="1" s="1"/>
  <c r="H1047" i="1"/>
  <c r="J1047" i="1" s="1"/>
  <c r="H469" i="1"/>
  <c r="J469" i="1" s="1"/>
  <c r="H316" i="1"/>
  <c r="J316" i="1" s="1"/>
  <c r="H836" i="1"/>
  <c r="J836" i="1" s="1"/>
  <c r="H682" i="1"/>
  <c r="J682" i="1" s="1"/>
  <c r="H837" i="1" l="1"/>
  <c r="J837" i="1" s="1"/>
  <c r="H317" i="1"/>
  <c r="J317" i="1" s="1"/>
  <c r="H470" i="1"/>
  <c r="J470" i="1" s="1"/>
  <c r="H1048" i="1"/>
  <c r="J1048" i="1" s="1"/>
  <c r="H683" i="1"/>
  <c r="J683" i="1" s="1"/>
  <c r="H106" i="1"/>
  <c r="J106" i="1" s="1"/>
  <c r="H107" i="1" l="1"/>
  <c r="J107" i="1" s="1"/>
  <c r="H684" i="1"/>
  <c r="J684" i="1" s="1"/>
  <c r="H1049" i="1"/>
  <c r="J1049" i="1" s="1"/>
  <c r="H471" i="1"/>
  <c r="J471" i="1" s="1"/>
  <c r="H318" i="1"/>
  <c r="J318" i="1" s="1"/>
  <c r="H838" i="1"/>
  <c r="J838" i="1" s="1"/>
  <c r="H319" i="1" l="1"/>
  <c r="J319" i="1" s="1"/>
  <c r="H472" i="1"/>
  <c r="J472" i="1" s="1"/>
  <c r="H1050" i="1"/>
  <c r="J1050" i="1" s="1"/>
  <c r="H685" i="1"/>
  <c r="J685" i="1" s="1"/>
  <c r="H839" i="1"/>
  <c r="J839" i="1" s="1"/>
  <c r="H108" i="1"/>
  <c r="J108" i="1" s="1"/>
  <c r="H840" i="1" l="1"/>
  <c r="J840" i="1" s="1"/>
  <c r="H686" i="1"/>
  <c r="J686" i="1" s="1"/>
  <c r="H1051" i="1"/>
  <c r="J1051" i="1" s="1"/>
  <c r="H473" i="1"/>
  <c r="J473" i="1" s="1"/>
  <c r="H109" i="1"/>
  <c r="J109" i="1" s="1"/>
  <c r="H320" i="1"/>
  <c r="J320" i="1" s="1"/>
  <c r="H110" i="1" l="1"/>
  <c r="J110" i="1" s="1"/>
  <c r="H474" i="1"/>
  <c r="J474" i="1" s="1"/>
  <c r="H1052" i="1"/>
  <c r="J1052" i="1" s="1"/>
  <c r="H841" i="1"/>
  <c r="J841" i="1" s="1"/>
  <c r="H687" i="1"/>
  <c r="J687" i="1" s="1"/>
  <c r="H321" i="1"/>
  <c r="J321" i="1" s="1"/>
  <c r="H688" i="1" l="1"/>
  <c r="J688" i="1" s="1"/>
  <c r="H1053" i="1"/>
  <c r="J1053" i="1" s="1"/>
  <c r="H842" i="1"/>
  <c r="J842" i="1" s="1"/>
  <c r="H475" i="1"/>
  <c r="J475" i="1" s="1"/>
  <c r="H322" i="1"/>
  <c r="J322" i="1" s="1"/>
  <c r="H111" i="1"/>
  <c r="J111" i="1" s="1"/>
  <c r="H323" i="1" l="1"/>
  <c r="J323" i="1" s="1"/>
  <c r="H476" i="1"/>
  <c r="J476" i="1" s="1"/>
  <c r="H843" i="1"/>
  <c r="J843" i="1" s="1"/>
  <c r="H1054" i="1"/>
  <c r="J1054" i="1" s="1"/>
  <c r="H112" i="1"/>
  <c r="J112" i="1" s="1"/>
  <c r="H689" i="1"/>
  <c r="J689" i="1" s="1"/>
  <c r="H844" i="1" l="1"/>
  <c r="J844" i="1" s="1"/>
  <c r="H113" i="1"/>
  <c r="J113" i="1" s="1"/>
  <c r="H1055" i="1"/>
  <c r="J1055" i="1" s="1"/>
  <c r="H477" i="1"/>
  <c r="J477" i="1" s="1"/>
  <c r="H690" i="1"/>
  <c r="J690" i="1" s="1"/>
  <c r="H324" i="1"/>
  <c r="J324" i="1" s="1"/>
  <c r="H691" i="1" l="1"/>
  <c r="J691" i="1" s="1"/>
  <c r="H1056" i="1"/>
  <c r="J1056" i="1" s="1"/>
  <c r="H478" i="1"/>
  <c r="J478" i="1" s="1"/>
  <c r="H114" i="1"/>
  <c r="J114" i="1" s="1"/>
  <c r="H325" i="1"/>
  <c r="J325" i="1" s="1"/>
  <c r="H845" i="1"/>
  <c r="J845" i="1" s="1"/>
  <c r="H326" i="1" l="1"/>
  <c r="J326" i="1" s="1"/>
  <c r="H115" i="1"/>
  <c r="J115" i="1" s="1"/>
  <c r="H479" i="1"/>
  <c r="J479" i="1" s="1"/>
  <c r="H1057" i="1"/>
  <c r="J1057" i="1" s="1"/>
  <c r="H846" i="1"/>
  <c r="J846" i="1" s="1"/>
  <c r="H692" i="1"/>
  <c r="J692" i="1" s="1"/>
  <c r="H1058" i="1" l="1"/>
  <c r="J1058" i="1" s="1"/>
  <c r="H693" i="1"/>
  <c r="J693" i="1" s="1"/>
  <c r="H847" i="1"/>
  <c r="J847" i="1" s="1"/>
  <c r="H480" i="1"/>
  <c r="J480" i="1" s="1"/>
  <c r="H116" i="1"/>
  <c r="J116" i="1" s="1"/>
  <c r="H327" i="1"/>
  <c r="J327" i="1" s="1"/>
  <c r="H481" i="1" l="1"/>
  <c r="J481" i="1" s="1"/>
  <c r="H117" i="1"/>
  <c r="J117" i="1" s="1"/>
  <c r="H848" i="1"/>
  <c r="J848" i="1" s="1"/>
  <c r="H694" i="1"/>
  <c r="J694" i="1" s="1"/>
  <c r="H328" i="1"/>
  <c r="J328" i="1" s="1"/>
  <c r="H1059" i="1"/>
  <c r="J1059" i="1" s="1"/>
  <c r="H329" i="1" l="1"/>
  <c r="J329" i="1" s="1"/>
  <c r="H695" i="1"/>
  <c r="J695" i="1" s="1"/>
  <c r="H849" i="1"/>
  <c r="J849" i="1" s="1"/>
  <c r="H118" i="1"/>
  <c r="J118" i="1" s="1"/>
  <c r="H1060" i="1"/>
  <c r="J1060" i="1" s="1"/>
  <c r="H482" i="1"/>
  <c r="J482" i="1" s="1"/>
  <c r="H1061" i="1" l="1"/>
  <c r="J1061" i="1" s="1"/>
  <c r="H119" i="1"/>
  <c r="J119" i="1" s="1"/>
  <c r="H850" i="1"/>
  <c r="J850" i="1" s="1"/>
  <c r="H696" i="1"/>
  <c r="J696" i="1" s="1"/>
  <c r="H483" i="1"/>
  <c r="J483" i="1" s="1"/>
  <c r="H330" i="1"/>
  <c r="J330" i="1" s="1"/>
  <c r="H484" i="1" l="1"/>
  <c r="J484" i="1" s="1"/>
  <c r="H697" i="1"/>
  <c r="J697" i="1" s="1"/>
  <c r="H851" i="1"/>
  <c r="J851" i="1" s="1"/>
  <c r="H120" i="1"/>
  <c r="J120" i="1" s="1"/>
  <c r="H331" i="1"/>
  <c r="J331" i="1" s="1"/>
  <c r="H1062" i="1"/>
  <c r="J1062" i="1" s="1"/>
  <c r="H332" i="1" l="1"/>
  <c r="J332" i="1" s="1"/>
  <c r="H121" i="1"/>
  <c r="J121" i="1" s="1"/>
  <c r="H852" i="1"/>
  <c r="J852" i="1" s="1"/>
  <c r="H698" i="1"/>
  <c r="J698" i="1" s="1"/>
  <c r="H1063" i="1"/>
  <c r="J1063" i="1" s="1"/>
  <c r="H485" i="1"/>
  <c r="J485" i="1" s="1"/>
  <c r="H1064" i="1" l="1"/>
  <c r="J1064" i="1" s="1"/>
  <c r="H699" i="1"/>
  <c r="J699" i="1" s="1"/>
  <c r="H853" i="1"/>
  <c r="J853" i="1" s="1"/>
  <c r="H122" i="1"/>
  <c r="J122" i="1" s="1"/>
  <c r="H486" i="1"/>
  <c r="J486" i="1" s="1"/>
  <c r="H333" i="1"/>
  <c r="J333" i="1" s="1"/>
  <c r="H487" i="1" l="1"/>
  <c r="J487" i="1" s="1"/>
  <c r="H854" i="1"/>
  <c r="J854" i="1" s="1"/>
  <c r="H123" i="1"/>
  <c r="J123" i="1" s="1"/>
  <c r="H700" i="1"/>
  <c r="J700" i="1" s="1"/>
  <c r="H334" i="1"/>
  <c r="J334" i="1" s="1"/>
  <c r="H1065" i="1"/>
  <c r="J1065" i="1" s="1"/>
  <c r="H701" i="1" l="1"/>
  <c r="J701" i="1" s="1"/>
  <c r="H124" i="1"/>
  <c r="J124" i="1" s="1"/>
  <c r="H488" i="1"/>
  <c r="J488" i="1" s="1"/>
  <c r="H335" i="1"/>
  <c r="J335" i="1" s="1"/>
  <c r="H855" i="1"/>
  <c r="J855" i="1" s="1"/>
  <c r="H1066" i="1"/>
  <c r="J1066" i="1" s="1"/>
  <c r="H489" i="1" l="1"/>
  <c r="J489" i="1" s="1"/>
  <c r="H856" i="1"/>
  <c r="J856" i="1" s="1"/>
  <c r="H336" i="1"/>
  <c r="J336" i="1" s="1"/>
  <c r="H125" i="1"/>
  <c r="J125" i="1" s="1"/>
  <c r="H1067" i="1"/>
  <c r="J1067" i="1" s="1"/>
  <c r="H702" i="1"/>
  <c r="J702" i="1" s="1"/>
  <c r="H126" i="1" l="1"/>
  <c r="J126" i="1" s="1"/>
  <c r="H1068" i="1"/>
  <c r="J1068" i="1" s="1"/>
  <c r="H337" i="1"/>
  <c r="J337" i="1" s="1"/>
  <c r="H857" i="1"/>
  <c r="J857" i="1" s="1"/>
  <c r="H703" i="1"/>
  <c r="J703" i="1" s="1"/>
  <c r="H490" i="1"/>
  <c r="J490" i="1" s="1"/>
  <c r="H704" i="1" l="1"/>
  <c r="J704" i="1" s="1"/>
  <c r="H858" i="1"/>
  <c r="J858" i="1" s="1"/>
  <c r="H338" i="1"/>
  <c r="J338" i="1" s="1"/>
  <c r="H1069" i="1"/>
  <c r="J1069" i="1" s="1"/>
  <c r="H127" i="1"/>
  <c r="J127" i="1" s="1"/>
  <c r="H491" i="1"/>
  <c r="J491" i="1" s="1"/>
  <c r="H128" i="1" l="1"/>
  <c r="J128" i="1" s="1"/>
  <c r="H1070" i="1"/>
  <c r="J1070" i="1" s="1"/>
  <c r="H339" i="1"/>
  <c r="J339" i="1" s="1"/>
  <c r="H859" i="1"/>
  <c r="J859" i="1" s="1"/>
  <c r="H492" i="1"/>
  <c r="J492" i="1" s="1"/>
  <c r="H705" i="1"/>
  <c r="J705" i="1" s="1"/>
  <c r="H493" i="1" l="1"/>
  <c r="J493" i="1" s="1"/>
  <c r="H860" i="1"/>
  <c r="J860" i="1" s="1"/>
  <c r="H340" i="1"/>
  <c r="J340" i="1" s="1"/>
  <c r="H1071" i="1"/>
  <c r="J1071" i="1" s="1"/>
  <c r="H706" i="1"/>
  <c r="J706" i="1" s="1"/>
  <c r="H129" i="1"/>
  <c r="J129" i="1" s="1"/>
  <c r="H341" i="1" l="1"/>
  <c r="J341" i="1" s="1"/>
  <c r="H494" i="1"/>
  <c r="J494" i="1" s="1"/>
  <c r="H707" i="1"/>
  <c r="J707" i="1" s="1"/>
  <c r="H1072" i="1"/>
  <c r="J1072" i="1" s="1"/>
  <c r="H861" i="1"/>
  <c r="J861" i="1" s="1"/>
  <c r="H130" i="1"/>
  <c r="J130" i="1" s="1"/>
  <c r="H862" i="1" l="1"/>
  <c r="J862" i="1" s="1"/>
  <c r="H1073" i="1"/>
  <c r="J1073" i="1" s="1"/>
  <c r="H708" i="1"/>
  <c r="J708" i="1" s="1"/>
  <c r="H495" i="1"/>
  <c r="J495" i="1" s="1"/>
  <c r="H131" i="1"/>
  <c r="J131" i="1" s="1"/>
  <c r="H342" i="1"/>
  <c r="J342" i="1" s="1"/>
  <c r="H343" i="1" l="1"/>
  <c r="J343" i="1" s="1"/>
  <c r="H132" i="1"/>
  <c r="J132" i="1" s="1"/>
  <c r="H496" i="1"/>
  <c r="J496" i="1" s="1"/>
  <c r="H709" i="1"/>
  <c r="J709" i="1" s="1"/>
  <c r="H1074" i="1"/>
  <c r="J1074" i="1" s="1"/>
  <c r="H863" i="1"/>
  <c r="J863" i="1" s="1"/>
  <c r="H1075" i="1" l="1"/>
  <c r="J1075" i="1" s="1"/>
  <c r="H710" i="1"/>
  <c r="J710" i="1" s="1"/>
  <c r="H497" i="1"/>
  <c r="J497" i="1" s="1"/>
  <c r="H133" i="1"/>
  <c r="J133" i="1" s="1"/>
  <c r="H864" i="1"/>
  <c r="J864" i="1" s="1"/>
  <c r="H344" i="1"/>
  <c r="J344" i="1" s="1"/>
  <c r="H865" i="1" l="1"/>
  <c r="J865" i="1" s="1"/>
  <c r="H134" i="1"/>
  <c r="J134" i="1" s="1"/>
  <c r="H498" i="1"/>
  <c r="J498" i="1" s="1"/>
  <c r="H711" i="1"/>
  <c r="J711" i="1" s="1"/>
  <c r="H345" i="1"/>
  <c r="J345" i="1" s="1"/>
  <c r="H1076" i="1"/>
  <c r="J1076" i="1" s="1"/>
  <c r="H346" i="1" l="1"/>
  <c r="J346" i="1" s="1"/>
  <c r="H712" i="1"/>
  <c r="J712" i="1" s="1"/>
  <c r="H499" i="1"/>
  <c r="J499" i="1" s="1"/>
  <c r="H135" i="1"/>
  <c r="J135" i="1" s="1"/>
  <c r="H1077" i="1"/>
  <c r="J1077" i="1" s="1"/>
  <c r="H866" i="1"/>
  <c r="J866" i="1" s="1"/>
  <c r="H1078" i="1" l="1"/>
  <c r="J1078" i="1" s="1"/>
  <c r="H136" i="1"/>
  <c r="J136" i="1" s="1"/>
  <c r="H500" i="1"/>
  <c r="J500" i="1" s="1"/>
  <c r="H713" i="1"/>
  <c r="J713" i="1" s="1"/>
  <c r="H347" i="1"/>
  <c r="J347" i="1" s="1"/>
  <c r="H867" i="1"/>
  <c r="J867" i="1" s="1"/>
  <c r="H348" i="1" l="1"/>
  <c r="J348" i="1" s="1"/>
  <c r="H714" i="1"/>
  <c r="J714" i="1" s="1"/>
  <c r="H501" i="1"/>
  <c r="J501" i="1" s="1"/>
  <c r="H137" i="1"/>
  <c r="J137" i="1" s="1"/>
  <c r="H868" i="1"/>
  <c r="J868" i="1" s="1"/>
  <c r="H1079" i="1"/>
  <c r="J1079" i="1" s="1"/>
  <c r="H138" i="1" l="1"/>
  <c r="J138" i="1" s="1"/>
  <c r="H869" i="1"/>
  <c r="J869" i="1" s="1"/>
  <c r="H502" i="1"/>
  <c r="J502" i="1" s="1"/>
  <c r="H715" i="1"/>
  <c r="J715" i="1" s="1"/>
  <c r="H1080" i="1"/>
  <c r="J1080" i="1" s="1"/>
  <c r="H349" i="1"/>
  <c r="J349" i="1" s="1"/>
  <c r="H716" i="1" l="1"/>
  <c r="J716" i="1" s="1"/>
  <c r="H1081" i="1"/>
  <c r="J1081" i="1" s="1"/>
  <c r="H503" i="1"/>
  <c r="J503" i="1" s="1"/>
  <c r="H870" i="1"/>
  <c r="J870" i="1" s="1"/>
  <c r="H350" i="1"/>
  <c r="J350" i="1" s="1"/>
  <c r="H139" i="1"/>
  <c r="J139" i="1" s="1"/>
  <c r="H351" i="1" l="1"/>
  <c r="J351" i="1" s="1"/>
  <c r="H871" i="1"/>
  <c r="J871" i="1" s="1"/>
  <c r="H504" i="1"/>
  <c r="J504" i="1" s="1"/>
  <c r="H1082" i="1"/>
  <c r="J1082" i="1" s="1"/>
  <c r="H140" i="1"/>
  <c r="J140" i="1" s="1"/>
  <c r="H717" i="1"/>
  <c r="J717" i="1" s="1"/>
  <c r="H141" i="1" l="1"/>
  <c r="J141" i="1" s="1"/>
  <c r="H1083" i="1"/>
  <c r="J1083" i="1" s="1"/>
  <c r="H505" i="1"/>
  <c r="J505" i="1" s="1"/>
  <c r="H872" i="1"/>
  <c r="J872" i="1" s="1"/>
  <c r="H718" i="1"/>
  <c r="J718" i="1" s="1"/>
  <c r="H352" i="1"/>
  <c r="J352" i="1" s="1"/>
  <c r="H506" i="1" l="1"/>
  <c r="J506" i="1" s="1"/>
  <c r="H353" i="1"/>
  <c r="J353" i="1" s="1"/>
  <c r="H719" i="1"/>
  <c r="J719" i="1" s="1"/>
  <c r="H873" i="1"/>
  <c r="J873" i="1" s="1"/>
  <c r="H1084" i="1"/>
  <c r="J1084" i="1" s="1"/>
  <c r="H142" i="1"/>
  <c r="J142" i="1" s="1"/>
  <c r="H1085" i="1" l="1"/>
  <c r="J1085" i="1" s="1"/>
  <c r="H874" i="1"/>
  <c r="J874" i="1" s="1"/>
  <c r="H720" i="1"/>
  <c r="J720" i="1" s="1"/>
  <c r="H354" i="1"/>
  <c r="J354" i="1" s="1"/>
  <c r="H143" i="1"/>
  <c r="J143" i="1" s="1"/>
  <c r="H507" i="1"/>
  <c r="J507" i="1" s="1"/>
  <c r="H144" i="1" l="1"/>
  <c r="J144" i="1" s="1"/>
  <c r="H355" i="1"/>
  <c r="J355" i="1" s="1"/>
  <c r="H721" i="1"/>
  <c r="J721" i="1" s="1"/>
  <c r="H875" i="1"/>
  <c r="J875" i="1" s="1"/>
  <c r="H508" i="1"/>
  <c r="J508" i="1" s="1"/>
  <c r="H1086" i="1"/>
  <c r="J1086" i="1" s="1"/>
  <c r="H509" i="1" l="1"/>
  <c r="J509" i="1" s="1"/>
  <c r="H876" i="1"/>
  <c r="J876" i="1" s="1"/>
  <c r="H722" i="1"/>
  <c r="J722" i="1" s="1"/>
  <c r="H356" i="1"/>
  <c r="J356" i="1" s="1"/>
  <c r="H1087" i="1"/>
  <c r="J1087" i="1" s="1"/>
  <c r="H145" i="1"/>
  <c r="J145" i="1" s="1"/>
  <c r="H723" i="1" l="1"/>
  <c r="J723" i="1" s="1"/>
  <c r="H1088" i="1"/>
  <c r="J1088" i="1" s="1"/>
  <c r="H357" i="1"/>
  <c r="J357" i="1" s="1"/>
  <c r="H877" i="1"/>
  <c r="J877" i="1" s="1"/>
  <c r="H510" i="1"/>
  <c r="J510" i="1" s="1"/>
  <c r="H146" i="1"/>
  <c r="J146" i="1" s="1"/>
  <c r="H511" i="1" l="1"/>
  <c r="J511" i="1" s="1"/>
  <c r="H878" i="1"/>
  <c r="J878" i="1" s="1"/>
  <c r="H358" i="1"/>
  <c r="J358" i="1" s="1"/>
  <c r="H1089" i="1"/>
  <c r="J1089" i="1" s="1"/>
  <c r="H147" i="1"/>
  <c r="J147" i="1" s="1"/>
  <c r="H724" i="1"/>
  <c r="J724" i="1" s="1"/>
  <c r="H148" i="1" l="1"/>
  <c r="J148" i="1" s="1"/>
  <c r="H1090" i="1"/>
  <c r="J1090" i="1" s="1"/>
  <c r="H359" i="1"/>
  <c r="J359" i="1" s="1"/>
  <c r="H879" i="1"/>
  <c r="J879" i="1" s="1"/>
  <c r="H725" i="1"/>
  <c r="J725" i="1" s="1"/>
  <c r="H512" i="1"/>
  <c r="J512" i="1" s="1"/>
  <c r="H726" i="1" l="1"/>
  <c r="J726" i="1" s="1"/>
  <c r="H149" i="1"/>
  <c r="J149" i="1" s="1"/>
  <c r="H880" i="1"/>
  <c r="J880" i="1" s="1"/>
  <c r="H360" i="1"/>
  <c r="J360" i="1" s="1"/>
  <c r="H1091" i="1"/>
  <c r="J1091" i="1" s="1"/>
  <c r="H513" i="1"/>
  <c r="J513" i="1" s="1"/>
  <c r="H1092" i="1" l="1"/>
  <c r="J1092" i="1" s="1"/>
  <c r="H361" i="1"/>
  <c r="J361" i="1" s="1"/>
  <c r="H881" i="1"/>
  <c r="J881" i="1" s="1"/>
  <c r="H150" i="1"/>
  <c r="J150" i="1" s="1"/>
  <c r="H727" i="1"/>
  <c r="J727" i="1" s="1"/>
  <c r="H514" i="1"/>
  <c r="J514" i="1" s="1"/>
  <c r="H1093" i="1" l="1"/>
  <c r="J1093" i="1" s="1"/>
  <c r="H728" i="1"/>
  <c r="J728" i="1" s="1"/>
  <c r="H151" i="1"/>
  <c r="J151" i="1" s="1"/>
  <c r="H882" i="1"/>
  <c r="J882" i="1" s="1"/>
  <c r="H362" i="1"/>
  <c r="J362" i="1" s="1"/>
  <c r="H515" i="1"/>
  <c r="J515" i="1" s="1"/>
  <c r="H883" i="1" l="1"/>
  <c r="J883" i="1" s="1"/>
  <c r="H516" i="1"/>
  <c r="J516" i="1" s="1"/>
  <c r="H363" i="1"/>
  <c r="J363" i="1" s="1"/>
  <c r="H152" i="1"/>
  <c r="J152" i="1" s="1"/>
  <c r="H729" i="1"/>
  <c r="J729" i="1" s="1"/>
  <c r="H1094" i="1"/>
  <c r="J1094" i="1" s="1"/>
  <c r="H730" i="1" l="1"/>
  <c r="J730" i="1" s="1"/>
  <c r="H153" i="1"/>
  <c r="J153" i="1" s="1"/>
  <c r="H364" i="1"/>
  <c r="J364" i="1" s="1"/>
  <c r="H517" i="1"/>
  <c r="J517" i="1" s="1"/>
  <c r="H884" i="1"/>
  <c r="J884" i="1" s="1"/>
  <c r="H1095" i="1"/>
  <c r="J1095" i="1" s="1"/>
  <c r="H885" i="1" l="1"/>
  <c r="J885" i="1" s="1"/>
  <c r="H518" i="1"/>
  <c r="J518" i="1" s="1"/>
  <c r="H365" i="1"/>
  <c r="J365" i="1" s="1"/>
  <c r="H154" i="1"/>
  <c r="J154" i="1" s="1"/>
  <c r="H731" i="1"/>
  <c r="J731" i="1" s="1"/>
  <c r="H1096" i="1"/>
  <c r="J1096" i="1" s="1"/>
  <c r="H732" i="1" l="1"/>
  <c r="J732" i="1" s="1"/>
  <c r="H155" i="1"/>
  <c r="J155" i="1" s="1"/>
  <c r="H366" i="1"/>
  <c r="J366" i="1" s="1"/>
  <c r="H519" i="1"/>
  <c r="J519" i="1" s="1"/>
  <c r="H886" i="1"/>
  <c r="J886" i="1" s="1"/>
  <c r="H1097" i="1"/>
  <c r="J1097" i="1" s="1"/>
  <c r="H887" i="1" l="1"/>
  <c r="J887" i="1" s="1"/>
  <c r="H520" i="1"/>
  <c r="J520" i="1" s="1"/>
  <c r="H156" i="1"/>
  <c r="J156" i="1" s="1"/>
  <c r="H1098" i="1"/>
  <c r="J1098" i="1" s="1"/>
  <c r="H1099" i="1" l="1"/>
  <c r="J1099" i="1" s="1"/>
  <c r="H157" i="1"/>
  <c r="J157" i="1" s="1"/>
  <c r="H521" i="1"/>
  <c r="J521" i="1" s="1"/>
  <c r="H888" i="1"/>
  <c r="J888" i="1" s="1"/>
  <c r="H889" i="1" l="1"/>
  <c r="J889" i="1" s="1"/>
  <c r="H522" i="1"/>
  <c r="J522" i="1" s="1"/>
  <c r="H158" i="1"/>
  <c r="J158" i="1" s="1"/>
  <c r="H1100" i="1"/>
  <c r="J1100" i="1" s="1"/>
  <c r="H1101" i="1" l="1"/>
  <c r="J1101" i="1" s="1"/>
  <c r="H159" i="1"/>
  <c r="J159" i="1" s="1"/>
  <c r="H523" i="1"/>
  <c r="J523" i="1" s="1"/>
  <c r="H890" i="1"/>
  <c r="J890" i="1" s="1"/>
  <c r="H891" i="1" l="1"/>
  <c r="J891" i="1" s="1"/>
  <c r="H524" i="1"/>
  <c r="J524" i="1" s="1"/>
  <c r="H160" i="1"/>
  <c r="J160" i="1" s="1"/>
  <c r="H1102" i="1"/>
  <c r="J1102" i="1" s="1"/>
  <c r="H1103" i="1" l="1"/>
  <c r="J1103" i="1" s="1"/>
  <c r="H161" i="1"/>
  <c r="J161" i="1" s="1"/>
  <c r="H525" i="1"/>
  <c r="J525" i="1" s="1"/>
  <c r="H892" i="1"/>
  <c r="J892" i="1" s="1"/>
  <c r="H893" i="1" l="1"/>
  <c r="J893" i="1" s="1"/>
  <c r="H526" i="1"/>
  <c r="J526" i="1" s="1"/>
  <c r="H162" i="1"/>
  <c r="J162" i="1" s="1"/>
  <c r="H1104" i="1"/>
  <c r="J1104" i="1" s="1"/>
  <c r="H1105" i="1" l="1"/>
  <c r="J1105" i="1" s="1"/>
  <c r="H163" i="1"/>
  <c r="J163" i="1" s="1"/>
  <c r="H527" i="1"/>
  <c r="J527" i="1" s="1"/>
  <c r="H894" i="1"/>
  <c r="J894" i="1" s="1"/>
  <c r="H895" i="1" l="1"/>
  <c r="J895" i="1" s="1"/>
  <c r="H528" i="1"/>
  <c r="J528" i="1" s="1"/>
  <c r="H164" i="1"/>
  <c r="J164" i="1" s="1"/>
  <c r="H1106" i="1"/>
  <c r="J1106" i="1" s="1"/>
  <c r="H165" i="1" l="1"/>
  <c r="J165" i="1" s="1"/>
  <c r="H1107" i="1"/>
  <c r="J1107" i="1" s="1"/>
  <c r="H529" i="1"/>
  <c r="J529" i="1" s="1"/>
  <c r="H896" i="1"/>
  <c r="J896" i="1" s="1"/>
  <c r="H530" i="1" l="1"/>
  <c r="J530" i="1" s="1"/>
  <c r="H897" i="1"/>
  <c r="J897" i="1" s="1"/>
  <c r="H1108" i="1"/>
  <c r="J1108" i="1" s="1"/>
  <c r="H166" i="1"/>
  <c r="J166" i="1" s="1"/>
  <c r="H167" i="1" l="1"/>
  <c r="J167" i="1" s="1"/>
  <c r="H1109" i="1"/>
  <c r="J1109" i="1" s="1"/>
  <c r="H898" i="1"/>
  <c r="J898" i="1" s="1"/>
  <c r="H531" i="1"/>
  <c r="J531" i="1" s="1"/>
  <c r="H532" i="1" l="1"/>
  <c r="J532" i="1" s="1"/>
  <c r="H899" i="1"/>
  <c r="J899" i="1" s="1"/>
  <c r="H1110" i="1"/>
  <c r="J1110" i="1" s="1"/>
  <c r="H168" i="1"/>
  <c r="J168" i="1" s="1"/>
  <c r="H169" i="1" l="1"/>
  <c r="J169" i="1" s="1"/>
  <c r="H1111" i="1"/>
  <c r="J1111" i="1" s="1"/>
  <c r="H900" i="1"/>
  <c r="J900" i="1" s="1"/>
  <c r="H533" i="1"/>
  <c r="J533" i="1" s="1"/>
  <c r="H534" i="1" l="1"/>
  <c r="J534" i="1" s="1"/>
  <c r="H901" i="1"/>
  <c r="J901" i="1" s="1"/>
  <c r="H1112" i="1"/>
  <c r="J1112" i="1" s="1"/>
  <c r="H170" i="1"/>
  <c r="J170" i="1" s="1"/>
  <c r="H171" i="1" l="1"/>
  <c r="J171" i="1" s="1"/>
  <c r="H1113" i="1"/>
  <c r="J1113" i="1" s="1"/>
  <c r="H902" i="1"/>
  <c r="J902" i="1" s="1"/>
  <c r="H535" i="1"/>
  <c r="J535" i="1" s="1"/>
  <c r="H536" i="1" l="1"/>
  <c r="J536" i="1" s="1"/>
  <c r="H903" i="1"/>
  <c r="J903" i="1" s="1"/>
  <c r="H1114" i="1"/>
  <c r="J1114" i="1" s="1"/>
  <c r="H172" i="1"/>
  <c r="J172" i="1" s="1"/>
  <c r="H173" i="1" l="1"/>
  <c r="J173" i="1" s="1"/>
  <c r="H1115" i="1"/>
  <c r="J1115" i="1" s="1"/>
  <c r="H904" i="1"/>
  <c r="J904" i="1" s="1"/>
  <c r="H537" i="1"/>
  <c r="J537" i="1" s="1"/>
  <c r="H905" i="1" l="1"/>
  <c r="J905" i="1" s="1"/>
  <c r="H538" i="1"/>
  <c r="J538" i="1" s="1"/>
  <c r="H1116" i="1"/>
  <c r="J1116" i="1" s="1"/>
  <c r="H174" i="1"/>
  <c r="J174" i="1" s="1"/>
  <c r="H175" i="1" l="1"/>
  <c r="J175" i="1" s="1"/>
  <c r="H1117" i="1"/>
  <c r="J1117" i="1" s="1"/>
  <c r="H539" i="1"/>
  <c r="J539" i="1" s="1"/>
  <c r="H906" i="1"/>
  <c r="J906" i="1" s="1"/>
  <c r="H907" i="1" l="1"/>
  <c r="J907" i="1" s="1"/>
  <c r="H540" i="1"/>
  <c r="J540" i="1" s="1"/>
  <c r="H1118" i="1"/>
  <c r="J1118" i="1" s="1"/>
  <c r="H176" i="1"/>
  <c r="J176" i="1" s="1"/>
  <c r="H177" i="1" l="1"/>
  <c r="J177" i="1" s="1"/>
  <c r="H1119" i="1"/>
  <c r="J1119" i="1" s="1"/>
  <c r="H541" i="1"/>
  <c r="J541" i="1" s="1"/>
  <c r="H908" i="1"/>
  <c r="J908" i="1" s="1"/>
  <c r="H909" i="1" l="1"/>
  <c r="J909" i="1" s="1"/>
  <c r="H542" i="1"/>
  <c r="J542" i="1" s="1"/>
  <c r="H1120" i="1"/>
  <c r="J1120" i="1" s="1"/>
  <c r="H178" i="1"/>
  <c r="J178" i="1" s="1"/>
  <c r="H179" i="1" l="1"/>
  <c r="J179" i="1" s="1"/>
  <c r="H1121" i="1"/>
  <c r="J1121" i="1" s="1"/>
  <c r="H543" i="1"/>
  <c r="J543" i="1" s="1"/>
  <c r="H910" i="1"/>
  <c r="J910" i="1" s="1"/>
  <c r="H911" i="1" l="1"/>
  <c r="J911" i="1" s="1"/>
  <c r="H544" i="1"/>
  <c r="J544" i="1" s="1"/>
  <c r="H1122" i="1"/>
  <c r="J1122" i="1" s="1"/>
  <c r="H180" i="1"/>
  <c r="J180" i="1" s="1"/>
  <c r="H181" i="1" l="1"/>
  <c r="J181" i="1" s="1"/>
  <c r="H1123" i="1"/>
  <c r="J1123" i="1" s="1"/>
  <c r="H545" i="1"/>
  <c r="J545" i="1" s="1"/>
  <c r="H912" i="1"/>
  <c r="J912" i="1" s="1"/>
  <c r="H546" i="1" l="1"/>
  <c r="J546" i="1" s="1"/>
  <c r="H913" i="1"/>
  <c r="J913" i="1" s="1"/>
  <c r="H1124" i="1"/>
  <c r="J1124" i="1" s="1"/>
  <c r="H182" i="1"/>
  <c r="J182" i="1" s="1"/>
  <c r="H183" i="1" l="1"/>
  <c r="J183" i="1" s="1"/>
  <c r="H1125" i="1"/>
  <c r="J1125" i="1" s="1"/>
  <c r="H914" i="1"/>
  <c r="J914" i="1" s="1"/>
  <c r="H547" i="1"/>
  <c r="J547" i="1" s="1"/>
  <c r="H548" i="1" l="1"/>
  <c r="J548" i="1" s="1"/>
  <c r="H915" i="1"/>
  <c r="J915" i="1" s="1"/>
  <c r="H1126" i="1"/>
  <c r="J1126" i="1" s="1"/>
  <c r="H184" i="1"/>
  <c r="J184" i="1" s="1"/>
  <c r="H185" i="1" l="1"/>
  <c r="J185" i="1" s="1"/>
  <c r="H1127" i="1"/>
  <c r="J1127" i="1" s="1"/>
  <c r="H916" i="1"/>
  <c r="J916" i="1" s="1"/>
  <c r="H549" i="1"/>
  <c r="J549" i="1" s="1"/>
  <c r="H550" i="1" l="1"/>
  <c r="J550" i="1" s="1"/>
  <c r="H917" i="1"/>
  <c r="J917" i="1" s="1"/>
  <c r="H1128" i="1"/>
  <c r="J1128" i="1" s="1"/>
  <c r="H186" i="1"/>
  <c r="J186" i="1" s="1"/>
  <c r="H187" i="1" l="1"/>
  <c r="J187" i="1" s="1"/>
  <c r="H1129" i="1"/>
  <c r="J1129" i="1" s="1"/>
  <c r="H918" i="1"/>
  <c r="J918" i="1" s="1"/>
  <c r="H551" i="1"/>
  <c r="J551" i="1" s="1"/>
  <c r="H919" i="1" l="1"/>
  <c r="J919" i="1" s="1"/>
  <c r="H552" i="1"/>
  <c r="J552" i="1" s="1"/>
  <c r="H1130" i="1"/>
  <c r="J1130" i="1" s="1"/>
  <c r="H188" i="1"/>
  <c r="J188" i="1" s="1"/>
  <c r="H189" i="1" l="1"/>
  <c r="J189" i="1" s="1"/>
  <c r="H1131" i="1"/>
  <c r="J1131" i="1" s="1"/>
  <c r="H553" i="1"/>
  <c r="J553" i="1" s="1"/>
  <c r="H920" i="1"/>
  <c r="J920" i="1" s="1"/>
  <c r="H921" i="1" l="1"/>
  <c r="J921" i="1" s="1"/>
  <c r="H554" i="1"/>
  <c r="J554" i="1" s="1"/>
  <c r="H1132" i="1"/>
  <c r="J1132" i="1" s="1"/>
  <c r="H190" i="1"/>
  <c r="J190" i="1" s="1"/>
  <c r="H191" i="1" l="1"/>
  <c r="J191" i="1" s="1"/>
  <c r="H1133" i="1"/>
  <c r="J1133" i="1" s="1"/>
  <c r="H555" i="1"/>
  <c r="J555" i="1" s="1"/>
  <c r="H922" i="1"/>
  <c r="J922" i="1" s="1"/>
  <c r="H923" i="1" l="1"/>
  <c r="J923" i="1" s="1"/>
  <c r="H556" i="1"/>
  <c r="J556" i="1" s="1"/>
  <c r="H1134" i="1"/>
  <c r="J1134" i="1" s="1"/>
  <c r="H192" i="1"/>
  <c r="J192" i="1" s="1"/>
  <c r="H193" i="1" l="1"/>
  <c r="J193" i="1" s="1"/>
  <c r="H1135" i="1"/>
  <c r="J1135" i="1" s="1"/>
  <c r="H557" i="1"/>
  <c r="J557" i="1" s="1"/>
  <c r="H924" i="1"/>
  <c r="J924" i="1" s="1"/>
  <c r="H925" i="1" l="1"/>
  <c r="J925" i="1" s="1"/>
  <c r="H558" i="1"/>
  <c r="J558" i="1" s="1"/>
  <c r="H1136" i="1"/>
  <c r="J1136" i="1" s="1"/>
  <c r="H194" i="1"/>
  <c r="J194" i="1" s="1"/>
  <c r="H926" i="1" l="1"/>
  <c r="J926" i="1" s="1"/>
  <c r="H195" i="1"/>
  <c r="J195" i="1" s="1"/>
  <c r="H1137" i="1"/>
  <c r="J1137" i="1" s="1"/>
  <c r="H559" i="1"/>
  <c r="J559" i="1" s="1"/>
  <c r="H560" i="1" l="1"/>
  <c r="J560" i="1" s="1"/>
  <c r="H1138" i="1"/>
  <c r="J1138" i="1" s="1"/>
  <c r="H196" i="1"/>
  <c r="J196" i="1" s="1"/>
  <c r="H927" i="1"/>
  <c r="J927" i="1" s="1"/>
  <c r="H928" i="1" l="1"/>
  <c r="J928" i="1" s="1"/>
  <c r="H197" i="1"/>
  <c r="J197" i="1" s="1"/>
  <c r="H1139" i="1"/>
  <c r="J1139" i="1" s="1"/>
  <c r="H561" i="1"/>
  <c r="J561" i="1" s="1"/>
  <c r="H562" i="1" l="1"/>
  <c r="J562" i="1" s="1"/>
  <c r="H1140" i="1"/>
  <c r="J1140" i="1" s="1"/>
  <c r="H198" i="1"/>
  <c r="J198" i="1" s="1"/>
  <c r="H929" i="1"/>
  <c r="J929" i="1" s="1"/>
  <c r="H930" i="1" l="1"/>
  <c r="J930" i="1" s="1"/>
  <c r="H199" i="1"/>
  <c r="J199" i="1" s="1"/>
  <c r="H1141" i="1"/>
  <c r="J1141" i="1" s="1"/>
  <c r="H563" i="1"/>
  <c r="J563" i="1" s="1"/>
  <c r="H564" i="1" l="1"/>
  <c r="J564" i="1" s="1"/>
  <c r="H1142" i="1"/>
  <c r="J1142" i="1" s="1"/>
  <c r="H200" i="1"/>
  <c r="J200" i="1" s="1"/>
  <c r="H931" i="1"/>
  <c r="J931" i="1" s="1"/>
  <c r="H932" i="1" l="1"/>
  <c r="J932" i="1" s="1"/>
  <c r="H201" i="1"/>
  <c r="J201" i="1" s="1"/>
  <c r="H1143" i="1"/>
  <c r="J1143" i="1" s="1"/>
  <c r="H565" i="1"/>
  <c r="J565" i="1" s="1"/>
  <c r="H566" i="1" l="1"/>
  <c r="J566" i="1" s="1"/>
  <c r="H1144" i="1"/>
  <c r="J1144" i="1" s="1"/>
  <c r="H202" i="1"/>
  <c r="J202" i="1" s="1"/>
  <c r="H933" i="1"/>
  <c r="J933" i="1" s="1"/>
  <c r="H934" i="1" l="1"/>
  <c r="J934" i="1" s="1"/>
  <c r="H203" i="1"/>
  <c r="J203" i="1" s="1"/>
  <c r="H1145" i="1"/>
  <c r="J1145" i="1" s="1"/>
  <c r="H567" i="1"/>
  <c r="J567" i="1" s="1"/>
  <c r="H568" i="1" l="1"/>
  <c r="J568" i="1" s="1"/>
  <c r="H1146" i="1"/>
  <c r="J1146" i="1" s="1"/>
  <c r="H204" i="1"/>
  <c r="J204" i="1" s="1"/>
  <c r="H935" i="1"/>
  <c r="J935" i="1" s="1"/>
  <c r="H936" i="1" l="1"/>
  <c r="J936" i="1" s="1"/>
  <c r="H205" i="1"/>
  <c r="J205" i="1" s="1"/>
  <c r="H1147" i="1"/>
  <c r="J1147" i="1" s="1"/>
  <c r="H569" i="1"/>
  <c r="J569" i="1" s="1"/>
  <c r="H570" i="1" l="1"/>
  <c r="J570" i="1" s="1"/>
  <c r="H1148" i="1"/>
  <c r="J1148" i="1" s="1"/>
  <c r="H206" i="1"/>
  <c r="J206" i="1" s="1"/>
  <c r="H937" i="1"/>
  <c r="J937" i="1" s="1"/>
  <c r="H938" i="1" l="1"/>
  <c r="J938" i="1" s="1"/>
  <c r="H207" i="1"/>
  <c r="J207" i="1" s="1"/>
  <c r="H1149" i="1"/>
  <c r="J1149" i="1" s="1"/>
  <c r="H571" i="1"/>
  <c r="J571" i="1" s="1"/>
  <c r="H572" i="1" l="1"/>
  <c r="J572" i="1" s="1"/>
  <c r="H1150" i="1"/>
  <c r="J1150" i="1" s="1"/>
  <c r="H208" i="1"/>
  <c r="J208" i="1" s="1"/>
  <c r="H939" i="1"/>
  <c r="J939" i="1" s="1"/>
  <c r="H209" i="1" l="1"/>
  <c r="J209" i="1" s="1"/>
  <c r="H940" i="1"/>
  <c r="J940" i="1" s="1"/>
  <c r="H1151" i="1"/>
  <c r="J1151" i="1" s="1"/>
  <c r="H573" i="1"/>
  <c r="J573" i="1" s="1"/>
  <c r="H574" i="1" l="1"/>
  <c r="J574" i="1" s="1"/>
  <c r="H1152" i="1"/>
  <c r="J1152" i="1" s="1"/>
  <c r="H941" i="1"/>
  <c r="J941" i="1" s="1"/>
  <c r="H210" i="1"/>
  <c r="J210" i="1" s="1"/>
  <c r="H211" i="1" l="1"/>
  <c r="J211" i="1" s="1"/>
  <c r="H942" i="1"/>
  <c r="J942" i="1" s="1"/>
  <c r="H1153" i="1"/>
  <c r="J1153" i="1" s="1"/>
  <c r="H575" i="1"/>
  <c r="J575" i="1" s="1"/>
  <c r="H576" i="1" l="1"/>
  <c r="J576" i="1" s="1"/>
  <c r="H1154" i="1"/>
  <c r="J1154" i="1" s="1"/>
  <c r="H943" i="1"/>
  <c r="J943" i="1" s="1"/>
  <c r="H212" i="1"/>
  <c r="J212" i="1" s="1"/>
  <c r="H213" i="1" l="1"/>
  <c r="J213" i="1" s="1"/>
  <c r="J944" i="1"/>
  <c r="H1155" i="1"/>
  <c r="J1155" i="1" s="1"/>
  <c r="H577" i="1"/>
  <c r="J577" i="1" s="1"/>
  <c r="H1156" i="1" l="1"/>
  <c r="J1156" i="1" s="1"/>
  <c r="H578" i="1"/>
  <c r="J578" i="1" s="1"/>
  <c r="H579" i="1" l="1"/>
  <c r="J579" i="1" s="1"/>
  <c r="H1157" i="1"/>
  <c r="J1157" i="1" s="1"/>
  <c r="H1158" i="1" l="1"/>
  <c r="J1158" i="1" s="1"/>
  <c r="H1159" i="1" l="1"/>
  <c r="J1159" i="1" s="1"/>
  <c r="H1160" i="1" l="1"/>
  <c r="J1160" i="1" s="1"/>
  <c r="H1161" i="1" l="1"/>
  <c r="J1161" i="1" s="1"/>
  <c r="H1162" i="1" l="1"/>
  <c r="J1162" i="1" s="1"/>
  <c r="H1163" i="1" l="1"/>
  <c r="J1163" i="1" s="1"/>
  <c r="H1164" i="1" l="1"/>
  <c r="J1164" i="1" s="1"/>
  <c r="H1165" i="1" l="1"/>
  <c r="J1165" i="1" s="1"/>
  <c r="H1166" i="1" l="1"/>
  <c r="J1166" i="1" s="1"/>
  <c r="H1167" i="1" l="1"/>
  <c r="J1167" i="1" s="1"/>
  <c r="H1168" i="1" l="1"/>
  <c r="J1168" i="1" s="1"/>
  <c r="H1169" i="1" l="1"/>
  <c r="J1169" i="1" s="1"/>
  <c r="H1170" i="1" l="1"/>
  <c r="J1170" i="1" s="1"/>
  <c r="H1171" i="1" l="1"/>
  <c r="J1171" i="1" s="1"/>
  <c r="H1172" i="1" l="1"/>
  <c r="J1172" i="1" s="1"/>
  <c r="H1173" i="1" l="1"/>
  <c r="J1173" i="1" s="1"/>
  <c r="H1174" i="1" l="1"/>
  <c r="J1174" i="1" s="1"/>
  <c r="H1175" i="1" l="1"/>
  <c r="J1175" i="1" s="1"/>
  <c r="H1176" i="1" l="1"/>
  <c r="J1176" i="1" s="1"/>
  <c r="H1177" i="1" l="1"/>
  <c r="J1177" i="1" s="1"/>
  <c r="H1178" i="1" l="1"/>
  <c r="J1178" i="1" s="1"/>
  <c r="H1179" i="1" l="1"/>
  <c r="J1179" i="1" s="1"/>
  <c r="H1180" i="1" l="1"/>
  <c r="J1180" i="1" s="1"/>
  <c r="H1181" i="1" l="1"/>
  <c r="J1181" i="1" s="1"/>
  <c r="H1182" i="1" l="1"/>
  <c r="J1182" i="1" s="1"/>
  <c r="H1183" i="1" l="1"/>
  <c r="J1183" i="1" s="1"/>
  <c r="H1184" i="1" l="1"/>
  <c r="J1184" i="1" s="1"/>
  <c r="H1185" i="1" l="1"/>
  <c r="J1185" i="1" s="1"/>
  <c r="H1186" i="1" l="1"/>
  <c r="J1186" i="1" s="1"/>
  <c r="H1187" i="1" l="1"/>
  <c r="J1187" i="1" s="1"/>
  <c r="H1188" i="1" l="1"/>
  <c r="J1188" i="1" s="1"/>
  <c r="H1189" i="1" l="1"/>
  <c r="J1189" i="1" s="1"/>
  <c r="H1190" i="1" l="1"/>
  <c r="J1190" i="1" s="1"/>
  <c r="H1191" i="1" l="1"/>
  <c r="J1191" i="1" s="1"/>
  <c r="H1192" i="1" l="1"/>
  <c r="J1192" i="1" s="1"/>
  <c r="H1193" i="1" l="1"/>
  <c r="J1193" i="1" s="1"/>
  <c r="H1194" i="1" l="1"/>
  <c r="J1194" i="1" s="1"/>
  <c r="H1195" i="1" l="1"/>
  <c r="J1195" i="1" s="1"/>
  <c r="H1196" i="1" l="1"/>
  <c r="J1196" i="1" s="1"/>
  <c r="H1197" i="1" l="1"/>
  <c r="J1197" i="1" s="1"/>
  <c r="H1198" i="1" l="1"/>
  <c r="J1198" i="1" s="1"/>
  <c r="H1199" i="1" l="1"/>
  <c r="J1199" i="1" s="1"/>
  <c r="H1200" i="1" l="1"/>
  <c r="J1200" i="1" s="1"/>
  <c r="H1201" i="1" l="1"/>
  <c r="J1201" i="1" s="1"/>
  <c r="H1202" i="1" l="1"/>
  <c r="J1202" i="1" s="1"/>
  <c r="H1203" i="1" l="1"/>
  <c r="J1203" i="1" s="1"/>
  <c r="H1204" i="1" l="1"/>
  <c r="J1204" i="1" s="1"/>
  <c r="H1205" i="1" l="1"/>
  <c r="J1205" i="1" s="1"/>
  <c r="H1206" i="1" l="1"/>
  <c r="J1206" i="1" s="1"/>
  <c r="H1207" i="1" l="1"/>
  <c r="J1207" i="1" s="1"/>
  <c r="H1208" i="1" l="1"/>
  <c r="J1208" i="1" s="1"/>
  <c r="H1209" i="1" l="1"/>
  <c r="J1209" i="1" s="1"/>
  <c r="H1210" i="1" l="1"/>
  <c r="J1210" i="1" s="1"/>
  <c r="H1211" i="1" l="1"/>
  <c r="J1211" i="1" s="1"/>
  <c r="H1212" i="1" l="1"/>
  <c r="J1212" i="1" s="1"/>
  <c r="H1213" i="1" l="1"/>
  <c r="J1213" i="1" s="1"/>
  <c r="H1214" i="1" l="1"/>
  <c r="J1214" i="1" s="1"/>
  <c r="H1215" i="1" l="1"/>
  <c r="J1215" i="1" s="1"/>
  <c r="H1216" i="1" l="1"/>
  <c r="J1216" i="1" s="1"/>
  <c r="H1217" i="1" l="1"/>
  <c r="J1217" i="1" s="1"/>
  <c r="H1218" i="1" l="1"/>
  <c r="J1218" i="1" s="1"/>
  <c r="H1219" i="1" l="1"/>
  <c r="J1219" i="1" s="1"/>
  <c r="H1220" i="1" l="1"/>
  <c r="J1220" i="1" s="1"/>
  <c r="H1221" i="1" l="1"/>
  <c r="J1221" i="1" s="1"/>
  <c r="H1222" i="1" l="1"/>
  <c r="J1222" i="1" s="1"/>
  <c r="H1223" i="1" l="1"/>
  <c r="J1223" i="1" s="1"/>
  <c r="H1224" i="1" l="1"/>
  <c r="J1224" i="1" s="1"/>
  <c r="H1225" i="1" l="1"/>
  <c r="J1225" i="1" s="1"/>
  <c r="H1226" i="1" l="1"/>
  <c r="J1226" i="1" s="1"/>
  <c r="H1227" i="1" l="1"/>
  <c r="J1227" i="1" s="1"/>
  <c r="H1228" i="1" l="1"/>
  <c r="J1228" i="1" s="1"/>
  <c r="H1229" i="1" l="1"/>
  <c r="J1229" i="1" s="1"/>
  <c r="H1230" i="1" l="1"/>
  <c r="J1230" i="1" s="1"/>
  <c r="H1231" i="1" l="1"/>
  <c r="J1231" i="1" s="1"/>
  <c r="H1232" i="1" l="1"/>
  <c r="J1232" i="1" s="1"/>
  <c r="H1233" i="1" l="1"/>
  <c r="J1233" i="1" s="1"/>
  <c r="H1234" i="1" l="1"/>
  <c r="J1234" i="1" s="1"/>
  <c r="H1235" i="1" l="1"/>
  <c r="J1235" i="1" s="1"/>
  <c r="H1236" i="1" l="1"/>
  <c r="J1236" i="1" s="1"/>
  <c r="H1237" i="1" l="1"/>
  <c r="J1237" i="1" s="1"/>
  <c r="H1238" i="1" l="1"/>
  <c r="J1238" i="1" s="1"/>
  <c r="H1239" i="1" l="1"/>
  <c r="J1239" i="1" s="1"/>
  <c r="H1240" i="1" l="1"/>
  <c r="J1240" i="1" s="1"/>
  <c r="H1241" i="1" l="1"/>
  <c r="J1241" i="1" s="1"/>
  <c r="H1242" i="1" l="1"/>
  <c r="J1242" i="1" s="1"/>
  <c r="H1243" i="1" l="1"/>
  <c r="J1243" i="1" s="1"/>
  <c r="H1244" i="1" l="1"/>
  <c r="J1244" i="1" s="1"/>
  <c r="H1245" i="1" l="1"/>
  <c r="J1245" i="1" s="1"/>
  <c r="H1246" i="1" l="1"/>
  <c r="J1246" i="1" s="1"/>
  <c r="H1247" i="1" l="1"/>
  <c r="J1247" i="1" s="1"/>
  <c r="H1248" i="1" l="1"/>
  <c r="J1248" i="1" s="1"/>
</calcChain>
</file>

<file path=xl/sharedStrings.xml><?xml version="1.0" encoding="utf-8"?>
<sst xmlns="http://schemas.openxmlformats.org/spreadsheetml/2006/main" count="1274" uniqueCount="50">
  <si>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</si>
  <si>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</si>
  <si>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</si>
  <si>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</si>
  <si>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</si>
  <si>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</si>
  <si>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</si>
  <si>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</si>
  <si>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</si>
  <si>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</si>
  <si>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Mostly Cloudy and Rainy</t>
  </si>
  <si>
    <t>Cloudy</t>
  </si>
  <si>
    <t>Cloudy and Rainy</t>
  </si>
  <si>
    <t>Partially Cloudy</t>
  </si>
  <si>
    <t xml:space="preserve">Mostly Cloudy </t>
  </si>
  <si>
    <t>Mostly Cloudy</t>
  </si>
  <si>
    <t xml:space="preserve">Cloudy and Rainy </t>
  </si>
  <si>
    <t>cloudy&amp;light rain</t>
  </si>
  <si>
    <t>partially cloudy</t>
  </si>
  <si>
    <t>Partially cloudy</t>
  </si>
  <si>
    <t>Full day Rainy</t>
  </si>
  <si>
    <t>Mostly cloudy &amp;Partially Rainy</t>
  </si>
  <si>
    <t xml:space="preserve">Mostly cloudy </t>
  </si>
  <si>
    <t>Full Day Rainy</t>
  </si>
  <si>
    <t>Sunny</t>
  </si>
  <si>
    <t>Cloudy and Rainy (Heavy rain Started on 3:50 PM)</t>
  </si>
  <si>
    <t xml:space="preserve">Cloudy </t>
  </si>
  <si>
    <t>Partially Cloudy and Rainy</t>
  </si>
  <si>
    <t>Cloudy and Rainy (Rain Started on 3:58 PM and continued till Evening)</t>
  </si>
  <si>
    <t>Cloudy &amp; Rainy (Rain Started on 4:20 PM and Continued till evening)</t>
  </si>
  <si>
    <t>Partially Cloudy (Grid Off from 8:32AM to 8:45PM, Due to LC Taken by 220KV Substation for Quaterly Maintenance.)</t>
  </si>
  <si>
    <t>Rainy</t>
  </si>
  <si>
    <t>Mostly Cloudy and No Sunshine</t>
  </si>
  <si>
    <t>Partilly Cloudy</t>
  </si>
  <si>
    <t>Cloudy and KPTCL LC was there</t>
  </si>
  <si>
    <t>Mostly Rainy</t>
  </si>
  <si>
    <t xml:space="preserve"> Cloudy and Rainy</t>
  </si>
  <si>
    <t>Partially Cloudy and rainy</t>
  </si>
  <si>
    <t>sunny</t>
  </si>
  <si>
    <t>sunny and cloudy</t>
  </si>
  <si>
    <t>Weather-Cloudy and Rainy</t>
  </si>
  <si>
    <t>Weather-Cloudy</t>
  </si>
  <si>
    <t>Weather cloudy and rainy</t>
  </si>
  <si>
    <t>Weather- Moderate Cloudy</t>
  </si>
  <si>
    <t>AC supply was not available due to maintenance at grid end</t>
  </si>
  <si>
    <t>Weather - Cloudy and drizzling</t>
  </si>
  <si>
    <t>moderate cloudy</t>
  </si>
  <si>
    <t>cloudy and rainy</t>
  </si>
  <si>
    <t>cloudy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</si>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</sst>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 * #,##0.00_ ;_ * \-#,##0.00_ ;_ * &quot;-&quot;??_ ;_ @_ "/>
  </numFmts>
  <fonts count="10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3"/>
      <color theme="1"/>
      <name val="Arial"/>
      <family val="2"/>
      <scheme val="minor"/>
    </font>
    <font>
      <sz val="14"/>
      <color theme="1"/>
      <name val="Calibri"/>
      <family val="2"/>
    </font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Calibri"/>
      <family val="2"/>
    </font>
    <font>
      <sz val="12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64" fontId="2" fillId="0" borderId="0" xfId="0" applyNumberFormat="1" applyFont="1"/>
    <xf numFmtId="1" fontId="5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2" applyNumberFormat="1" applyFont="1" applyFill="1" applyBorder="1" applyAlignment="1">
      <alignment horizontal="center" vertical="center"/>
    </xf>
    <xf numFmtId="2" fontId="0" fillId="3" borderId="1" xfId="2" applyNumberFormat="1" applyFont="1" applyFill="1" applyBorder="1" applyAlignment="1">
      <alignment horizontal="center" vertical="center"/>
    </xf>
    <xf numFmtId="0" fontId="0" fillId="3" borderId="1" xfId="2" applyNumberFormat="1" applyFont="1" applyFill="1" applyBorder="1" applyAlignment="1">
      <alignment horizontal="center" vertical="center"/>
    </xf>
    <xf numFmtId="2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164" fontId="5" fillId="2" borderId="1" xfId="0" applyNumberFormat="1" applyFont="1" applyFill="1" applyBorder="1" applyAlignment="1">
      <alignment horizontal="center" vertical="center"/>
    </xf>
    <xf numFmtId="2" fontId="2" fillId="0" borderId="0" xfId="0" applyNumberFormat="1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top"/>
    </xf>
    <xf numFmtId="2" fontId="4" fillId="0" borderId="1" xfId="0" applyNumberFormat="1" applyFont="1" applyBorder="1" applyAlignment="1">
      <alignment horizontal="left"/>
    </xf>
    <xf numFmtId="2" fontId="0" fillId="0" borderId="1" xfId="1" applyNumberFormat="1" applyFont="1" applyBorder="1"/>
    <xf numFmtId="2" fontId="8" fillId="4" borderId="1" xfId="0" applyNumberFormat="1" applyFont="1" applyFill="1" applyBorder="1" applyAlignment="1">
      <alignment horizontal="center" vertical="center"/>
    </xf>
    <xf numFmtId="2" fontId="9" fillId="4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3">
    <cellStyle name="Comma 2 2 3 2 5 2" xfId="2" xr:uid="{9A37EDBA-D58C-E841-80C1-F1A57E07D17C}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O&amp;M%20Data%20Dashboard.xlsx" TargetMode="External"/><Relationship Id="rId2" Type="http://schemas.openxmlformats.org/officeDocument/2006/relationships/externalLinkPath" Target="/Users/anurag01sharma001/Desktop/SECI%20/O&amp;M/O&amp;M%20Dashboard/O&amp;M%20Data%20Dashboard.xlsx" TargetMode="External"/><Relationship Id="rId1" Type="http://schemas.openxmlformats.org/officeDocument/2006/relationships/externalLinkPath" Target="/Users/anurag01sharma001/Desktop/SECI%20/O&amp;M/O&amp;M%20Dashboard/O&amp;M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CI O&amp;M Dashboard"/>
      <sheetName val="DRDO Kolar Dashboard"/>
      <sheetName val="DRDO Kolar Data"/>
      <sheetName val="Agatti Dashboard"/>
      <sheetName val="Kaveratti 1.4 MW Solar+BESS DB"/>
      <sheetName val="Kaveratti Data"/>
      <sheetName val="Agatti Data"/>
      <sheetName val="Lakshdweep Islands"/>
      <sheetName val="BADI SID Dashboard"/>
      <sheetName val="BADI SID DATA"/>
      <sheetName val="Rajnandgaon Dashboard"/>
      <sheetName val="Rajnandgaon Data"/>
    </sheetNames>
    <sheetDataSet>
      <sheetData sheetId="0"/>
      <sheetData sheetId="1"/>
      <sheetData sheetId="2">
        <row r="1">
          <cell r="A1" t="str">
            <v>date</v>
          </cell>
          <cell r="B1" t="str">
            <v>Days</v>
          </cell>
          <cell r="C1" t="str">
            <v>generation (In Kwh)</v>
          </cell>
          <cell r="D1" t="str">
            <v>Radiation (Tilt), no normal GHI is there</v>
          </cell>
          <cell r="E1" t="str">
            <v>Peak Power (in Mw)</v>
          </cell>
        </row>
        <row r="2">
          <cell r="A2">
            <v>44805</v>
          </cell>
          <cell r="B2">
            <v>1</v>
          </cell>
          <cell r="C2">
            <v>45499.349999997765</v>
          </cell>
          <cell r="D2">
            <v>5.39</v>
          </cell>
          <cell r="E2">
            <v>11.1</v>
          </cell>
        </row>
        <row r="3">
          <cell r="A3">
            <v>44806</v>
          </cell>
          <cell r="B3">
            <v>2</v>
          </cell>
          <cell r="C3">
            <v>52649.35000000149</v>
          </cell>
          <cell r="D3">
            <v>6</v>
          </cell>
          <cell r="E3">
            <v>11.1</v>
          </cell>
        </row>
        <row r="4">
          <cell r="A4">
            <v>44807</v>
          </cell>
          <cell r="B4">
            <v>3</v>
          </cell>
          <cell r="C4">
            <v>52650</v>
          </cell>
          <cell r="D4">
            <v>6</v>
          </cell>
          <cell r="E4">
            <v>11</v>
          </cell>
        </row>
        <row r="5">
          <cell r="A5">
            <v>44808</v>
          </cell>
          <cell r="B5">
            <v>4</v>
          </cell>
          <cell r="C5">
            <v>42900.64999999851</v>
          </cell>
          <cell r="D5">
            <v>4.82</v>
          </cell>
          <cell r="E5">
            <v>11.1</v>
          </cell>
        </row>
        <row r="6">
          <cell r="A6">
            <v>44809</v>
          </cell>
          <cell r="B6">
            <v>5</v>
          </cell>
          <cell r="C6">
            <v>65650</v>
          </cell>
          <cell r="D6">
            <v>6.99</v>
          </cell>
          <cell r="E6">
            <v>10</v>
          </cell>
        </row>
        <row r="7">
          <cell r="A7">
            <v>44810</v>
          </cell>
          <cell r="B7">
            <v>6</v>
          </cell>
          <cell r="C7">
            <v>52650</v>
          </cell>
          <cell r="D7">
            <v>5.39</v>
          </cell>
          <cell r="E7">
            <v>10</v>
          </cell>
        </row>
        <row r="8">
          <cell r="A8">
            <v>44811</v>
          </cell>
          <cell r="B8">
            <v>7</v>
          </cell>
          <cell r="C8">
            <v>29250.650000002235</v>
          </cell>
          <cell r="D8">
            <v>3.04</v>
          </cell>
          <cell r="E8">
            <v>10.3</v>
          </cell>
        </row>
        <row r="9">
          <cell r="A9">
            <v>44812</v>
          </cell>
          <cell r="B9">
            <v>8</v>
          </cell>
          <cell r="C9">
            <v>24698.699999999255</v>
          </cell>
          <cell r="D9">
            <v>2.64</v>
          </cell>
          <cell r="E9">
            <v>10.199999999999999</v>
          </cell>
        </row>
        <row r="10">
          <cell r="A10">
            <v>44813</v>
          </cell>
          <cell r="B10">
            <v>9</v>
          </cell>
          <cell r="C10">
            <v>47450.64999999851</v>
          </cell>
          <cell r="D10">
            <v>4.9400000000000004</v>
          </cell>
          <cell r="E10">
            <v>10.6</v>
          </cell>
        </row>
        <row r="11">
          <cell r="A11">
            <v>44814</v>
          </cell>
          <cell r="B11">
            <v>10</v>
          </cell>
          <cell r="C11">
            <v>43550.64999999851</v>
          </cell>
          <cell r="D11">
            <v>4.49</v>
          </cell>
          <cell r="E11">
            <v>10.1</v>
          </cell>
        </row>
        <row r="12">
          <cell r="A12">
            <v>44815</v>
          </cell>
          <cell r="B12">
            <v>11</v>
          </cell>
          <cell r="C12">
            <v>38350.000000003725</v>
          </cell>
          <cell r="D12">
            <v>4.0199999999999996</v>
          </cell>
          <cell r="E12">
            <v>10.4</v>
          </cell>
        </row>
        <row r="13">
          <cell r="A13">
            <v>44816</v>
          </cell>
          <cell r="B13">
            <v>12</v>
          </cell>
          <cell r="C13">
            <v>49398.699999999255</v>
          </cell>
          <cell r="D13">
            <v>5.17</v>
          </cell>
          <cell r="E13">
            <v>10.8</v>
          </cell>
        </row>
        <row r="14">
          <cell r="A14">
            <v>44817</v>
          </cell>
          <cell r="B14">
            <v>13</v>
          </cell>
          <cell r="C14">
            <v>49400.64999999851</v>
          </cell>
          <cell r="D14">
            <v>5.0999999999999996</v>
          </cell>
          <cell r="E14">
            <v>10.199999999999999</v>
          </cell>
        </row>
        <row r="15">
          <cell r="A15">
            <v>44818</v>
          </cell>
          <cell r="B15">
            <v>14</v>
          </cell>
          <cell r="C15">
            <v>57850.64999999851</v>
          </cell>
          <cell r="D15">
            <v>5.99</v>
          </cell>
          <cell r="E15">
            <v>10.1</v>
          </cell>
        </row>
        <row r="16">
          <cell r="A16">
            <v>44819</v>
          </cell>
          <cell r="B16">
            <v>15</v>
          </cell>
          <cell r="C16">
            <v>33799.35000000149</v>
          </cell>
          <cell r="D16">
            <v>4.2699999999999996</v>
          </cell>
          <cell r="E16">
            <v>10</v>
          </cell>
        </row>
        <row r="17">
          <cell r="A17">
            <v>44820</v>
          </cell>
          <cell r="B17">
            <v>16</v>
          </cell>
          <cell r="C17">
            <v>55250.64999999851</v>
          </cell>
          <cell r="D17">
            <v>5.74</v>
          </cell>
          <cell r="E17">
            <v>10</v>
          </cell>
        </row>
        <row r="18">
          <cell r="A18">
            <v>44821</v>
          </cell>
          <cell r="B18">
            <v>17</v>
          </cell>
          <cell r="C18">
            <v>61748.70000000298</v>
          </cell>
          <cell r="D18">
            <v>5.74</v>
          </cell>
          <cell r="E18">
            <v>10</v>
          </cell>
        </row>
        <row r="19">
          <cell r="A19">
            <v>44822</v>
          </cell>
          <cell r="B19">
            <v>18</v>
          </cell>
          <cell r="C19">
            <v>57850.64999999851</v>
          </cell>
          <cell r="D19">
            <v>6.4</v>
          </cell>
          <cell r="E19">
            <v>10</v>
          </cell>
        </row>
        <row r="20">
          <cell r="A20">
            <v>44823</v>
          </cell>
          <cell r="B20">
            <v>19</v>
          </cell>
          <cell r="C20">
            <v>50051.30000000447</v>
          </cell>
          <cell r="D20">
            <v>5.19</v>
          </cell>
          <cell r="E20">
            <v>10.9</v>
          </cell>
        </row>
        <row r="21">
          <cell r="A21">
            <v>44824</v>
          </cell>
          <cell r="B21">
            <v>20</v>
          </cell>
          <cell r="C21">
            <v>65646.75</v>
          </cell>
          <cell r="D21">
            <v>6.7</v>
          </cell>
          <cell r="E21">
            <v>11.1</v>
          </cell>
        </row>
        <row r="22">
          <cell r="A22">
            <v>44825</v>
          </cell>
          <cell r="B22">
            <v>21</v>
          </cell>
          <cell r="C22">
            <v>58501.949999991804</v>
          </cell>
          <cell r="D22">
            <v>6.02</v>
          </cell>
          <cell r="E22">
            <v>10.8</v>
          </cell>
        </row>
        <row r="23">
          <cell r="A23">
            <v>44826</v>
          </cell>
          <cell r="B23">
            <v>22</v>
          </cell>
          <cell r="C23">
            <v>65650.650000002235</v>
          </cell>
          <cell r="D23">
            <v>6.75</v>
          </cell>
          <cell r="E23">
            <v>10.9</v>
          </cell>
        </row>
        <row r="24">
          <cell r="A24">
            <v>44827</v>
          </cell>
          <cell r="B24">
            <v>23</v>
          </cell>
          <cell r="C24">
            <v>67598.70000000298</v>
          </cell>
          <cell r="D24">
            <v>6.69</v>
          </cell>
          <cell r="E24">
            <v>11.1</v>
          </cell>
        </row>
        <row r="25">
          <cell r="A25">
            <v>44828</v>
          </cell>
          <cell r="B25">
            <v>24</v>
          </cell>
          <cell r="C25">
            <v>56549.34999999404</v>
          </cell>
          <cell r="D25">
            <v>5.88</v>
          </cell>
          <cell r="E25">
            <v>10.9</v>
          </cell>
        </row>
        <row r="26">
          <cell r="A26">
            <v>44829</v>
          </cell>
          <cell r="B26">
            <v>25</v>
          </cell>
          <cell r="C26">
            <v>53951.30000000447</v>
          </cell>
          <cell r="D26">
            <v>5.56</v>
          </cell>
          <cell r="E26">
            <v>10.8</v>
          </cell>
        </row>
        <row r="27">
          <cell r="A27">
            <v>44830</v>
          </cell>
          <cell r="B27">
            <v>26</v>
          </cell>
          <cell r="C27">
            <v>30551.95000000298</v>
          </cell>
          <cell r="D27">
            <v>3.18</v>
          </cell>
          <cell r="E27">
            <v>9.8000000000000007</v>
          </cell>
        </row>
        <row r="28">
          <cell r="A28">
            <v>44831</v>
          </cell>
          <cell r="B28">
            <v>27</v>
          </cell>
          <cell r="C28">
            <v>44199.34999999404</v>
          </cell>
          <cell r="D28">
            <v>4.38</v>
          </cell>
          <cell r="E28">
            <v>10.1</v>
          </cell>
        </row>
        <row r="29">
          <cell r="A29">
            <v>44832</v>
          </cell>
          <cell r="B29">
            <v>28</v>
          </cell>
          <cell r="C29">
            <v>35098.70000000298</v>
          </cell>
          <cell r="D29">
            <v>3.48</v>
          </cell>
          <cell r="E29">
            <v>9.6999999999999993</v>
          </cell>
        </row>
        <row r="30">
          <cell r="A30">
            <v>44833</v>
          </cell>
          <cell r="B30">
            <v>29</v>
          </cell>
          <cell r="C30">
            <v>44200</v>
          </cell>
          <cell r="D30">
            <v>4.55</v>
          </cell>
          <cell r="E30">
            <v>10.3</v>
          </cell>
        </row>
        <row r="31">
          <cell r="A31">
            <v>44834</v>
          </cell>
          <cell r="B31">
            <v>30</v>
          </cell>
          <cell r="C31">
            <v>29900.64999999851</v>
          </cell>
          <cell r="D31">
            <v>3.03</v>
          </cell>
          <cell r="E31">
            <v>9.6999999999999993</v>
          </cell>
        </row>
        <row r="32">
          <cell r="A32">
            <v>44835</v>
          </cell>
          <cell r="B32">
            <v>31</v>
          </cell>
          <cell r="C32">
            <v>33150.65000000596</v>
          </cell>
          <cell r="D32">
            <v>3.65</v>
          </cell>
          <cell r="E32">
            <v>7.4</v>
          </cell>
        </row>
        <row r="33">
          <cell r="A33">
            <v>44836</v>
          </cell>
          <cell r="B33">
            <v>32</v>
          </cell>
          <cell r="C33">
            <v>39649.34999999404</v>
          </cell>
          <cell r="D33">
            <v>4.08</v>
          </cell>
          <cell r="E33">
            <v>8.6</v>
          </cell>
        </row>
        <row r="34">
          <cell r="A34">
            <v>44837</v>
          </cell>
          <cell r="B34">
            <v>33</v>
          </cell>
          <cell r="C34">
            <v>35749.35000000149</v>
          </cell>
          <cell r="D34">
            <v>3.7</v>
          </cell>
          <cell r="E34">
            <v>9.1999999999999993</v>
          </cell>
        </row>
        <row r="35">
          <cell r="A35">
            <v>44838</v>
          </cell>
          <cell r="B35">
            <v>34</v>
          </cell>
          <cell r="C35">
            <v>42251.29999999702</v>
          </cell>
          <cell r="D35">
            <v>4.38</v>
          </cell>
          <cell r="E35">
            <v>9.6</v>
          </cell>
        </row>
        <row r="36">
          <cell r="A36">
            <v>44839</v>
          </cell>
          <cell r="B36">
            <v>35</v>
          </cell>
          <cell r="C36">
            <v>33797.39999999851</v>
          </cell>
          <cell r="D36">
            <v>3.45</v>
          </cell>
          <cell r="E36">
            <v>7.4</v>
          </cell>
        </row>
        <row r="37">
          <cell r="A37">
            <v>44840</v>
          </cell>
          <cell r="B37">
            <v>36</v>
          </cell>
          <cell r="C37">
            <v>29250.65000000596</v>
          </cell>
          <cell r="D37">
            <v>2.99</v>
          </cell>
          <cell r="E37">
            <v>8.3000000000000007</v>
          </cell>
        </row>
        <row r="38">
          <cell r="A38">
            <v>44841</v>
          </cell>
          <cell r="B38">
            <v>37</v>
          </cell>
          <cell r="C38">
            <v>48099.35000000149</v>
          </cell>
          <cell r="D38">
            <v>4.8600000000000003</v>
          </cell>
          <cell r="E38">
            <v>9.8000000000000007</v>
          </cell>
        </row>
        <row r="39">
          <cell r="A39">
            <v>44842</v>
          </cell>
          <cell r="B39">
            <v>38</v>
          </cell>
          <cell r="C39">
            <v>52649.999999992549</v>
          </cell>
          <cell r="D39">
            <v>5.4</v>
          </cell>
          <cell r="E39">
            <v>10.199999999999999</v>
          </cell>
        </row>
        <row r="40">
          <cell r="A40">
            <v>44843</v>
          </cell>
          <cell r="B40">
            <v>39</v>
          </cell>
          <cell r="C40">
            <v>21451.30000000447</v>
          </cell>
          <cell r="D40">
            <v>2.27</v>
          </cell>
          <cell r="E40">
            <v>8.1</v>
          </cell>
        </row>
        <row r="41">
          <cell r="A41">
            <v>44844</v>
          </cell>
          <cell r="B41">
            <v>40</v>
          </cell>
          <cell r="C41">
            <v>38351.30000000447</v>
          </cell>
          <cell r="D41">
            <v>3.94</v>
          </cell>
          <cell r="E41">
            <v>8.6</v>
          </cell>
        </row>
        <row r="42">
          <cell r="A42">
            <v>44845</v>
          </cell>
          <cell r="B42">
            <v>41</v>
          </cell>
          <cell r="C42">
            <v>36399.999999992549</v>
          </cell>
          <cell r="D42">
            <v>3.8</v>
          </cell>
          <cell r="E42">
            <v>8.1999999999999993</v>
          </cell>
        </row>
        <row r="43">
          <cell r="A43">
            <v>44846</v>
          </cell>
          <cell r="B43">
            <v>42</v>
          </cell>
          <cell r="C43">
            <v>29246.750000007451</v>
          </cell>
          <cell r="D43">
            <v>3.04</v>
          </cell>
          <cell r="E43">
            <v>7.8</v>
          </cell>
        </row>
        <row r="44">
          <cell r="A44">
            <v>44847</v>
          </cell>
          <cell r="B44">
            <v>43</v>
          </cell>
          <cell r="C44">
            <v>53300.649999991059</v>
          </cell>
          <cell r="D44">
            <v>5.46</v>
          </cell>
          <cell r="E44">
            <v>8</v>
          </cell>
        </row>
        <row r="45">
          <cell r="A45">
            <v>44848</v>
          </cell>
          <cell r="B45">
            <v>44</v>
          </cell>
          <cell r="C45">
            <v>49400.65000000596</v>
          </cell>
          <cell r="D45">
            <v>5.15</v>
          </cell>
          <cell r="E45">
            <v>8.1</v>
          </cell>
        </row>
        <row r="46">
          <cell r="A46">
            <v>44849</v>
          </cell>
          <cell r="B46">
            <v>45</v>
          </cell>
          <cell r="C46">
            <v>56550</v>
          </cell>
          <cell r="D46">
            <v>5.78</v>
          </cell>
          <cell r="E46">
            <v>9.1999999999999993</v>
          </cell>
        </row>
        <row r="47">
          <cell r="A47">
            <v>44850</v>
          </cell>
          <cell r="B47">
            <v>46</v>
          </cell>
          <cell r="C47">
            <v>13000.64999999851</v>
          </cell>
          <cell r="D47">
            <v>2.06</v>
          </cell>
          <cell r="E47">
            <v>7</v>
          </cell>
        </row>
        <row r="48">
          <cell r="A48">
            <v>44851</v>
          </cell>
          <cell r="B48">
            <v>47</v>
          </cell>
          <cell r="C48">
            <v>50051.29999999702</v>
          </cell>
          <cell r="D48">
            <v>5.08</v>
          </cell>
          <cell r="E48">
            <v>9.1</v>
          </cell>
        </row>
        <row r="49">
          <cell r="A49">
            <v>44852</v>
          </cell>
          <cell r="B49">
            <v>48</v>
          </cell>
          <cell r="C49">
            <v>45500.65000000596</v>
          </cell>
          <cell r="D49">
            <v>4.58</v>
          </cell>
          <cell r="E49">
            <v>8.6999999999999993</v>
          </cell>
        </row>
        <row r="50">
          <cell r="A50">
            <v>44853</v>
          </cell>
          <cell r="B50">
            <v>49</v>
          </cell>
          <cell r="C50">
            <v>49396.75</v>
          </cell>
          <cell r="D50">
            <v>5.01</v>
          </cell>
          <cell r="E50">
            <v>9.1999999999999993</v>
          </cell>
        </row>
        <row r="51">
          <cell r="A51">
            <v>44854</v>
          </cell>
          <cell r="B51">
            <v>50</v>
          </cell>
          <cell r="C51">
            <v>50701.94999999553</v>
          </cell>
          <cell r="D51">
            <v>5.17</v>
          </cell>
          <cell r="E51">
            <v>8.1999999999999993</v>
          </cell>
        </row>
        <row r="52">
          <cell r="A52">
            <v>44855</v>
          </cell>
          <cell r="B52">
            <v>51</v>
          </cell>
          <cell r="C52">
            <v>43548.70000000298</v>
          </cell>
          <cell r="D52">
            <v>4.51</v>
          </cell>
          <cell r="E52">
            <v>8.3000000000000007</v>
          </cell>
        </row>
        <row r="53">
          <cell r="A53">
            <v>44856</v>
          </cell>
          <cell r="B53">
            <v>52</v>
          </cell>
          <cell r="C53">
            <v>54601.94999999553</v>
          </cell>
          <cell r="D53">
            <v>5.58</v>
          </cell>
          <cell r="E53">
            <v>9</v>
          </cell>
        </row>
        <row r="54">
          <cell r="A54">
            <v>44857</v>
          </cell>
          <cell r="B54">
            <v>53</v>
          </cell>
          <cell r="C54">
            <v>57846.75</v>
          </cell>
          <cell r="D54">
            <v>5.96</v>
          </cell>
          <cell r="E54">
            <v>11</v>
          </cell>
        </row>
        <row r="55">
          <cell r="A55">
            <v>44858</v>
          </cell>
          <cell r="B55">
            <v>54</v>
          </cell>
          <cell r="C55">
            <v>63056.5</v>
          </cell>
          <cell r="D55">
            <v>6.43</v>
          </cell>
          <cell r="E55">
            <v>11</v>
          </cell>
        </row>
        <row r="56">
          <cell r="A56">
            <v>44859</v>
          </cell>
          <cell r="B56">
            <v>55</v>
          </cell>
          <cell r="C56">
            <v>61100</v>
          </cell>
          <cell r="D56">
            <v>6.35</v>
          </cell>
          <cell r="E56">
            <v>10.8</v>
          </cell>
        </row>
        <row r="57">
          <cell r="A57">
            <v>44860</v>
          </cell>
          <cell r="B57">
            <v>56</v>
          </cell>
          <cell r="C57">
            <v>59148.70000000298</v>
          </cell>
          <cell r="D57">
            <v>6.07</v>
          </cell>
          <cell r="E57">
            <v>10.6</v>
          </cell>
        </row>
        <row r="58">
          <cell r="A58">
            <v>44861</v>
          </cell>
          <cell r="B58">
            <v>57</v>
          </cell>
          <cell r="C58">
            <v>57201.29999999702</v>
          </cell>
          <cell r="D58">
            <v>5.86</v>
          </cell>
          <cell r="E58">
            <v>10.9</v>
          </cell>
        </row>
        <row r="59">
          <cell r="A59">
            <v>44862</v>
          </cell>
          <cell r="B59">
            <v>58</v>
          </cell>
          <cell r="C59">
            <v>35101.29999999702</v>
          </cell>
          <cell r="D59">
            <v>3.6</v>
          </cell>
          <cell r="E59">
            <v>9.8000000000000007</v>
          </cell>
        </row>
        <row r="60">
          <cell r="A60">
            <v>44863</v>
          </cell>
          <cell r="B60">
            <v>59</v>
          </cell>
          <cell r="C60">
            <v>26648.70000000298</v>
          </cell>
          <cell r="D60">
            <v>2.9</v>
          </cell>
          <cell r="E60">
            <v>7.3</v>
          </cell>
        </row>
        <row r="61">
          <cell r="A61">
            <v>44864</v>
          </cell>
          <cell r="B61">
            <v>60</v>
          </cell>
          <cell r="C61">
            <v>29901.29999999702</v>
          </cell>
          <cell r="D61">
            <v>3.17</v>
          </cell>
          <cell r="E61">
            <v>8.1999999999999993</v>
          </cell>
        </row>
        <row r="62">
          <cell r="A62">
            <v>44865</v>
          </cell>
          <cell r="B62">
            <v>61</v>
          </cell>
          <cell r="C62">
            <v>58497.39999999851</v>
          </cell>
          <cell r="D62">
            <v>6</v>
          </cell>
          <cell r="E62">
            <v>10.1</v>
          </cell>
        </row>
        <row r="63">
          <cell r="A63">
            <v>44866</v>
          </cell>
          <cell r="B63">
            <v>62</v>
          </cell>
          <cell r="C63">
            <v>12350.000000007451</v>
          </cell>
          <cell r="D63">
            <v>1.88</v>
          </cell>
          <cell r="E63">
            <v>3.2</v>
          </cell>
        </row>
        <row r="64">
          <cell r="A64">
            <v>44867</v>
          </cell>
          <cell r="B64">
            <v>63</v>
          </cell>
          <cell r="C64">
            <v>20149.999999992549</v>
          </cell>
          <cell r="D64">
            <v>2.13</v>
          </cell>
          <cell r="E64">
            <v>4.4000000000000004</v>
          </cell>
        </row>
        <row r="65">
          <cell r="A65">
            <v>44868</v>
          </cell>
          <cell r="B65">
            <v>64</v>
          </cell>
          <cell r="C65">
            <v>35753.250000007451</v>
          </cell>
          <cell r="D65">
            <v>3.71</v>
          </cell>
          <cell r="E65">
            <v>5.2</v>
          </cell>
        </row>
        <row r="66">
          <cell r="A66">
            <v>44869</v>
          </cell>
          <cell r="B66">
            <v>65</v>
          </cell>
          <cell r="C66">
            <v>36399.999999992549</v>
          </cell>
          <cell r="D66">
            <v>3.78</v>
          </cell>
          <cell r="E66">
            <v>6.2</v>
          </cell>
        </row>
        <row r="67">
          <cell r="A67">
            <v>44870</v>
          </cell>
          <cell r="B67">
            <v>66</v>
          </cell>
          <cell r="C67">
            <v>53946.750000007451</v>
          </cell>
          <cell r="D67">
            <v>5.45</v>
          </cell>
          <cell r="E67">
            <v>9.1999999999999993</v>
          </cell>
        </row>
        <row r="68">
          <cell r="A68">
            <v>44871</v>
          </cell>
          <cell r="B68">
            <v>67</v>
          </cell>
          <cell r="C68">
            <v>31202.60000000149</v>
          </cell>
          <cell r="D68">
            <v>2.82</v>
          </cell>
          <cell r="E68">
            <v>6.1</v>
          </cell>
        </row>
        <row r="69">
          <cell r="A69">
            <v>44872</v>
          </cell>
          <cell r="B69">
            <v>68</v>
          </cell>
          <cell r="C69">
            <v>64349.34999999404</v>
          </cell>
          <cell r="D69">
            <v>6.35</v>
          </cell>
          <cell r="E69">
            <v>10.8</v>
          </cell>
        </row>
        <row r="70">
          <cell r="A70">
            <v>44873</v>
          </cell>
          <cell r="B70">
            <v>69</v>
          </cell>
          <cell r="C70">
            <v>61751.29999999702</v>
          </cell>
          <cell r="D70">
            <v>6.73</v>
          </cell>
          <cell r="E70">
            <v>10.6</v>
          </cell>
        </row>
        <row r="71">
          <cell r="A71">
            <v>44874</v>
          </cell>
          <cell r="B71">
            <v>70</v>
          </cell>
          <cell r="C71">
            <v>55898.70000000298</v>
          </cell>
          <cell r="D71">
            <v>5.72</v>
          </cell>
          <cell r="E71">
            <v>10.3</v>
          </cell>
        </row>
        <row r="72">
          <cell r="A72">
            <v>44875</v>
          </cell>
          <cell r="B72">
            <v>71</v>
          </cell>
          <cell r="C72">
            <v>46798.05000000447</v>
          </cell>
          <cell r="D72">
            <v>4.59</v>
          </cell>
          <cell r="E72">
            <v>9.6</v>
          </cell>
        </row>
        <row r="73">
          <cell r="A73">
            <v>44876</v>
          </cell>
          <cell r="B73">
            <v>72</v>
          </cell>
          <cell r="C73">
            <v>11699.999999992549</v>
          </cell>
          <cell r="D73">
            <v>1.2</v>
          </cell>
          <cell r="E73">
            <v>5.0999999999999996</v>
          </cell>
        </row>
        <row r="74">
          <cell r="A74">
            <v>44877</v>
          </cell>
          <cell r="B74">
            <v>73</v>
          </cell>
          <cell r="C74">
            <v>7799.3500000014901</v>
          </cell>
          <cell r="D74">
            <v>0.89</v>
          </cell>
          <cell r="E74">
            <v>3.1</v>
          </cell>
        </row>
        <row r="75">
          <cell r="A75">
            <v>44878</v>
          </cell>
          <cell r="B75">
            <v>74</v>
          </cell>
          <cell r="C75">
            <v>20153.90000000596</v>
          </cell>
          <cell r="D75">
            <v>2.33</v>
          </cell>
          <cell r="E75">
            <v>4.5</v>
          </cell>
        </row>
        <row r="76">
          <cell r="A76">
            <v>44879</v>
          </cell>
          <cell r="B76">
            <v>75</v>
          </cell>
          <cell r="C76">
            <v>39648.69999999553</v>
          </cell>
          <cell r="D76">
            <v>4.68</v>
          </cell>
          <cell r="E76">
            <v>7.8</v>
          </cell>
        </row>
        <row r="77">
          <cell r="A77">
            <v>44880</v>
          </cell>
          <cell r="B77">
            <v>76</v>
          </cell>
          <cell r="C77">
            <v>41601.30000000447</v>
          </cell>
          <cell r="D77">
            <v>4.3600000000000003</v>
          </cell>
          <cell r="E77">
            <v>10.3</v>
          </cell>
        </row>
        <row r="78">
          <cell r="A78">
            <v>44881</v>
          </cell>
          <cell r="B78">
            <v>77</v>
          </cell>
          <cell r="C78">
            <v>53296.749999992549</v>
          </cell>
          <cell r="D78">
            <v>5.42</v>
          </cell>
          <cell r="E78">
            <v>10.3</v>
          </cell>
        </row>
        <row r="79">
          <cell r="A79">
            <v>44882</v>
          </cell>
          <cell r="B79">
            <v>78</v>
          </cell>
          <cell r="C79">
            <v>63051.95000000298</v>
          </cell>
          <cell r="D79">
            <v>6.27</v>
          </cell>
          <cell r="E79">
            <v>10.199999999999999</v>
          </cell>
        </row>
        <row r="80">
          <cell r="A80">
            <v>44883</v>
          </cell>
          <cell r="B80">
            <v>79</v>
          </cell>
          <cell r="C80">
            <v>62401.30000000447</v>
          </cell>
          <cell r="D80">
            <v>6.02</v>
          </cell>
          <cell r="E80">
            <v>10.7</v>
          </cell>
        </row>
        <row r="81">
          <cell r="A81">
            <v>44884</v>
          </cell>
          <cell r="B81">
            <v>80</v>
          </cell>
          <cell r="C81">
            <v>53296.749999992549</v>
          </cell>
          <cell r="D81">
            <v>5.18</v>
          </cell>
          <cell r="E81">
            <v>9.1999999999999993</v>
          </cell>
        </row>
        <row r="82">
          <cell r="A82">
            <v>44885</v>
          </cell>
          <cell r="B82">
            <v>81</v>
          </cell>
          <cell r="C82">
            <v>36399.350000008941</v>
          </cell>
          <cell r="D82">
            <v>3.54</v>
          </cell>
          <cell r="E82">
            <v>8.5</v>
          </cell>
        </row>
        <row r="83">
          <cell r="A83">
            <v>44886</v>
          </cell>
          <cell r="B83">
            <v>82</v>
          </cell>
          <cell r="C83">
            <v>35751.94999999553</v>
          </cell>
          <cell r="D83">
            <v>3.54</v>
          </cell>
          <cell r="E83">
            <v>10.3</v>
          </cell>
        </row>
        <row r="84">
          <cell r="A84">
            <v>44887</v>
          </cell>
          <cell r="B84">
            <v>83</v>
          </cell>
          <cell r="C84">
            <v>12996.750000007451</v>
          </cell>
          <cell r="D84">
            <v>1.53</v>
          </cell>
          <cell r="E84">
            <v>4.5999999999999996</v>
          </cell>
        </row>
        <row r="85">
          <cell r="A85">
            <v>44888</v>
          </cell>
          <cell r="B85">
            <v>84</v>
          </cell>
          <cell r="C85">
            <v>14952.59999999404</v>
          </cell>
          <cell r="D85">
            <v>1.51</v>
          </cell>
          <cell r="E85">
            <v>9.1999999999999993</v>
          </cell>
        </row>
        <row r="86">
          <cell r="A86">
            <v>44889</v>
          </cell>
          <cell r="B86">
            <v>85</v>
          </cell>
          <cell r="C86">
            <v>28600.64999999851</v>
          </cell>
          <cell r="D86">
            <v>2.94</v>
          </cell>
          <cell r="E86">
            <v>10</v>
          </cell>
        </row>
        <row r="87">
          <cell r="A87">
            <v>44890</v>
          </cell>
          <cell r="B87">
            <v>86</v>
          </cell>
          <cell r="C87">
            <v>46798.05000000447</v>
          </cell>
          <cell r="D87">
            <v>4.62</v>
          </cell>
          <cell r="E87">
            <v>10.9</v>
          </cell>
        </row>
        <row r="88">
          <cell r="A88">
            <v>44891</v>
          </cell>
          <cell r="B88">
            <v>87</v>
          </cell>
          <cell r="C88">
            <v>53300.64999999851</v>
          </cell>
          <cell r="D88">
            <v>5.35</v>
          </cell>
          <cell r="E88">
            <v>11</v>
          </cell>
        </row>
        <row r="89">
          <cell r="A89">
            <v>44892</v>
          </cell>
          <cell r="B89">
            <v>88</v>
          </cell>
          <cell r="C89">
            <v>48750</v>
          </cell>
          <cell r="D89">
            <v>4.9800000000000004</v>
          </cell>
          <cell r="E89">
            <v>10</v>
          </cell>
        </row>
        <row r="90">
          <cell r="A90">
            <v>44893</v>
          </cell>
          <cell r="B90">
            <v>89</v>
          </cell>
          <cell r="C90">
            <v>44850</v>
          </cell>
          <cell r="D90">
            <v>4.5599999999999996</v>
          </cell>
          <cell r="E90">
            <v>8.8000000000000007</v>
          </cell>
        </row>
        <row r="91">
          <cell r="A91">
            <v>44894</v>
          </cell>
          <cell r="B91">
            <v>90</v>
          </cell>
          <cell r="C91">
            <v>50701.94999999553</v>
          </cell>
          <cell r="D91">
            <v>5.16</v>
          </cell>
          <cell r="E91">
            <v>9.1</v>
          </cell>
        </row>
        <row r="92">
          <cell r="A92">
            <v>44895</v>
          </cell>
          <cell r="B92">
            <v>91</v>
          </cell>
          <cell r="C92">
            <v>58497.40000000596</v>
          </cell>
          <cell r="D92">
            <v>5.72</v>
          </cell>
          <cell r="E92">
            <v>9.6</v>
          </cell>
        </row>
        <row r="93">
          <cell r="A93">
            <v>44896</v>
          </cell>
          <cell r="B93">
            <v>92</v>
          </cell>
          <cell r="C93">
            <v>21451.29999999702</v>
          </cell>
          <cell r="D93">
            <v>2.17</v>
          </cell>
          <cell r="E93">
            <v>6.2</v>
          </cell>
        </row>
        <row r="94">
          <cell r="A94">
            <v>44897</v>
          </cell>
          <cell r="B94">
            <v>93</v>
          </cell>
          <cell r="C94">
            <v>40950</v>
          </cell>
          <cell r="D94">
            <v>4.08</v>
          </cell>
          <cell r="E94">
            <v>11.1</v>
          </cell>
        </row>
        <row r="95">
          <cell r="A95">
            <v>44898</v>
          </cell>
          <cell r="B95">
            <v>94</v>
          </cell>
          <cell r="C95">
            <v>48099.35000000149</v>
          </cell>
          <cell r="D95">
            <v>4.7300000000000004</v>
          </cell>
          <cell r="E95">
            <v>11.1</v>
          </cell>
        </row>
        <row r="96">
          <cell r="A96">
            <v>44899</v>
          </cell>
          <cell r="B96">
            <v>95</v>
          </cell>
          <cell r="C96">
            <v>33800</v>
          </cell>
          <cell r="D96">
            <v>4.97</v>
          </cell>
          <cell r="E96">
            <v>10.9</v>
          </cell>
        </row>
        <row r="97">
          <cell r="A97">
            <v>44900</v>
          </cell>
          <cell r="B97">
            <v>96</v>
          </cell>
          <cell r="C97">
            <v>49398.04999999702</v>
          </cell>
          <cell r="D97">
            <v>4.92</v>
          </cell>
          <cell r="E97">
            <v>10.3</v>
          </cell>
        </row>
        <row r="98">
          <cell r="A98">
            <v>44901</v>
          </cell>
          <cell r="B98">
            <v>97</v>
          </cell>
          <cell r="C98">
            <v>39002.60000000149</v>
          </cell>
          <cell r="D98">
            <v>3.9</v>
          </cell>
          <cell r="E98">
            <v>10.1</v>
          </cell>
        </row>
        <row r="99">
          <cell r="A99">
            <v>44902</v>
          </cell>
          <cell r="B99">
            <v>98</v>
          </cell>
          <cell r="C99">
            <v>46798.05000000447</v>
          </cell>
          <cell r="D99">
            <v>4.54</v>
          </cell>
          <cell r="E99">
            <v>10.8</v>
          </cell>
        </row>
        <row r="100">
          <cell r="A100">
            <v>44903</v>
          </cell>
          <cell r="B100">
            <v>99</v>
          </cell>
          <cell r="C100">
            <v>42251.29999999702</v>
          </cell>
          <cell r="D100">
            <v>4.04</v>
          </cell>
          <cell r="E100">
            <v>10.1</v>
          </cell>
        </row>
        <row r="101">
          <cell r="A101">
            <v>44904</v>
          </cell>
          <cell r="B101">
            <v>100</v>
          </cell>
          <cell r="C101">
            <v>12350</v>
          </cell>
          <cell r="D101">
            <v>1.18</v>
          </cell>
          <cell r="E101">
            <v>5.5</v>
          </cell>
        </row>
        <row r="102">
          <cell r="A102">
            <v>44905</v>
          </cell>
          <cell r="B102">
            <v>101</v>
          </cell>
          <cell r="C102">
            <v>4550.6499999985099</v>
          </cell>
          <cell r="D102">
            <v>0.48</v>
          </cell>
          <cell r="E102">
            <v>1.6</v>
          </cell>
        </row>
        <row r="103">
          <cell r="A103">
            <v>44906</v>
          </cell>
          <cell r="B103">
            <v>102</v>
          </cell>
          <cell r="C103">
            <v>11049.35000000149</v>
          </cell>
          <cell r="D103">
            <v>1.1000000000000001</v>
          </cell>
          <cell r="E103">
            <v>5.0999999999999996</v>
          </cell>
        </row>
        <row r="104">
          <cell r="A104">
            <v>44907</v>
          </cell>
          <cell r="B104">
            <v>103</v>
          </cell>
          <cell r="C104">
            <v>20800</v>
          </cell>
          <cell r="D104">
            <v>1.9</v>
          </cell>
          <cell r="E104">
            <v>8.9</v>
          </cell>
        </row>
        <row r="105">
          <cell r="A105">
            <v>44908</v>
          </cell>
          <cell r="B105">
            <v>104</v>
          </cell>
          <cell r="C105">
            <v>8450.6499999985099</v>
          </cell>
          <cell r="D105">
            <v>0.88</v>
          </cell>
          <cell r="E105">
            <v>5.4</v>
          </cell>
        </row>
        <row r="106">
          <cell r="A106">
            <v>44909</v>
          </cell>
          <cell r="B106">
            <v>105</v>
          </cell>
          <cell r="C106">
            <v>46151.30000000447</v>
          </cell>
          <cell r="D106">
            <v>4.4400000000000004</v>
          </cell>
          <cell r="E106">
            <v>10.9</v>
          </cell>
        </row>
        <row r="107">
          <cell r="A107">
            <v>44910</v>
          </cell>
          <cell r="B107">
            <v>106</v>
          </cell>
          <cell r="C107">
            <v>68261.04999999702</v>
          </cell>
          <cell r="D107">
            <v>6.48</v>
          </cell>
          <cell r="E107">
            <v>9.6999999999999993</v>
          </cell>
        </row>
        <row r="108">
          <cell r="A108">
            <v>44911</v>
          </cell>
          <cell r="B108">
            <v>107</v>
          </cell>
          <cell r="C108">
            <v>66285.69999999553</v>
          </cell>
          <cell r="D108">
            <v>6.32</v>
          </cell>
          <cell r="E108">
            <v>9.5</v>
          </cell>
        </row>
        <row r="109">
          <cell r="A109">
            <v>44912</v>
          </cell>
          <cell r="B109">
            <v>108</v>
          </cell>
          <cell r="C109">
            <v>61100.000000007451</v>
          </cell>
          <cell r="D109">
            <v>5.89</v>
          </cell>
          <cell r="E109">
            <v>10</v>
          </cell>
        </row>
        <row r="110">
          <cell r="A110">
            <v>44913</v>
          </cell>
          <cell r="B110">
            <v>109</v>
          </cell>
          <cell r="C110">
            <v>46801.94999999553</v>
          </cell>
          <cell r="D110">
            <v>4.5</v>
          </cell>
          <cell r="E110">
            <v>10.1</v>
          </cell>
        </row>
        <row r="111">
          <cell r="A111">
            <v>44914</v>
          </cell>
          <cell r="B111">
            <v>110</v>
          </cell>
          <cell r="C111">
            <v>59148.05000000447</v>
          </cell>
          <cell r="D111">
            <v>5.61</v>
          </cell>
          <cell r="E111">
            <v>10.7</v>
          </cell>
        </row>
        <row r="112">
          <cell r="A112">
            <v>44915</v>
          </cell>
          <cell r="B112">
            <v>111</v>
          </cell>
          <cell r="C112">
            <v>53951.29999999702</v>
          </cell>
          <cell r="D112">
            <v>5.75</v>
          </cell>
          <cell r="E112">
            <v>10.4</v>
          </cell>
        </row>
        <row r="113">
          <cell r="A113">
            <v>44916</v>
          </cell>
          <cell r="B113">
            <v>112</v>
          </cell>
          <cell r="C113">
            <v>45500.64999999851</v>
          </cell>
          <cell r="D113">
            <v>4.82</v>
          </cell>
          <cell r="E113">
            <v>11</v>
          </cell>
        </row>
        <row r="114">
          <cell r="A114">
            <v>44917</v>
          </cell>
          <cell r="B114">
            <v>113</v>
          </cell>
          <cell r="C114">
            <v>66297.39999999851</v>
          </cell>
          <cell r="D114">
            <v>6.26</v>
          </cell>
          <cell r="E114">
            <v>10</v>
          </cell>
        </row>
        <row r="115">
          <cell r="A115">
            <v>44918</v>
          </cell>
          <cell r="B115">
            <v>114</v>
          </cell>
          <cell r="C115">
            <v>65650.64999999851</v>
          </cell>
          <cell r="D115">
            <v>6.14</v>
          </cell>
          <cell r="E115">
            <v>10.1</v>
          </cell>
        </row>
        <row r="116">
          <cell r="A116">
            <v>44919</v>
          </cell>
          <cell r="B116">
            <v>115</v>
          </cell>
          <cell r="C116">
            <v>59151.95000000298</v>
          </cell>
          <cell r="D116">
            <v>5.74</v>
          </cell>
          <cell r="E116">
            <v>9.8000000000000007</v>
          </cell>
        </row>
        <row r="117">
          <cell r="A117">
            <v>44920</v>
          </cell>
          <cell r="B117">
            <v>116</v>
          </cell>
          <cell r="C117">
            <v>14949.35000000149</v>
          </cell>
          <cell r="D117">
            <v>1.49</v>
          </cell>
          <cell r="E117">
            <v>8.6999999999999993</v>
          </cell>
        </row>
        <row r="118">
          <cell r="A118">
            <v>44921</v>
          </cell>
          <cell r="B118">
            <v>117</v>
          </cell>
          <cell r="C118">
            <v>22748.04999999702</v>
          </cell>
          <cell r="D118">
            <v>2.29</v>
          </cell>
          <cell r="E118">
            <v>10</v>
          </cell>
        </row>
        <row r="119">
          <cell r="A119">
            <v>44922</v>
          </cell>
          <cell r="B119">
            <v>118</v>
          </cell>
          <cell r="C119">
            <v>19507.15000000596</v>
          </cell>
          <cell r="D119">
            <v>2.0699999999999998</v>
          </cell>
          <cell r="E119">
            <v>9.5</v>
          </cell>
        </row>
        <row r="120">
          <cell r="A120">
            <v>44923</v>
          </cell>
          <cell r="B120">
            <v>119</v>
          </cell>
          <cell r="C120">
            <v>58493.5</v>
          </cell>
          <cell r="D120">
            <v>5.58</v>
          </cell>
          <cell r="E120">
            <v>10.7</v>
          </cell>
        </row>
        <row r="121">
          <cell r="A121">
            <v>44924</v>
          </cell>
          <cell r="B121">
            <v>120</v>
          </cell>
          <cell r="C121">
            <v>60449.999999992549</v>
          </cell>
          <cell r="D121">
            <v>5.87</v>
          </cell>
          <cell r="E121">
            <v>11</v>
          </cell>
        </row>
        <row r="122">
          <cell r="A122">
            <v>44925</v>
          </cell>
          <cell r="B122">
            <v>121</v>
          </cell>
          <cell r="C122">
            <v>61100.000000007451</v>
          </cell>
          <cell r="D122">
            <v>5.74</v>
          </cell>
          <cell r="E122">
            <v>10</v>
          </cell>
        </row>
        <row r="123">
          <cell r="A123">
            <v>44926</v>
          </cell>
          <cell r="B123">
            <v>122</v>
          </cell>
          <cell r="C123">
            <v>64353.25</v>
          </cell>
          <cell r="D123">
            <v>6.07</v>
          </cell>
          <cell r="E123">
            <v>9.6</v>
          </cell>
        </row>
        <row r="124">
          <cell r="A124">
            <v>44927</v>
          </cell>
          <cell r="B124">
            <v>123</v>
          </cell>
          <cell r="C124">
            <v>63698.69999999553</v>
          </cell>
          <cell r="D124">
            <v>5.99</v>
          </cell>
          <cell r="E124">
            <v>9.6</v>
          </cell>
        </row>
        <row r="125">
          <cell r="A125">
            <v>44928</v>
          </cell>
          <cell r="B125">
            <v>124</v>
          </cell>
          <cell r="C125">
            <v>60449.35000000149</v>
          </cell>
          <cell r="D125">
            <v>5.72</v>
          </cell>
          <cell r="E125">
            <v>9.5</v>
          </cell>
        </row>
        <row r="126">
          <cell r="A126">
            <v>44929</v>
          </cell>
          <cell r="B126">
            <v>125</v>
          </cell>
          <cell r="C126">
            <v>50051.29999999702</v>
          </cell>
          <cell r="D126">
            <v>4.7699999999999996</v>
          </cell>
          <cell r="E126">
            <v>10.7</v>
          </cell>
        </row>
        <row r="127">
          <cell r="A127">
            <v>44930</v>
          </cell>
          <cell r="B127">
            <v>126</v>
          </cell>
          <cell r="C127">
            <v>48750</v>
          </cell>
          <cell r="D127">
            <v>4.82</v>
          </cell>
          <cell r="E127">
            <v>11.1</v>
          </cell>
        </row>
        <row r="128">
          <cell r="A128">
            <v>44931</v>
          </cell>
          <cell r="B128">
            <v>127</v>
          </cell>
          <cell r="C128">
            <v>41597.39999999851</v>
          </cell>
          <cell r="D128">
            <v>3.89</v>
          </cell>
          <cell r="E128">
            <v>11.1</v>
          </cell>
        </row>
        <row r="129">
          <cell r="A129">
            <v>44932</v>
          </cell>
          <cell r="B129">
            <v>128</v>
          </cell>
          <cell r="C129">
            <v>55251.95000000298</v>
          </cell>
          <cell r="D129">
            <v>5.25</v>
          </cell>
          <cell r="E129">
            <v>10.199999999999999</v>
          </cell>
        </row>
        <row r="130">
          <cell r="A130">
            <v>44933</v>
          </cell>
          <cell r="B130">
            <v>129</v>
          </cell>
          <cell r="C130">
            <v>37050.65000000596</v>
          </cell>
          <cell r="D130">
            <v>3.52</v>
          </cell>
          <cell r="E130">
            <v>10.4</v>
          </cell>
        </row>
        <row r="131">
          <cell r="A131">
            <v>44934</v>
          </cell>
          <cell r="B131">
            <v>130</v>
          </cell>
          <cell r="C131">
            <v>45496.749999992549</v>
          </cell>
          <cell r="D131">
            <v>4.47</v>
          </cell>
          <cell r="E131">
            <v>10.4</v>
          </cell>
        </row>
        <row r="132">
          <cell r="A132">
            <v>44935</v>
          </cell>
          <cell r="B132">
            <v>131</v>
          </cell>
          <cell r="C132">
            <v>66301.30000000447</v>
          </cell>
          <cell r="D132">
            <v>6.22</v>
          </cell>
          <cell r="E132">
            <v>10</v>
          </cell>
        </row>
        <row r="133">
          <cell r="A133">
            <v>44936</v>
          </cell>
          <cell r="B133">
            <v>132</v>
          </cell>
          <cell r="C133">
            <v>68249.35000000149</v>
          </cell>
          <cell r="D133">
            <v>6.37</v>
          </cell>
          <cell r="E133">
            <v>9.9</v>
          </cell>
        </row>
        <row r="134">
          <cell r="A134">
            <v>44937</v>
          </cell>
          <cell r="B134">
            <v>133</v>
          </cell>
          <cell r="C134">
            <v>70201.29999999702</v>
          </cell>
          <cell r="D134">
            <v>6.74</v>
          </cell>
          <cell r="E134">
            <v>10</v>
          </cell>
        </row>
        <row r="135">
          <cell r="A135">
            <v>44938</v>
          </cell>
          <cell r="B135">
            <v>134</v>
          </cell>
          <cell r="C135">
            <v>66300.64999999851</v>
          </cell>
          <cell r="D135">
            <v>6.54</v>
          </cell>
          <cell r="E135">
            <v>9.9</v>
          </cell>
        </row>
        <row r="136">
          <cell r="A136">
            <v>44939</v>
          </cell>
          <cell r="B136">
            <v>135</v>
          </cell>
          <cell r="C136">
            <v>62398.04999999702</v>
          </cell>
          <cell r="D136">
            <v>6.11</v>
          </cell>
          <cell r="E136">
            <v>10</v>
          </cell>
        </row>
        <row r="137">
          <cell r="A137">
            <v>44940</v>
          </cell>
          <cell r="B137">
            <v>136</v>
          </cell>
          <cell r="C137">
            <v>66301.30000000447</v>
          </cell>
          <cell r="D137">
            <v>6.34</v>
          </cell>
          <cell r="E137">
            <v>10</v>
          </cell>
        </row>
        <row r="138">
          <cell r="A138">
            <v>44941</v>
          </cell>
          <cell r="B138">
            <v>137</v>
          </cell>
          <cell r="C138">
            <v>58501.30000000447</v>
          </cell>
          <cell r="D138">
            <v>5.73</v>
          </cell>
          <cell r="E138">
            <v>10.5</v>
          </cell>
        </row>
        <row r="139">
          <cell r="A139">
            <v>44942</v>
          </cell>
          <cell r="B139">
            <v>138</v>
          </cell>
          <cell r="C139">
            <v>66297.39999999851</v>
          </cell>
          <cell r="D139">
            <v>6.37</v>
          </cell>
          <cell r="E139">
            <v>9.9</v>
          </cell>
        </row>
        <row r="140">
          <cell r="A140">
            <v>44943</v>
          </cell>
          <cell r="B140">
            <v>139</v>
          </cell>
          <cell r="C140">
            <v>63702.60000000149</v>
          </cell>
          <cell r="D140">
            <v>6.69</v>
          </cell>
          <cell r="E140">
            <v>9.8000000000000007</v>
          </cell>
        </row>
        <row r="141">
          <cell r="A141">
            <v>44944</v>
          </cell>
          <cell r="B141">
            <v>140</v>
          </cell>
          <cell r="C141">
            <v>69550.649999991059</v>
          </cell>
          <cell r="D141">
            <v>6.08</v>
          </cell>
          <cell r="E141">
            <v>10</v>
          </cell>
        </row>
        <row r="142">
          <cell r="A142">
            <v>44945</v>
          </cell>
          <cell r="B142">
            <v>141</v>
          </cell>
          <cell r="C142">
            <v>67598.05000000447</v>
          </cell>
          <cell r="D142">
            <v>6.48</v>
          </cell>
          <cell r="E142">
            <v>9.9</v>
          </cell>
        </row>
        <row r="143">
          <cell r="A143">
            <v>44946</v>
          </cell>
          <cell r="B143">
            <v>142</v>
          </cell>
          <cell r="C143">
            <v>47449.35000000149</v>
          </cell>
          <cell r="D143">
            <v>4.62</v>
          </cell>
          <cell r="E143">
            <v>11.1</v>
          </cell>
        </row>
        <row r="144">
          <cell r="A144">
            <v>44947</v>
          </cell>
          <cell r="B144">
            <v>143</v>
          </cell>
          <cell r="C144">
            <v>50050.64999999851</v>
          </cell>
          <cell r="D144">
            <v>5</v>
          </cell>
          <cell r="E144">
            <v>11</v>
          </cell>
        </row>
        <row r="145">
          <cell r="A145">
            <v>44948</v>
          </cell>
          <cell r="B145">
            <v>144</v>
          </cell>
          <cell r="C145">
            <v>61100.64999999851</v>
          </cell>
          <cell r="D145">
            <v>5.89</v>
          </cell>
          <cell r="E145">
            <v>10.1</v>
          </cell>
        </row>
        <row r="146">
          <cell r="A146">
            <v>44949</v>
          </cell>
          <cell r="B146">
            <v>145</v>
          </cell>
          <cell r="C146">
            <v>18198.04999999702</v>
          </cell>
          <cell r="D146">
            <v>1.85</v>
          </cell>
          <cell r="E146">
            <v>3.8</v>
          </cell>
        </row>
        <row r="147">
          <cell r="A147">
            <v>44950</v>
          </cell>
          <cell r="B147">
            <v>146</v>
          </cell>
          <cell r="C147">
            <v>57200</v>
          </cell>
          <cell r="D147">
            <v>5.44</v>
          </cell>
          <cell r="E147">
            <v>11</v>
          </cell>
        </row>
        <row r="148">
          <cell r="A148">
            <v>44951</v>
          </cell>
          <cell r="B148">
            <v>147</v>
          </cell>
          <cell r="C148">
            <v>64349.35000000149</v>
          </cell>
          <cell r="D148">
            <v>6.23</v>
          </cell>
          <cell r="E148">
            <v>9.8000000000000007</v>
          </cell>
        </row>
        <row r="149">
          <cell r="A149">
            <v>44952</v>
          </cell>
          <cell r="B149">
            <v>148</v>
          </cell>
          <cell r="C149">
            <v>63702.60000000149</v>
          </cell>
          <cell r="D149">
            <v>6.15</v>
          </cell>
          <cell r="E149">
            <v>9.8000000000000007</v>
          </cell>
        </row>
        <row r="150">
          <cell r="A150">
            <v>44953</v>
          </cell>
          <cell r="B150">
            <v>149</v>
          </cell>
          <cell r="C150">
            <v>66948.04999999702</v>
          </cell>
          <cell r="D150">
            <v>6.44</v>
          </cell>
          <cell r="E150">
            <v>9.9</v>
          </cell>
        </row>
        <row r="151">
          <cell r="A151">
            <v>44954</v>
          </cell>
          <cell r="B151">
            <v>150</v>
          </cell>
          <cell r="C151">
            <v>69550.65000000596</v>
          </cell>
          <cell r="D151">
            <v>6.61</v>
          </cell>
          <cell r="E151">
            <v>9.9</v>
          </cell>
        </row>
        <row r="152">
          <cell r="A152">
            <v>44955</v>
          </cell>
          <cell r="B152">
            <v>151</v>
          </cell>
          <cell r="C152">
            <v>67602.59999999404</v>
          </cell>
          <cell r="D152">
            <v>6.38</v>
          </cell>
          <cell r="E152">
            <v>9.8000000000000007</v>
          </cell>
        </row>
        <row r="153">
          <cell r="A153">
            <v>44956</v>
          </cell>
          <cell r="B153">
            <v>152</v>
          </cell>
          <cell r="C153">
            <v>38998.05000000447</v>
          </cell>
          <cell r="D153">
            <v>3.93</v>
          </cell>
          <cell r="E153">
            <v>10.9</v>
          </cell>
        </row>
        <row r="154">
          <cell r="A154">
            <v>44957</v>
          </cell>
          <cell r="B154">
            <v>153</v>
          </cell>
          <cell r="C154">
            <v>46798.05000000447</v>
          </cell>
          <cell r="D154">
            <v>4.5</v>
          </cell>
          <cell r="E154">
            <v>9.6</v>
          </cell>
        </row>
        <row r="155">
          <cell r="A155">
            <v>44958</v>
          </cell>
          <cell r="B155">
            <v>154</v>
          </cell>
          <cell r="C155">
            <v>57851.29999999702</v>
          </cell>
          <cell r="D155">
            <v>5.57</v>
          </cell>
          <cell r="E155">
            <v>10.3</v>
          </cell>
        </row>
        <row r="156">
          <cell r="A156">
            <v>44959</v>
          </cell>
          <cell r="B156">
            <v>155</v>
          </cell>
          <cell r="C156">
            <v>40950</v>
          </cell>
          <cell r="D156">
            <v>3.98</v>
          </cell>
          <cell r="E156">
            <v>11.1</v>
          </cell>
        </row>
        <row r="157">
          <cell r="A157">
            <v>44960</v>
          </cell>
          <cell r="B157">
            <v>156</v>
          </cell>
          <cell r="C157">
            <v>41601.29999999702</v>
          </cell>
          <cell r="D157">
            <v>4.13</v>
          </cell>
          <cell r="E157">
            <v>10.199999999999999</v>
          </cell>
        </row>
        <row r="158">
          <cell r="A158">
            <v>44961</v>
          </cell>
          <cell r="B158">
            <v>157</v>
          </cell>
          <cell r="C158">
            <v>67598.70000000298</v>
          </cell>
          <cell r="D158">
            <v>6.5</v>
          </cell>
          <cell r="E158">
            <v>9.6</v>
          </cell>
        </row>
        <row r="159">
          <cell r="A159">
            <v>44962</v>
          </cell>
          <cell r="B159">
            <v>158</v>
          </cell>
          <cell r="C159">
            <v>70200.64999999851</v>
          </cell>
          <cell r="D159">
            <v>6.78</v>
          </cell>
          <cell r="E159">
            <v>9.8000000000000007</v>
          </cell>
        </row>
        <row r="160">
          <cell r="A160">
            <v>44963</v>
          </cell>
          <cell r="B160">
            <v>159</v>
          </cell>
          <cell r="C160">
            <v>60450</v>
          </cell>
          <cell r="D160">
            <v>5.89</v>
          </cell>
          <cell r="E160">
            <v>9.4</v>
          </cell>
        </row>
        <row r="161">
          <cell r="A161">
            <v>44964</v>
          </cell>
          <cell r="B161">
            <v>160</v>
          </cell>
          <cell r="C161">
            <v>63698.69999999553</v>
          </cell>
          <cell r="D161">
            <v>6.28</v>
          </cell>
          <cell r="E161">
            <v>9</v>
          </cell>
        </row>
        <row r="162">
          <cell r="A162">
            <v>44965</v>
          </cell>
          <cell r="B162">
            <v>161</v>
          </cell>
          <cell r="C162">
            <v>50051.30000000447</v>
          </cell>
          <cell r="D162">
            <v>5.74</v>
          </cell>
          <cell r="E162">
            <v>9</v>
          </cell>
        </row>
        <row r="163">
          <cell r="A163">
            <v>44966</v>
          </cell>
          <cell r="B163">
            <v>162</v>
          </cell>
          <cell r="C163">
            <v>64349.35000000149</v>
          </cell>
          <cell r="D163">
            <v>6.38</v>
          </cell>
          <cell r="E163">
            <v>9.3000000000000007</v>
          </cell>
        </row>
        <row r="164">
          <cell r="A164">
            <v>44967</v>
          </cell>
          <cell r="B164">
            <v>163</v>
          </cell>
          <cell r="C164">
            <v>68899.35000000149</v>
          </cell>
          <cell r="D164">
            <v>6.84</v>
          </cell>
          <cell r="E164">
            <v>10.1</v>
          </cell>
        </row>
        <row r="165">
          <cell r="A165">
            <v>44968</v>
          </cell>
          <cell r="B165">
            <v>164</v>
          </cell>
          <cell r="C165">
            <v>55903.25</v>
          </cell>
          <cell r="D165">
            <v>6.81</v>
          </cell>
          <cell r="E165">
            <v>10.199999999999999</v>
          </cell>
        </row>
        <row r="166">
          <cell r="A166">
            <v>44969</v>
          </cell>
          <cell r="B166">
            <v>165</v>
          </cell>
          <cell r="C166">
            <v>70848.04999999702</v>
          </cell>
          <cell r="D166">
            <v>7.06</v>
          </cell>
          <cell r="E166">
            <v>10</v>
          </cell>
        </row>
        <row r="167">
          <cell r="A167">
            <v>44970</v>
          </cell>
          <cell r="B167">
            <v>166</v>
          </cell>
          <cell r="C167">
            <v>69550</v>
          </cell>
          <cell r="D167">
            <v>6.9</v>
          </cell>
          <cell r="E167">
            <v>9.9</v>
          </cell>
        </row>
        <row r="168">
          <cell r="A168">
            <v>44971</v>
          </cell>
          <cell r="B168">
            <v>167</v>
          </cell>
          <cell r="C168">
            <v>57200.64999999851</v>
          </cell>
          <cell r="D168">
            <v>7.17</v>
          </cell>
          <cell r="E168">
            <v>9.9</v>
          </cell>
        </row>
        <row r="169">
          <cell r="A169">
            <v>44972</v>
          </cell>
          <cell r="B169">
            <v>168</v>
          </cell>
          <cell r="C169">
            <v>70200.65000000596</v>
          </cell>
          <cell r="D169">
            <v>6.68</v>
          </cell>
          <cell r="E169">
            <v>9.9</v>
          </cell>
        </row>
        <row r="170">
          <cell r="A170">
            <v>44973</v>
          </cell>
          <cell r="B170">
            <v>169</v>
          </cell>
          <cell r="C170">
            <v>71498.69999999553</v>
          </cell>
          <cell r="D170">
            <v>6.7</v>
          </cell>
          <cell r="E170">
            <v>10.1</v>
          </cell>
        </row>
        <row r="171">
          <cell r="A171">
            <v>44974</v>
          </cell>
          <cell r="B171">
            <v>170</v>
          </cell>
          <cell r="C171">
            <v>70851.94999999553</v>
          </cell>
          <cell r="D171">
            <v>7.16</v>
          </cell>
          <cell r="E171">
            <v>9.9</v>
          </cell>
        </row>
        <row r="172">
          <cell r="A172">
            <v>44975</v>
          </cell>
          <cell r="B172">
            <v>171</v>
          </cell>
          <cell r="C172">
            <v>67598.05000000447</v>
          </cell>
          <cell r="D172">
            <v>6.83</v>
          </cell>
          <cell r="E172">
            <v>9.6</v>
          </cell>
        </row>
        <row r="173">
          <cell r="A173">
            <v>44976</v>
          </cell>
          <cell r="B173">
            <v>172</v>
          </cell>
          <cell r="C173">
            <v>67598.70000000298</v>
          </cell>
          <cell r="D173">
            <v>6.95</v>
          </cell>
          <cell r="E173">
            <v>9.6</v>
          </cell>
        </row>
        <row r="174">
          <cell r="A174">
            <v>44977</v>
          </cell>
          <cell r="B174">
            <v>173</v>
          </cell>
          <cell r="C174">
            <v>64349.35000000149</v>
          </cell>
          <cell r="D174">
            <v>6.57</v>
          </cell>
          <cell r="E174">
            <v>9.6999999999999993</v>
          </cell>
        </row>
        <row r="175">
          <cell r="A175">
            <v>44978</v>
          </cell>
          <cell r="B175">
            <v>174</v>
          </cell>
          <cell r="C175">
            <v>69550.649999991059</v>
          </cell>
          <cell r="D175">
            <v>7.05</v>
          </cell>
          <cell r="E175">
            <v>9.8000000000000007</v>
          </cell>
        </row>
        <row r="176">
          <cell r="A176">
            <v>44979</v>
          </cell>
          <cell r="B176">
            <v>175</v>
          </cell>
          <cell r="C176">
            <v>68253.250000007451</v>
          </cell>
          <cell r="D176">
            <v>6.9</v>
          </cell>
          <cell r="E176">
            <v>9.6999999999999993</v>
          </cell>
        </row>
        <row r="177">
          <cell r="A177">
            <v>44980</v>
          </cell>
          <cell r="B177">
            <v>176</v>
          </cell>
          <cell r="C177">
            <v>72799.35000000149</v>
          </cell>
          <cell r="D177">
            <v>7.39</v>
          </cell>
          <cell r="E177">
            <v>10.1</v>
          </cell>
        </row>
        <row r="178">
          <cell r="A178">
            <v>44981</v>
          </cell>
          <cell r="B178">
            <v>177</v>
          </cell>
          <cell r="C178">
            <v>68899.999999992549</v>
          </cell>
          <cell r="D178">
            <v>7.54</v>
          </cell>
          <cell r="E178">
            <v>9.9</v>
          </cell>
        </row>
        <row r="179">
          <cell r="A179">
            <v>44982</v>
          </cell>
          <cell r="B179">
            <v>178</v>
          </cell>
          <cell r="C179">
            <v>70848.05000000447</v>
          </cell>
          <cell r="D179">
            <v>7.21</v>
          </cell>
          <cell r="E179">
            <v>9.9</v>
          </cell>
        </row>
        <row r="180">
          <cell r="A180">
            <v>44983</v>
          </cell>
          <cell r="B180">
            <v>179</v>
          </cell>
          <cell r="C180">
            <v>68249.34999999404</v>
          </cell>
          <cell r="D180">
            <v>6.95</v>
          </cell>
          <cell r="E180">
            <v>9.8000000000000007</v>
          </cell>
        </row>
        <row r="181">
          <cell r="A181">
            <v>44984</v>
          </cell>
          <cell r="B181">
            <v>180</v>
          </cell>
          <cell r="C181">
            <v>70851.30000000447</v>
          </cell>
          <cell r="D181">
            <v>7.27</v>
          </cell>
          <cell r="E181">
            <v>10.1</v>
          </cell>
        </row>
        <row r="182">
          <cell r="A182">
            <v>44985</v>
          </cell>
          <cell r="B182">
            <v>181</v>
          </cell>
          <cell r="C182">
            <v>67598.69999999553</v>
          </cell>
          <cell r="D182">
            <v>6.82</v>
          </cell>
          <cell r="E182">
            <v>9.6999999999999993</v>
          </cell>
        </row>
        <row r="183">
          <cell r="A183">
            <v>44986</v>
          </cell>
          <cell r="B183">
            <v>182</v>
          </cell>
          <cell r="C183">
            <v>64349.35000000149</v>
          </cell>
          <cell r="D183">
            <v>6.59</v>
          </cell>
          <cell r="E183">
            <v>9.8000000000000007</v>
          </cell>
        </row>
        <row r="184">
          <cell r="A184">
            <v>44987</v>
          </cell>
          <cell r="B184">
            <v>183</v>
          </cell>
          <cell r="C184">
            <v>71502.60000000149</v>
          </cell>
          <cell r="D184">
            <v>7.22</v>
          </cell>
          <cell r="E184">
            <v>9.8000000000000007</v>
          </cell>
        </row>
        <row r="185">
          <cell r="A185">
            <v>44988</v>
          </cell>
          <cell r="B185">
            <v>184</v>
          </cell>
          <cell r="C185">
            <v>70200.65000000596</v>
          </cell>
          <cell r="D185">
            <v>7.16</v>
          </cell>
          <cell r="E185">
            <v>9.9</v>
          </cell>
        </row>
        <row r="186">
          <cell r="A186">
            <v>44989</v>
          </cell>
          <cell r="B186">
            <v>185</v>
          </cell>
          <cell r="C186">
            <v>69546.749999992549</v>
          </cell>
          <cell r="D186">
            <v>7.1</v>
          </cell>
          <cell r="E186">
            <v>10.1</v>
          </cell>
        </row>
        <row r="187">
          <cell r="A187">
            <v>44990</v>
          </cell>
          <cell r="B187">
            <v>186</v>
          </cell>
          <cell r="C187">
            <v>69550.65000000596</v>
          </cell>
          <cell r="D187">
            <v>7.11</v>
          </cell>
          <cell r="E187">
            <v>9.6999999999999993</v>
          </cell>
        </row>
        <row r="188">
          <cell r="A188">
            <v>44991</v>
          </cell>
          <cell r="B188">
            <v>187</v>
          </cell>
          <cell r="C188">
            <v>70851.29999999702</v>
          </cell>
          <cell r="D188">
            <v>7.23</v>
          </cell>
          <cell r="E188">
            <v>9.8000000000000007</v>
          </cell>
        </row>
        <row r="189">
          <cell r="A189">
            <v>44992</v>
          </cell>
          <cell r="B189">
            <v>188</v>
          </cell>
          <cell r="C189">
            <v>64350</v>
          </cell>
          <cell r="D189">
            <v>6.76</v>
          </cell>
          <cell r="E189">
            <v>11</v>
          </cell>
        </row>
        <row r="190">
          <cell r="A190">
            <v>44993</v>
          </cell>
          <cell r="B190">
            <v>189</v>
          </cell>
          <cell r="C190">
            <v>70200.64999999851</v>
          </cell>
          <cell r="D190">
            <v>7.24</v>
          </cell>
          <cell r="E190">
            <v>9.9</v>
          </cell>
        </row>
        <row r="191">
          <cell r="A191">
            <v>44994</v>
          </cell>
          <cell r="B191">
            <v>190</v>
          </cell>
          <cell r="C191">
            <v>56550</v>
          </cell>
          <cell r="D191">
            <v>5.81</v>
          </cell>
          <cell r="E191">
            <v>10.5</v>
          </cell>
        </row>
        <row r="192">
          <cell r="A192">
            <v>44995</v>
          </cell>
          <cell r="B192">
            <v>191</v>
          </cell>
          <cell r="C192">
            <v>62401.30000000447</v>
          </cell>
          <cell r="D192">
            <v>6.28</v>
          </cell>
          <cell r="E192">
            <v>11.1</v>
          </cell>
        </row>
        <row r="193">
          <cell r="A193">
            <v>44996</v>
          </cell>
          <cell r="B193">
            <v>192</v>
          </cell>
          <cell r="C193">
            <v>70197.39999999851</v>
          </cell>
          <cell r="D193">
            <v>7.32</v>
          </cell>
          <cell r="E193">
            <v>10</v>
          </cell>
        </row>
        <row r="194">
          <cell r="A194">
            <v>44997</v>
          </cell>
          <cell r="B194">
            <v>193</v>
          </cell>
          <cell r="C194">
            <v>68248.70000000298</v>
          </cell>
          <cell r="D194">
            <v>7.19</v>
          </cell>
          <cell r="E194">
            <v>9.8000000000000007</v>
          </cell>
        </row>
        <row r="195">
          <cell r="A195">
            <v>44998</v>
          </cell>
          <cell r="B195">
            <v>194</v>
          </cell>
          <cell r="C195">
            <v>61751.29999999702</v>
          </cell>
          <cell r="D195">
            <v>6.5</v>
          </cell>
          <cell r="E195">
            <v>9.6</v>
          </cell>
        </row>
        <row r="196">
          <cell r="A196">
            <v>44999</v>
          </cell>
          <cell r="B196">
            <v>195</v>
          </cell>
          <cell r="C196">
            <v>64349.34999999404</v>
          </cell>
          <cell r="D196">
            <v>6.89</v>
          </cell>
          <cell r="E196">
            <v>9.5</v>
          </cell>
        </row>
        <row r="197">
          <cell r="A197">
            <v>45000</v>
          </cell>
          <cell r="B197">
            <v>196</v>
          </cell>
          <cell r="C197">
            <v>57200</v>
          </cell>
          <cell r="D197">
            <v>6.26</v>
          </cell>
          <cell r="E197">
            <v>8.8000000000000007</v>
          </cell>
        </row>
        <row r="198">
          <cell r="A198">
            <v>45001</v>
          </cell>
          <cell r="B198">
            <v>197</v>
          </cell>
          <cell r="C198">
            <v>45500.65000000596</v>
          </cell>
          <cell r="D198">
            <v>5.22</v>
          </cell>
          <cell r="E198">
            <v>8.8000000000000007</v>
          </cell>
        </row>
        <row r="199">
          <cell r="A199">
            <v>45002</v>
          </cell>
          <cell r="B199">
            <v>198</v>
          </cell>
          <cell r="C199">
            <v>42251.94999999553</v>
          </cell>
          <cell r="D199">
            <v>4.83</v>
          </cell>
          <cell r="E199">
            <v>9.9</v>
          </cell>
        </row>
        <row r="200">
          <cell r="A200">
            <v>45003</v>
          </cell>
          <cell r="B200">
            <v>199</v>
          </cell>
          <cell r="C200">
            <v>56549.35000000149</v>
          </cell>
          <cell r="D200">
            <v>5.96</v>
          </cell>
          <cell r="E200">
            <v>10.199999999999999</v>
          </cell>
        </row>
        <row r="201">
          <cell r="A201">
            <v>45004</v>
          </cell>
          <cell r="B201">
            <v>200</v>
          </cell>
          <cell r="C201">
            <v>51999.35000000149</v>
          </cell>
          <cell r="D201">
            <v>5.31</v>
          </cell>
          <cell r="E201">
            <v>10.8</v>
          </cell>
        </row>
        <row r="202">
          <cell r="A202">
            <v>45005</v>
          </cell>
          <cell r="B202">
            <v>201</v>
          </cell>
          <cell r="C202">
            <v>58501.30000000447</v>
          </cell>
          <cell r="D202">
            <v>4.6900000000000004</v>
          </cell>
          <cell r="E202">
            <v>10.6</v>
          </cell>
        </row>
        <row r="203">
          <cell r="A203">
            <v>45006</v>
          </cell>
          <cell r="B203">
            <v>202</v>
          </cell>
          <cell r="C203">
            <v>66948.04999999702</v>
          </cell>
          <cell r="D203">
            <v>7.23</v>
          </cell>
          <cell r="E203">
            <v>9.3000000000000007</v>
          </cell>
        </row>
        <row r="204">
          <cell r="A204">
            <v>45007</v>
          </cell>
          <cell r="B204">
            <v>203</v>
          </cell>
          <cell r="C204">
            <v>59799.34999999404</v>
          </cell>
          <cell r="D204">
            <v>6.57</v>
          </cell>
          <cell r="E204">
            <v>9.1</v>
          </cell>
        </row>
        <row r="205">
          <cell r="A205">
            <v>45008</v>
          </cell>
          <cell r="B205">
            <v>204</v>
          </cell>
          <cell r="C205">
            <v>53300.000000007451</v>
          </cell>
          <cell r="D205">
            <v>5.83</v>
          </cell>
          <cell r="E205">
            <v>8.8000000000000007</v>
          </cell>
        </row>
        <row r="206">
          <cell r="A206">
            <v>45009</v>
          </cell>
          <cell r="B206">
            <v>205</v>
          </cell>
          <cell r="C206">
            <v>59803.249999992549</v>
          </cell>
          <cell r="D206">
            <v>6.77</v>
          </cell>
          <cell r="E206">
            <v>9.1</v>
          </cell>
        </row>
        <row r="207">
          <cell r="A207">
            <v>45010</v>
          </cell>
          <cell r="B207">
            <v>206</v>
          </cell>
          <cell r="C207">
            <v>54597.40000000596</v>
          </cell>
          <cell r="D207">
            <v>6.06</v>
          </cell>
          <cell r="E207">
            <v>8.9</v>
          </cell>
        </row>
        <row r="208">
          <cell r="A208">
            <v>45011</v>
          </cell>
          <cell r="B208">
            <v>207</v>
          </cell>
          <cell r="C208">
            <v>44850.64999999851</v>
          </cell>
          <cell r="D208">
            <v>4.95</v>
          </cell>
          <cell r="E208">
            <v>8.3000000000000007</v>
          </cell>
        </row>
        <row r="209">
          <cell r="A209">
            <v>45012</v>
          </cell>
          <cell r="B209">
            <v>208</v>
          </cell>
          <cell r="C209">
            <v>63051.94999999553</v>
          </cell>
          <cell r="D209">
            <v>6.84</v>
          </cell>
          <cell r="E209">
            <v>9.3000000000000007</v>
          </cell>
        </row>
        <row r="210">
          <cell r="A210">
            <v>45013</v>
          </cell>
          <cell r="B210">
            <v>209</v>
          </cell>
          <cell r="C210">
            <v>61746.750000007451</v>
          </cell>
          <cell r="D210">
            <v>7.07</v>
          </cell>
          <cell r="E210">
            <v>8.6999999999999993</v>
          </cell>
        </row>
        <row r="211">
          <cell r="A211">
            <v>45014</v>
          </cell>
          <cell r="B211">
            <v>210</v>
          </cell>
          <cell r="C211">
            <v>52003.249999992549</v>
          </cell>
          <cell r="D211">
            <v>6.74</v>
          </cell>
          <cell r="E211">
            <v>9</v>
          </cell>
        </row>
        <row r="212">
          <cell r="A212">
            <v>45015</v>
          </cell>
          <cell r="B212">
            <v>211</v>
          </cell>
          <cell r="C212">
            <v>52649.350000008941</v>
          </cell>
          <cell r="D212">
            <v>5.05</v>
          </cell>
          <cell r="E212">
            <v>9.6999999999999993</v>
          </cell>
        </row>
        <row r="213">
          <cell r="A213">
            <v>45016</v>
          </cell>
          <cell r="B213">
            <v>212</v>
          </cell>
          <cell r="C213">
            <v>40950.64999999851</v>
          </cell>
          <cell r="D213">
            <v>5.41</v>
          </cell>
          <cell r="E213">
            <v>7.9</v>
          </cell>
        </row>
        <row r="214">
          <cell r="A214">
            <v>45017</v>
          </cell>
          <cell r="B214">
            <v>1</v>
          </cell>
          <cell r="C214">
            <v>44199.34999999404</v>
          </cell>
          <cell r="D214">
            <v>5.1100000000000003</v>
          </cell>
          <cell r="E214">
            <v>9.6999999999999993</v>
          </cell>
        </row>
        <row r="215">
          <cell r="A215">
            <v>45018</v>
          </cell>
          <cell r="B215">
            <v>2</v>
          </cell>
          <cell r="C215">
            <v>40300</v>
          </cell>
          <cell r="D215">
            <v>4.32</v>
          </cell>
          <cell r="E215">
            <v>10</v>
          </cell>
        </row>
        <row r="216">
          <cell r="A216">
            <v>45019</v>
          </cell>
          <cell r="B216">
            <v>3</v>
          </cell>
          <cell r="C216">
            <v>44850.000000007451</v>
          </cell>
          <cell r="D216">
            <v>5.04</v>
          </cell>
          <cell r="E216">
            <v>9.8000000000000007</v>
          </cell>
        </row>
        <row r="217">
          <cell r="A217">
            <v>45020</v>
          </cell>
          <cell r="B217">
            <v>4</v>
          </cell>
          <cell r="C217">
            <v>47448.69999999553</v>
          </cell>
          <cell r="D217">
            <v>5.44</v>
          </cell>
          <cell r="E217">
            <v>9.6</v>
          </cell>
        </row>
        <row r="218">
          <cell r="A218">
            <v>45021</v>
          </cell>
          <cell r="B218">
            <v>5</v>
          </cell>
          <cell r="C218">
            <v>55899.35000000149</v>
          </cell>
          <cell r="D218">
            <v>6.38</v>
          </cell>
          <cell r="E218">
            <v>8.9</v>
          </cell>
        </row>
        <row r="219">
          <cell r="A219">
            <v>45022</v>
          </cell>
          <cell r="B219">
            <v>6</v>
          </cell>
          <cell r="C219">
            <v>57200</v>
          </cell>
          <cell r="D219">
            <v>6.01</v>
          </cell>
          <cell r="E219">
            <v>9.1999999999999993</v>
          </cell>
        </row>
        <row r="220">
          <cell r="A220">
            <v>45023</v>
          </cell>
          <cell r="B220">
            <v>7</v>
          </cell>
          <cell r="C220">
            <v>60449.35000000149</v>
          </cell>
          <cell r="D220">
            <v>6.28</v>
          </cell>
          <cell r="E220">
            <v>9.1</v>
          </cell>
        </row>
        <row r="221">
          <cell r="A221">
            <v>45024</v>
          </cell>
          <cell r="B221">
            <v>8</v>
          </cell>
          <cell r="C221">
            <v>64349.35000000149</v>
          </cell>
          <cell r="D221">
            <v>6.89</v>
          </cell>
          <cell r="E221">
            <v>9.5</v>
          </cell>
        </row>
        <row r="222">
          <cell r="A222">
            <v>45025</v>
          </cell>
          <cell r="B222">
            <v>9</v>
          </cell>
          <cell r="C222">
            <v>65000</v>
          </cell>
          <cell r="D222">
            <v>6.69</v>
          </cell>
          <cell r="E222">
            <v>9.1</v>
          </cell>
        </row>
        <row r="223">
          <cell r="A223">
            <v>45026</v>
          </cell>
          <cell r="B223">
            <v>10</v>
          </cell>
          <cell r="C223">
            <v>63051.94999999553</v>
          </cell>
          <cell r="D223">
            <v>6.5</v>
          </cell>
          <cell r="E223">
            <v>9</v>
          </cell>
        </row>
        <row r="224">
          <cell r="A224">
            <v>45027</v>
          </cell>
          <cell r="B224">
            <v>11</v>
          </cell>
          <cell r="C224">
            <v>63048.69999999553</v>
          </cell>
          <cell r="D224">
            <v>6.5</v>
          </cell>
          <cell r="E224">
            <v>8.9</v>
          </cell>
        </row>
        <row r="225">
          <cell r="A225">
            <v>45028</v>
          </cell>
          <cell r="B225">
            <v>12</v>
          </cell>
          <cell r="C225">
            <v>65000</v>
          </cell>
          <cell r="D225">
            <v>6.8</v>
          </cell>
          <cell r="E225">
            <v>9</v>
          </cell>
        </row>
        <row r="226">
          <cell r="A226">
            <v>45029</v>
          </cell>
          <cell r="B226">
            <v>13</v>
          </cell>
          <cell r="C226">
            <v>63051.95000000298</v>
          </cell>
          <cell r="D226">
            <v>6.6</v>
          </cell>
          <cell r="E226">
            <v>8.6999999999999993</v>
          </cell>
        </row>
        <row r="227">
          <cell r="A227">
            <v>45030</v>
          </cell>
          <cell r="B227">
            <v>14</v>
          </cell>
          <cell r="C227">
            <v>61750.65000000596</v>
          </cell>
          <cell r="D227">
            <v>6.46</v>
          </cell>
          <cell r="E227">
            <v>8.6</v>
          </cell>
        </row>
        <row r="228">
          <cell r="A228">
            <v>45031</v>
          </cell>
          <cell r="B228">
            <v>15</v>
          </cell>
          <cell r="C228">
            <v>53947.399999991059</v>
          </cell>
          <cell r="D228">
            <v>5.49</v>
          </cell>
          <cell r="E228">
            <v>9.4</v>
          </cell>
        </row>
        <row r="229">
          <cell r="A229">
            <v>45032</v>
          </cell>
          <cell r="B229">
            <v>16</v>
          </cell>
          <cell r="C229">
            <v>61100.000000007451</v>
          </cell>
          <cell r="D229">
            <v>6.39</v>
          </cell>
          <cell r="E229">
            <v>8.5</v>
          </cell>
        </row>
        <row r="230">
          <cell r="A230">
            <v>45033</v>
          </cell>
          <cell r="B230">
            <v>17</v>
          </cell>
          <cell r="C230">
            <v>49400.64999999851</v>
          </cell>
          <cell r="D230">
            <v>6.3</v>
          </cell>
          <cell r="E230">
            <v>8.3000000000000007</v>
          </cell>
        </row>
        <row r="231">
          <cell r="A231">
            <v>45034</v>
          </cell>
          <cell r="B231">
            <v>18</v>
          </cell>
          <cell r="C231">
            <v>59798.69999999553</v>
          </cell>
          <cell r="D231">
            <v>6.33</v>
          </cell>
          <cell r="E231">
            <v>8.3000000000000007</v>
          </cell>
        </row>
        <row r="232">
          <cell r="A232">
            <v>45035</v>
          </cell>
          <cell r="B232">
            <v>19</v>
          </cell>
          <cell r="C232">
            <v>56553.89999999851</v>
          </cell>
          <cell r="D232">
            <v>5.89</v>
          </cell>
          <cell r="E232">
            <v>8</v>
          </cell>
        </row>
        <row r="233">
          <cell r="A233">
            <v>45036</v>
          </cell>
          <cell r="B233">
            <v>20</v>
          </cell>
          <cell r="C233">
            <v>53946.750000007451</v>
          </cell>
          <cell r="D233">
            <v>5.76</v>
          </cell>
          <cell r="E233">
            <v>8.1999999999999993</v>
          </cell>
        </row>
        <row r="234">
          <cell r="A234">
            <v>45037</v>
          </cell>
          <cell r="B234">
            <v>21</v>
          </cell>
          <cell r="C234">
            <v>40950.64999999851</v>
          </cell>
          <cell r="D234">
            <v>4.2300000000000004</v>
          </cell>
          <cell r="E234">
            <v>8.6</v>
          </cell>
        </row>
        <row r="235">
          <cell r="A235">
            <v>45038</v>
          </cell>
          <cell r="B235">
            <v>22</v>
          </cell>
          <cell r="C235">
            <v>47452.60000000149</v>
          </cell>
          <cell r="D235">
            <v>4.4800000000000004</v>
          </cell>
          <cell r="E235">
            <v>8.4</v>
          </cell>
        </row>
        <row r="236">
          <cell r="A236">
            <v>45039</v>
          </cell>
          <cell r="B236">
            <v>23</v>
          </cell>
          <cell r="C236">
            <v>48099.35000000149</v>
          </cell>
          <cell r="D236">
            <v>4.9000000000000004</v>
          </cell>
          <cell r="E236">
            <v>9.3000000000000007</v>
          </cell>
        </row>
        <row r="237">
          <cell r="A237">
            <v>45040</v>
          </cell>
          <cell r="B237">
            <v>24</v>
          </cell>
          <cell r="C237">
            <v>53947.399999991059</v>
          </cell>
          <cell r="D237">
            <v>5.68</v>
          </cell>
          <cell r="E237">
            <v>8.9</v>
          </cell>
        </row>
        <row r="238">
          <cell r="A238">
            <v>45041</v>
          </cell>
          <cell r="B238">
            <v>25</v>
          </cell>
          <cell r="C238">
            <v>53950.65000000596</v>
          </cell>
          <cell r="D238">
            <v>5.47</v>
          </cell>
          <cell r="E238">
            <v>9.9</v>
          </cell>
        </row>
        <row r="239">
          <cell r="A239">
            <v>45042</v>
          </cell>
          <cell r="B239">
            <v>26</v>
          </cell>
          <cell r="C239">
            <v>50701.94999999553</v>
          </cell>
          <cell r="D239">
            <v>5.41</v>
          </cell>
          <cell r="E239">
            <v>9.1</v>
          </cell>
        </row>
        <row r="240">
          <cell r="A240">
            <v>45043</v>
          </cell>
          <cell r="B240">
            <v>27</v>
          </cell>
          <cell r="C240">
            <v>56550</v>
          </cell>
          <cell r="D240">
            <v>5.94</v>
          </cell>
          <cell r="E240">
            <v>9.1</v>
          </cell>
        </row>
        <row r="241">
          <cell r="A241">
            <v>45044</v>
          </cell>
          <cell r="B241">
            <v>28</v>
          </cell>
          <cell r="C241">
            <v>58497.39999999851</v>
          </cell>
          <cell r="D241">
            <v>6.12</v>
          </cell>
          <cell r="E241">
            <v>9</v>
          </cell>
        </row>
        <row r="242">
          <cell r="A242">
            <v>45045</v>
          </cell>
          <cell r="B242">
            <v>29</v>
          </cell>
          <cell r="C242">
            <v>48099.35000000149</v>
          </cell>
          <cell r="D242">
            <v>4.92</v>
          </cell>
          <cell r="E242">
            <v>9.6</v>
          </cell>
        </row>
        <row r="243">
          <cell r="A243">
            <v>45046</v>
          </cell>
          <cell r="B243">
            <v>30</v>
          </cell>
          <cell r="C243">
            <v>52003.250000007451</v>
          </cell>
          <cell r="D243">
            <v>5.28</v>
          </cell>
          <cell r="E243">
            <v>10.199999999999999</v>
          </cell>
        </row>
        <row r="244">
          <cell r="A244">
            <v>45047</v>
          </cell>
          <cell r="B244">
            <v>31</v>
          </cell>
          <cell r="C244">
            <v>40950</v>
          </cell>
          <cell r="D244">
            <v>4.09</v>
          </cell>
          <cell r="E244">
            <v>10.4</v>
          </cell>
        </row>
        <row r="245">
          <cell r="A245">
            <v>45048</v>
          </cell>
          <cell r="B245">
            <v>32</v>
          </cell>
          <cell r="C245">
            <v>36399.999999992549</v>
          </cell>
          <cell r="D245">
            <v>4.37</v>
          </cell>
          <cell r="E245">
            <v>10.9</v>
          </cell>
        </row>
        <row r="246">
          <cell r="A246">
            <v>45049</v>
          </cell>
          <cell r="B246">
            <v>33</v>
          </cell>
          <cell r="C246">
            <v>37050.65000000596</v>
          </cell>
          <cell r="D246">
            <v>3.45</v>
          </cell>
          <cell r="E246">
            <v>10.9</v>
          </cell>
        </row>
        <row r="247">
          <cell r="A247">
            <v>45050</v>
          </cell>
          <cell r="B247">
            <v>34</v>
          </cell>
          <cell r="C247">
            <v>31849.35000000149</v>
          </cell>
          <cell r="D247">
            <v>3.28</v>
          </cell>
          <cell r="E247">
            <v>10.7</v>
          </cell>
        </row>
        <row r="248">
          <cell r="A248">
            <v>45051</v>
          </cell>
          <cell r="B248">
            <v>35</v>
          </cell>
          <cell r="C248">
            <v>45496.749999992549</v>
          </cell>
          <cell r="D248">
            <v>4.41</v>
          </cell>
          <cell r="E248">
            <v>9.3000000000000007</v>
          </cell>
        </row>
        <row r="249">
          <cell r="A249">
            <v>45052</v>
          </cell>
          <cell r="B249">
            <v>36</v>
          </cell>
          <cell r="C249">
            <v>28600.000000007451</v>
          </cell>
          <cell r="D249">
            <v>2.79</v>
          </cell>
          <cell r="E249">
            <v>10.3</v>
          </cell>
        </row>
        <row r="250">
          <cell r="A250">
            <v>45053</v>
          </cell>
          <cell r="B250">
            <v>37</v>
          </cell>
          <cell r="C250">
            <v>52649.999999992549</v>
          </cell>
          <cell r="D250">
            <v>5.16</v>
          </cell>
          <cell r="E250">
            <v>10.6</v>
          </cell>
        </row>
        <row r="251">
          <cell r="A251">
            <v>45054</v>
          </cell>
          <cell r="B251">
            <v>38</v>
          </cell>
          <cell r="C251">
            <v>37701.30000000447</v>
          </cell>
          <cell r="D251">
            <v>3.5399999999999991</v>
          </cell>
          <cell r="E251">
            <v>10.6</v>
          </cell>
        </row>
        <row r="252">
          <cell r="A252">
            <v>45055</v>
          </cell>
          <cell r="B252">
            <v>39</v>
          </cell>
          <cell r="C252">
            <v>44850</v>
          </cell>
          <cell r="D252">
            <v>5.28</v>
          </cell>
          <cell r="E252">
            <v>9.8000000000000007</v>
          </cell>
        </row>
        <row r="253">
          <cell r="A253">
            <v>45056</v>
          </cell>
          <cell r="B253">
            <v>40</v>
          </cell>
          <cell r="C253">
            <v>58501.29999999702</v>
          </cell>
          <cell r="D253">
            <v>5.87</v>
          </cell>
          <cell r="E253">
            <v>9.3000000000000007</v>
          </cell>
        </row>
        <row r="254">
          <cell r="A254">
            <v>45057</v>
          </cell>
          <cell r="B254">
            <v>41</v>
          </cell>
          <cell r="C254">
            <v>48099.35000000149</v>
          </cell>
          <cell r="D254">
            <v>5.31</v>
          </cell>
          <cell r="E254">
            <v>8.9</v>
          </cell>
        </row>
        <row r="255">
          <cell r="A255">
            <v>45058</v>
          </cell>
          <cell r="B255">
            <v>42</v>
          </cell>
          <cell r="C255">
            <v>52650</v>
          </cell>
          <cell r="D255">
            <v>5.26</v>
          </cell>
          <cell r="E255">
            <v>9.1</v>
          </cell>
        </row>
        <row r="256">
          <cell r="A256">
            <v>45059</v>
          </cell>
          <cell r="B256">
            <v>43</v>
          </cell>
          <cell r="C256">
            <v>44850</v>
          </cell>
          <cell r="D256">
            <v>5.04</v>
          </cell>
          <cell r="E256">
            <v>8.1999999999999993</v>
          </cell>
        </row>
        <row r="257">
          <cell r="A257">
            <v>45060</v>
          </cell>
          <cell r="B257">
            <v>44</v>
          </cell>
          <cell r="C257">
            <v>58501.95000000298</v>
          </cell>
          <cell r="D257">
            <v>6.12</v>
          </cell>
          <cell r="E257">
            <v>9.6</v>
          </cell>
        </row>
        <row r="258">
          <cell r="A258">
            <v>45061</v>
          </cell>
          <cell r="B258">
            <v>45</v>
          </cell>
          <cell r="C258">
            <v>40946.10000000149</v>
          </cell>
          <cell r="D258">
            <v>4.2300000000000004</v>
          </cell>
          <cell r="E258">
            <v>8</v>
          </cell>
        </row>
        <row r="259">
          <cell r="A259">
            <v>45062</v>
          </cell>
          <cell r="B259">
            <v>46</v>
          </cell>
          <cell r="C259">
            <v>52649.999999992549</v>
          </cell>
          <cell r="D259">
            <v>5.16</v>
          </cell>
          <cell r="E259">
            <v>9.1999999999999993</v>
          </cell>
        </row>
        <row r="260">
          <cell r="A260">
            <v>45063</v>
          </cell>
          <cell r="B260">
            <v>47</v>
          </cell>
          <cell r="C260">
            <v>52653.90000000596</v>
          </cell>
          <cell r="D260">
            <v>5.16</v>
          </cell>
          <cell r="E260">
            <v>9.1</v>
          </cell>
        </row>
        <row r="261">
          <cell r="A261">
            <v>45064</v>
          </cell>
          <cell r="B261">
            <v>48</v>
          </cell>
          <cell r="C261">
            <v>44199.34999999404</v>
          </cell>
          <cell r="D261">
            <v>5.1100000000000003</v>
          </cell>
          <cell r="E261">
            <v>8.1</v>
          </cell>
        </row>
        <row r="262">
          <cell r="A262">
            <v>45065</v>
          </cell>
          <cell r="B262">
            <v>49</v>
          </cell>
          <cell r="C262">
            <v>51999.35000000149</v>
          </cell>
          <cell r="D262">
            <v>5.07</v>
          </cell>
          <cell r="E262">
            <v>9.6</v>
          </cell>
        </row>
        <row r="263">
          <cell r="A263">
            <v>45066</v>
          </cell>
          <cell r="B263">
            <v>50</v>
          </cell>
          <cell r="C263">
            <v>54598.04999999702</v>
          </cell>
          <cell r="D263">
            <v>6.06</v>
          </cell>
          <cell r="E263">
            <v>9.1999999999999993</v>
          </cell>
        </row>
        <row r="264">
          <cell r="A264">
            <v>45067</v>
          </cell>
          <cell r="B264">
            <v>51</v>
          </cell>
          <cell r="C264">
            <v>34451.30000000447</v>
          </cell>
          <cell r="D264">
            <v>3.11</v>
          </cell>
          <cell r="E264">
            <v>8.1</v>
          </cell>
        </row>
        <row r="265">
          <cell r="A265">
            <v>45068</v>
          </cell>
          <cell r="B265">
            <v>52</v>
          </cell>
          <cell r="C265">
            <v>61751.29999999702</v>
          </cell>
          <cell r="D265">
            <v>6.46</v>
          </cell>
          <cell r="E265">
            <v>10.7</v>
          </cell>
        </row>
        <row r="266">
          <cell r="A266">
            <v>45069</v>
          </cell>
          <cell r="B266">
            <v>53</v>
          </cell>
          <cell r="C266">
            <v>52649.35000000149</v>
          </cell>
          <cell r="D266">
            <v>5.16</v>
          </cell>
          <cell r="E266">
            <v>9.3000000000000007</v>
          </cell>
        </row>
        <row r="267">
          <cell r="A267">
            <v>45070</v>
          </cell>
          <cell r="B267">
            <v>54</v>
          </cell>
          <cell r="C267">
            <v>58498.05000000447</v>
          </cell>
          <cell r="D267">
            <v>6.12</v>
          </cell>
          <cell r="E267">
            <v>10.6</v>
          </cell>
        </row>
        <row r="268">
          <cell r="A268">
            <v>45071</v>
          </cell>
          <cell r="B268">
            <v>55</v>
          </cell>
          <cell r="C268">
            <v>51352.59999999404</v>
          </cell>
          <cell r="D268">
            <v>5.05</v>
          </cell>
          <cell r="E268">
            <v>9.9</v>
          </cell>
        </row>
        <row r="269">
          <cell r="A269">
            <v>45072</v>
          </cell>
          <cell r="B269">
            <v>56</v>
          </cell>
          <cell r="C269">
            <v>63698.70000000298</v>
          </cell>
          <cell r="D269">
            <v>6.28</v>
          </cell>
          <cell r="E269">
            <v>10.6</v>
          </cell>
        </row>
        <row r="270">
          <cell r="A270">
            <v>45073</v>
          </cell>
          <cell r="B270">
            <v>57</v>
          </cell>
          <cell r="C270">
            <v>61750.64999999851</v>
          </cell>
          <cell r="D270">
            <v>6.46</v>
          </cell>
          <cell r="E270">
            <v>10.3</v>
          </cell>
        </row>
        <row r="271">
          <cell r="A271">
            <v>45074</v>
          </cell>
          <cell r="B271">
            <v>58</v>
          </cell>
          <cell r="C271">
            <v>63698.70000000298</v>
          </cell>
          <cell r="D271">
            <v>6.28</v>
          </cell>
          <cell r="E271">
            <v>10.8</v>
          </cell>
        </row>
        <row r="272">
          <cell r="A272">
            <v>45075</v>
          </cell>
          <cell r="B272">
            <v>59</v>
          </cell>
          <cell r="C272">
            <v>50701.95000000298</v>
          </cell>
          <cell r="D272">
            <v>5.41</v>
          </cell>
          <cell r="E272">
            <v>9.9</v>
          </cell>
        </row>
        <row r="273">
          <cell r="A273">
            <v>45076</v>
          </cell>
          <cell r="B273">
            <v>60</v>
          </cell>
          <cell r="C273">
            <v>44849.999999992549</v>
          </cell>
          <cell r="D273">
            <v>5.04</v>
          </cell>
          <cell r="E273">
            <v>8.9</v>
          </cell>
        </row>
        <row r="274">
          <cell r="A274">
            <v>45077</v>
          </cell>
          <cell r="B274">
            <v>61</v>
          </cell>
          <cell r="C274">
            <v>57847.39999999851</v>
          </cell>
          <cell r="D274">
            <v>5.57</v>
          </cell>
          <cell r="E274">
            <v>10.3</v>
          </cell>
        </row>
        <row r="275">
          <cell r="A275">
            <v>45078</v>
          </cell>
          <cell r="B275">
            <v>62</v>
          </cell>
          <cell r="C275">
            <v>59802.600000008941</v>
          </cell>
          <cell r="D275">
            <v>6.77</v>
          </cell>
          <cell r="E275">
            <v>10.4</v>
          </cell>
        </row>
        <row r="276">
          <cell r="A276">
            <v>45079</v>
          </cell>
          <cell r="B276">
            <v>63</v>
          </cell>
          <cell r="C276">
            <v>57846.75</v>
          </cell>
          <cell r="D276">
            <v>5.57</v>
          </cell>
          <cell r="E276">
            <v>10.1</v>
          </cell>
        </row>
        <row r="277">
          <cell r="A277">
            <v>45080</v>
          </cell>
          <cell r="B277">
            <v>64</v>
          </cell>
          <cell r="C277">
            <v>50051.29999999702</v>
          </cell>
          <cell r="D277">
            <v>5.74</v>
          </cell>
          <cell r="E277">
            <v>9.6</v>
          </cell>
        </row>
        <row r="278">
          <cell r="A278">
            <v>45081</v>
          </cell>
          <cell r="B278">
            <v>65</v>
          </cell>
          <cell r="C278">
            <v>40950.64999999851</v>
          </cell>
          <cell r="D278">
            <v>4.2300000000000004</v>
          </cell>
          <cell r="E278">
            <v>8.9</v>
          </cell>
        </row>
        <row r="279">
          <cell r="A279">
            <v>45082</v>
          </cell>
          <cell r="B279">
            <v>66</v>
          </cell>
          <cell r="C279">
            <v>57850.64999999851</v>
          </cell>
          <cell r="D279">
            <v>5.57</v>
          </cell>
          <cell r="E279">
            <v>9.9</v>
          </cell>
        </row>
        <row r="280">
          <cell r="A280">
            <v>45083</v>
          </cell>
          <cell r="B280">
            <v>67</v>
          </cell>
          <cell r="C280">
            <v>59799.35000000149</v>
          </cell>
          <cell r="D280">
            <v>6.33</v>
          </cell>
          <cell r="E280">
            <v>10.6</v>
          </cell>
        </row>
        <row r="281">
          <cell r="A281">
            <v>45084</v>
          </cell>
          <cell r="B281">
            <v>68</v>
          </cell>
          <cell r="C281">
            <v>48750</v>
          </cell>
          <cell r="D281">
            <v>4.82</v>
          </cell>
          <cell r="E281">
            <v>9.8000000000000007</v>
          </cell>
        </row>
        <row r="282">
          <cell r="A282">
            <v>45085</v>
          </cell>
          <cell r="B282">
            <v>69</v>
          </cell>
          <cell r="C282">
            <v>50701.30000000447</v>
          </cell>
          <cell r="D282">
            <v>4.99</v>
          </cell>
          <cell r="E282">
            <v>9.6</v>
          </cell>
        </row>
        <row r="283">
          <cell r="A283">
            <v>45086</v>
          </cell>
          <cell r="B283">
            <v>70</v>
          </cell>
          <cell r="C283">
            <v>63048.69999999553</v>
          </cell>
          <cell r="D283">
            <v>6.5</v>
          </cell>
          <cell r="E283">
            <v>10.6</v>
          </cell>
        </row>
        <row r="284">
          <cell r="A284">
            <v>45087</v>
          </cell>
          <cell r="B284">
            <v>71</v>
          </cell>
          <cell r="C284">
            <v>66300.64999999851</v>
          </cell>
          <cell r="D284">
            <v>6.34</v>
          </cell>
          <cell r="E284">
            <v>10.8</v>
          </cell>
        </row>
        <row r="285">
          <cell r="A285">
            <v>45088</v>
          </cell>
          <cell r="B285">
            <v>72</v>
          </cell>
          <cell r="C285">
            <v>7149.3500000014901</v>
          </cell>
          <cell r="D285">
            <v>6.33</v>
          </cell>
          <cell r="E285">
            <v>10.199999999999999</v>
          </cell>
        </row>
        <row r="286">
          <cell r="A286">
            <v>45089</v>
          </cell>
          <cell r="B286">
            <v>73</v>
          </cell>
          <cell r="C286">
            <v>57850.64999999851</v>
          </cell>
          <cell r="D286">
            <v>5.57</v>
          </cell>
          <cell r="E286">
            <v>9.9</v>
          </cell>
        </row>
        <row r="287">
          <cell r="A287">
            <v>45090</v>
          </cell>
          <cell r="B287">
            <v>74</v>
          </cell>
          <cell r="C287">
            <v>63699.35000000149</v>
          </cell>
          <cell r="D287">
            <v>6.28</v>
          </cell>
          <cell r="E287">
            <v>10.3</v>
          </cell>
        </row>
        <row r="288">
          <cell r="A288">
            <v>45091</v>
          </cell>
          <cell r="B288">
            <v>75</v>
          </cell>
          <cell r="C288">
            <v>63051.94999999553</v>
          </cell>
          <cell r="D288">
            <v>6.6</v>
          </cell>
          <cell r="E288">
            <v>10.1</v>
          </cell>
        </row>
        <row r="289">
          <cell r="A289">
            <v>45092</v>
          </cell>
          <cell r="B289">
            <v>76</v>
          </cell>
          <cell r="C289">
            <v>61100.000000007451</v>
          </cell>
          <cell r="D289">
            <v>6.39</v>
          </cell>
          <cell r="E289">
            <v>10.199999999999999</v>
          </cell>
        </row>
        <row r="290">
          <cell r="A290">
            <v>45093</v>
          </cell>
          <cell r="B290">
            <v>77</v>
          </cell>
          <cell r="C290">
            <v>63698.69999999553</v>
          </cell>
          <cell r="D290">
            <v>6.28</v>
          </cell>
          <cell r="E290">
            <v>10.4</v>
          </cell>
        </row>
        <row r="291">
          <cell r="A291">
            <v>45094</v>
          </cell>
          <cell r="B291">
            <v>78</v>
          </cell>
          <cell r="C291">
            <v>47448.70000000298</v>
          </cell>
          <cell r="D291">
            <v>9.93</v>
          </cell>
          <cell r="E291">
            <v>9.6</v>
          </cell>
        </row>
        <row r="292">
          <cell r="A292">
            <v>45095</v>
          </cell>
          <cell r="B292">
            <v>79</v>
          </cell>
          <cell r="C292">
            <v>31198.69999999553</v>
          </cell>
          <cell r="D292">
            <v>3</v>
          </cell>
          <cell r="E292">
            <v>8.1</v>
          </cell>
        </row>
        <row r="293">
          <cell r="A293">
            <v>45096</v>
          </cell>
          <cell r="B293">
            <v>80</v>
          </cell>
          <cell r="C293">
            <v>28600.000000007451</v>
          </cell>
          <cell r="D293">
            <v>2.29</v>
          </cell>
          <cell r="E293">
            <v>7.8</v>
          </cell>
        </row>
        <row r="294">
          <cell r="A294">
            <v>45097</v>
          </cell>
          <cell r="B294">
            <v>81</v>
          </cell>
          <cell r="C294">
            <v>32500</v>
          </cell>
          <cell r="D294">
            <v>2.88</v>
          </cell>
          <cell r="E294">
            <v>6.6</v>
          </cell>
        </row>
        <row r="295">
          <cell r="A295">
            <v>45098</v>
          </cell>
          <cell r="B295">
            <v>82</v>
          </cell>
          <cell r="C295">
            <v>38351.94999999553</v>
          </cell>
          <cell r="D295">
            <v>3.34</v>
          </cell>
          <cell r="E295">
            <v>7.2</v>
          </cell>
        </row>
        <row r="296">
          <cell r="A296">
            <v>45099</v>
          </cell>
          <cell r="B296">
            <v>83</v>
          </cell>
          <cell r="C296">
            <v>46151.29999999702</v>
          </cell>
          <cell r="D296">
            <v>4.3899999999999997</v>
          </cell>
          <cell r="E296">
            <v>9.3000000000000007</v>
          </cell>
        </row>
        <row r="297">
          <cell r="A297">
            <v>45100</v>
          </cell>
          <cell r="B297">
            <v>84</v>
          </cell>
          <cell r="C297">
            <v>44199.35000000149</v>
          </cell>
          <cell r="D297">
            <v>4.13</v>
          </cell>
          <cell r="E297">
            <v>8.9</v>
          </cell>
        </row>
        <row r="298">
          <cell r="A298">
            <v>45101</v>
          </cell>
          <cell r="B298">
            <v>85</v>
          </cell>
          <cell r="C298">
            <v>46148.04999999702</v>
          </cell>
          <cell r="D298">
            <v>4.3899999999999997</v>
          </cell>
          <cell r="E298">
            <v>8.6</v>
          </cell>
        </row>
        <row r="299">
          <cell r="A299">
            <v>45102</v>
          </cell>
          <cell r="B299">
            <v>86</v>
          </cell>
          <cell r="C299">
            <v>48103.25</v>
          </cell>
          <cell r="D299">
            <v>4.54</v>
          </cell>
          <cell r="E299">
            <v>8.9</v>
          </cell>
        </row>
        <row r="300">
          <cell r="A300">
            <v>45103</v>
          </cell>
          <cell r="B300">
            <v>87</v>
          </cell>
          <cell r="C300">
            <v>48099.35000000149</v>
          </cell>
          <cell r="D300">
            <v>4.5199999999999996</v>
          </cell>
          <cell r="E300">
            <v>9.1</v>
          </cell>
        </row>
        <row r="301">
          <cell r="A301">
            <v>45104</v>
          </cell>
          <cell r="B301">
            <v>88</v>
          </cell>
          <cell r="C301">
            <v>58497.39999999851</v>
          </cell>
          <cell r="D301">
            <v>6.12</v>
          </cell>
          <cell r="E301">
            <v>9.6</v>
          </cell>
        </row>
        <row r="302">
          <cell r="A302">
            <v>45105</v>
          </cell>
          <cell r="B302">
            <v>89</v>
          </cell>
          <cell r="C302">
            <v>53300.65000000596</v>
          </cell>
          <cell r="D302">
            <v>5.32</v>
          </cell>
          <cell r="E302">
            <v>9.1999999999999993</v>
          </cell>
        </row>
        <row r="303">
          <cell r="A303">
            <v>45106</v>
          </cell>
          <cell r="B303">
            <v>90</v>
          </cell>
          <cell r="C303">
            <v>55251.95000000298</v>
          </cell>
          <cell r="D303">
            <v>5.82</v>
          </cell>
          <cell r="E303">
            <v>9.6</v>
          </cell>
        </row>
        <row r="304">
          <cell r="A304">
            <v>45107</v>
          </cell>
          <cell r="B304">
            <v>91</v>
          </cell>
          <cell r="C304">
            <v>59148.69999999553</v>
          </cell>
          <cell r="D304">
            <v>5.82</v>
          </cell>
          <cell r="E304">
            <v>10.199999999999999</v>
          </cell>
        </row>
        <row r="305">
          <cell r="A305">
            <v>45108</v>
          </cell>
          <cell r="B305">
            <v>92</v>
          </cell>
          <cell r="C305">
            <v>55248.05000000447</v>
          </cell>
          <cell r="D305">
            <v>4.66</v>
          </cell>
          <cell r="E305">
            <v>10.1</v>
          </cell>
        </row>
        <row r="306">
          <cell r="A306">
            <v>45109</v>
          </cell>
          <cell r="B306">
            <v>93</v>
          </cell>
          <cell r="C306">
            <v>37050.649999991059</v>
          </cell>
          <cell r="D306">
            <v>2.99</v>
          </cell>
          <cell r="E306">
            <v>8.1999999999999993</v>
          </cell>
        </row>
        <row r="307">
          <cell r="A307">
            <v>45110</v>
          </cell>
          <cell r="B307">
            <v>94</v>
          </cell>
          <cell r="C307">
            <v>50701.95000000298</v>
          </cell>
          <cell r="D307">
            <v>4.49</v>
          </cell>
          <cell r="E307">
            <v>8.9</v>
          </cell>
        </row>
        <row r="308">
          <cell r="A308">
            <v>45111</v>
          </cell>
          <cell r="B308">
            <v>95</v>
          </cell>
          <cell r="C308">
            <v>50051.30000000447</v>
          </cell>
          <cell r="D308">
            <v>4.26</v>
          </cell>
          <cell r="E308">
            <v>9.1999999999999993</v>
          </cell>
        </row>
        <row r="309">
          <cell r="A309">
            <v>45112</v>
          </cell>
          <cell r="B309">
            <v>96</v>
          </cell>
          <cell r="C309">
            <v>37697.39999999851</v>
          </cell>
          <cell r="D309">
            <v>3.15</v>
          </cell>
          <cell r="E309">
            <v>7.9</v>
          </cell>
        </row>
        <row r="310">
          <cell r="A310">
            <v>45113</v>
          </cell>
          <cell r="B310">
            <v>97</v>
          </cell>
          <cell r="C310">
            <v>46151.29999999702</v>
          </cell>
          <cell r="D310">
            <v>4.01</v>
          </cell>
          <cell r="E310">
            <v>8.3000000000000007</v>
          </cell>
        </row>
        <row r="311">
          <cell r="A311">
            <v>45114</v>
          </cell>
          <cell r="B311">
            <v>98</v>
          </cell>
          <cell r="C311">
            <v>35749.35000000149</v>
          </cell>
          <cell r="D311">
            <v>2.92</v>
          </cell>
          <cell r="E311">
            <v>6.9</v>
          </cell>
        </row>
        <row r="312">
          <cell r="A312">
            <v>45115</v>
          </cell>
          <cell r="B312">
            <v>99</v>
          </cell>
          <cell r="C312">
            <v>38998.04999999702</v>
          </cell>
          <cell r="D312">
            <v>3.21</v>
          </cell>
          <cell r="E312">
            <v>10.4</v>
          </cell>
        </row>
        <row r="313">
          <cell r="A313">
            <v>45116</v>
          </cell>
          <cell r="B313">
            <v>100</v>
          </cell>
          <cell r="C313">
            <v>52653.90000000596</v>
          </cell>
          <cell r="D313">
            <v>4.17</v>
          </cell>
          <cell r="E313">
            <v>10.1</v>
          </cell>
        </row>
        <row r="314">
          <cell r="A314">
            <v>45117</v>
          </cell>
          <cell r="B314">
            <v>101</v>
          </cell>
          <cell r="C314">
            <v>37697.39999999851</v>
          </cell>
          <cell r="D314">
            <v>3.12</v>
          </cell>
          <cell r="E314">
            <v>9.6</v>
          </cell>
        </row>
        <row r="315">
          <cell r="A315">
            <v>45118</v>
          </cell>
          <cell r="B315">
            <v>102</v>
          </cell>
          <cell r="C315">
            <v>30551.94999999553</v>
          </cell>
          <cell r="D315">
            <v>3.08</v>
          </cell>
          <cell r="E315">
            <v>10.199999999999999</v>
          </cell>
        </row>
        <row r="316">
          <cell r="A316">
            <v>45119</v>
          </cell>
          <cell r="B316">
            <v>103</v>
          </cell>
          <cell r="C316">
            <v>57200</v>
          </cell>
          <cell r="D316">
            <v>4.12</v>
          </cell>
          <cell r="E316">
            <v>10.6</v>
          </cell>
        </row>
        <row r="317">
          <cell r="A317">
            <v>45120</v>
          </cell>
          <cell r="B317">
            <v>104</v>
          </cell>
          <cell r="C317">
            <v>51348.70000000298</v>
          </cell>
          <cell r="D317">
            <v>4.87</v>
          </cell>
          <cell r="E317">
            <v>9.9</v>
          </cell>
        </row>
        <row r="318">
          <cell r="A318">
            <v>45121</v>
          </cell>
          <cell r="B318">
            <v>105</v>
          </cell>
          <cell r="C318">
            <v>48750</v>
          </cell>
          <cell r="D318">
            <v>4.6900000000000004</v>
          </cell>
          <cell r="E318">
            <v>10.199999999999999</v>
          </cell>
        </row>
        <row r="319">
          <cell r="A319">
            <v>45122</v>
          </cell>
          <cell r="B319">
            <v>106</v>
          </cell>
          <cell r="C319">
            <v>61750.64999999851</v>
          </cell>
          <cell r="D319">
            <v>6.08</v>
          </cell>
          <cell r="E319">
            <v>10.6</v>
          </cell>
        </row>
        <row r="320">
          <cell r="A320">
            <v>45123</v>
          </cell>
          <cell r="B320">
            <v>107</v>
          </cell>
          <cell r="C320">
            <v>40300</v>
          </cell>
          <cell r="D320">
            <v>4.01</v>
          </cell>
          <cell r="E320">
            <v>9.6</v>
          </cell>
        </row>
        <row r="321">
          <cell r="A321">
            <v>45124</v>
          </cell>
          <cell r="B321">
            <v>108</v>
          </cell>
          <cell r="C321">
            <v>54597.40000000596</v>
          </cell>
          <cell r="D321">
            <v>5.2</v>
          </cell>
          <cell r="E321">
            <v>10.1</v>
          </cell>
        </row>
        <row r="322">
          <cell r="A322">
            <v>45125</v>
          </cell>
          <cell r="B322">
            <v>109</v>
          </cell>
          <cell r="C322">
            <v>57200.64999999851</v>
          </cell>
          <cell r="D322">
            <v>5.63</v>
          </cell>
          <cell r="E322">
            <v>10.3</v>
          </cell>
        </row>
        <row r="323">
          <cell r="A323">
            <v>45126</v>
          </cell>
          <cell r="B323">
            <v>110</v>
          </cell>
          <cell r="C323">
            <v>37050.64999999851</v>
          </cell>
          <cell r="D323">
            <v>3.26</v>
          </cell>
          <cell r="E323">
            <v>9.9</v>
          </cell>
        </row>
        <row r="324">
          <cell r="A324">
            <v>45127</v>
          </cell>
          <cell r="B324">
            <v>111</v>
          </cell>
          <cell r="C324">
            <v>45500.64999999851</v>
          </cell>
          <cell r="D324">
            <v>4.22</v>
          </cell>
          <cell r="E324">
            <v>9.8000000000000007</v>
          </cell>
        </row>
        <row r="325">
          <cell r="A325">
            <v>45128</v>
          </cell>
          <cell r="B325">
            <v>112</v>
          </cell>
          <cell r="C325">
            <v>38351.30000000447</v>
          </cell>
          <cell r="D325">
            <v>3.34</v>
          </cell>
          <cell r="E325">
            <v>8.6</v>
          </cell>
        </row>
        <row r="326">
          <cell r="A326">
            <v>45129</v>
          </cell>
          <cell r="B326">
            <v>113</v>
          </cell>
          <cell r="C326">
            <v>28600.649999991059</v>
          </cell>
          <cell r="D326">
            <v>2.29</v>
          </cell>
          <cell r="E326">
            <v>6.9</v>
          </cell>
        </row>
        <row r="327">
          <cell r="A327">
            <v>45130</v>
          </cell>
          <cell r="B327">
            <v>114</v>
          </cell>
          <cell r="C327">
            <v>22748.05000000447</v>
          </cell>
          <cell r="D327">
            <v>1.78</v>
          </cell>
          <cell r="E327">
            <v>6.6</v>
          </cell>
        </row>
        <row r="328">
          <cell r="A328">
            <v>45131</v>
          </cell>
          <cell r="B328">
            <v>115</v>
          </cell>
          <cell r="C328">
            <v>27299.35000000149</v>
          </cell>
          <cell r="D328">
            <v>2.27</v>
          </cell>
          <cell r="E328">
            <v>5.6</v>
          </cell>
        </row>
        <row r="329">
          <cell r="A329">
            <v>45132</v>
          </cell>
          <cell r="B329">
            <v>116</v>
          </cell>
          <cell r="C329">
            <v>27949.35000000149</v>
          </cell>
          <cell r="D329">
            <v>2.2599999999999998</v>
          </cell>
          <cell r="E329">
            <v>5.8</v>
          </cell>
        </row>
        <row r="330">
          <cell r="A330">
            <v>45133</v>
          </cell>
          <cell r="B330">
            <v>117</v>
          </cell>
          <cell r="C330">
            <v>24049.35000000149</v>
          </cell>
          <cell r="D330">
            <v>1.86</v>
          </cell>
          <cell r="E330">
            <v>5.0999999999999996</v>
          </cell>
        </row>
        <row r="331">
          <cell r="A331">
            <v>45134</v>
          </cell>
          <cell r="B331">
            <v>118</v>
          </cell>
          <cell r="C331">
            <v>39653.25</v>
          </cell>
          <cell r="D331">
            <v>3.68</v>
          </cell>
          <cell r="E331">
            <v>8.6</v>
          </cell>
        </row>
        <row r="332">
          <cell r="A332">
            <v>45135</v>
          </cell>
          <cell r="B332">
            <v>119</v>
          </cell>
          <cell r="C332">
            <v>50698.04999999702</v>
          </cell>
          <cell r="D332">
            <v>4.7699999999999996</v>
          </cell>
          <cell r="E332">
            <v>9.3000000000000007</v>
          </cell>
        </row>
        <row r="333">
          <cell r="A333">
            <v>45136</v>
          </cell>
          <cell r="B333">
            <v>120</v>
          </cell>
          <cell r="C333">
            <v>45500.64999999851</v>
          </cell>
          <cell r="D333">
            <v>4.2</v>
          </cell>
          <cell r="E333">
            <v>8.9</v>
          </cell>
        </row>
        <row r="334">
          <cell r="A334">
            <v>45137</v>
          </cell>
          <cell r="B334">
            <v>121</v>
          </cell>
          <cell r="C334">
            <v>58501.30000000447</v>
          </cell>
          <cell r="D334">
            <v>5.78</v>
          </cell>
          <cell r="E334">
            <v>10.6</v>
          </cell>
        </row>
        <row r="335">
          <cell r="A335">
            <v>45138</v>
          </cell>
          <cell r="B335">
            <v>122</v>
          </cell>
          <cell r="C335">
            <v>54598.04999999702</v>
          </cell>
          <cell r="D335">
            <v>5.1100000000000003</v>
          </cell>
          <cell r="E335">
            <v>10.1</v>
          </cell>
        </row>
        <row r="336">
          <cell r="A336">
            <v>45139</v>
          </cell>
          <cell r="B336">
            <v>123</v>
          </cell>
          <cell r="C336">
            <v>45500.64999999851</v>
          </cell>
          <cell r="D336">
            <v>4.4000000000000004</v>
          </cell>
          <cell r="E336">
            <v>9.8000000000000007</v>
          </cell>
        </row>
        <row r="337">
          <cell r="A337">
            <v>45140</v>
          </cell>
          <cell r="B337">
            <v>124</v>
          </cell>
          <cell r="C337">
            <v>57200.64999999851</v>
          </cell>
          <cell r="D337">
            <v>5.43</v>
          </cell>
          <cell r="E337">
            <v>10.1</v>
          </cell>
        </row>
        <row r="338">
          <cell r="A338">
            <v>45141</v>
          </cell>
          <cell r="B338">
            <v>125</v>
          </cell>
          <cell r="C338">
            <v>52649.35000000149</v>
          </cell>
          <cell r="D338">
            <v>5.16</v>
          </cell>
          <cell r="E338">
            <v>10.199999999999999</v>
          </cell>
        </row>
        <row r="339">
          <cell r="A339">
            <v>45142</v>
          </cell>
          <cell r="B339">
            <v>126</v>
          </cell>
          <cell r="C339">
            <v>45501.29999999702</v>
          </cell>
          <cell r="D339">
            <v>4.21</v>
          </cell>
          <cell r="E339">
            <v>9.6</v>
          </cell>
        </row>
        <row r="340">
          <cell r="A340">
            <v>45143</v>
          </cell>
          <cell r="B340">
            <v>127</v>
          </cell>
          <cell r="C340">
            <v>56549.35000000149</v>
          </cell>
          <cell r="D340">
            <v>5.6</v>
          </cell>
          <cell r="E340">
            <v>10.199999999999999</v>
          </cell>
        </row>
        <row r="341">
          <cell r="A341">
            <v>45144</v>
          </cell>
          <cell r="B341">
            <v>128</v>
          </cell>
          <cell r="C341">
            <v>51348.70000000298</v>
          </cell>
          <cell r="D341">
            <v>5.0599999999999996</v>
          </cell>
          <cell r="E341">
            <v>9.9</v>
          </cell>
        </row>
        <row r="342">
          <cell r="A342">
            <v>45145</v>
          </cell>
          <cell r="B342">
            <v>129</v>
          </cell>
          <cell r="C342">
            <v>57200.64999999851</v>
          </cell>
          <cell r="D342">
            <v>5.55</v>
          </cell>
          <cell r="E342">
            <v>10.3</v>
          </cell>
        </row>
        <row r="343">
          <cell r="A343">
            <v>45146</v>
          </cell>
          <cell r="B343">
            <v>130</v>
          </cell>
          <cell r="C343">
            <v>48099.35000000149</v>
          </cell>
          <cell r="D343">
            <v>4.5199999999999996</v>
          </cell>
          <cell r="E343">
            <v>9.9</v>
          </cell>
        </row>
        <row r="344">
          <cell r="A344">
            <v>45147</v>
          </cell>
          <cell r="B344">
            <v>131</v>
          </cell>
          <cell r="C344">
            <v>52649.35000000149</v>
          </cell>
          <cell r="D344">
            <v>5.12</v>
          </cell>
          <cell r="E344">
            <v>10.1</v>
          </cell>
        </row>
        <row r="345">
          <cell r="A345">
            <v>45148</v>
          </cell>
          <cell r="B345">
            <v>132</v>
          </cell>
          <cell r="C345">
            <v>49400.64999999851</v>
          </cell>
          <cell r="D345">
            <v>4.76</v>
          </cell>
          <cell r="E345">
            <v>9.6</v>
          </cell>
        </row>
        <row r="346">
          <cell r="A346">
            <v>45149</v>
          </cell>
          <cell r="B346">
            <v>133</v>
          </cell>
          <cell r="C346">
            <v>43549.34999999404</v>
          </cell>
          <cell r="D346">
            <v>4.03</v>
          </cell>
          <cell r="E346">
            <v>9.9</v>
          </cell>
        </row>
        <row r="347">
          <cell r="A347">
            <v>45150</v>
          </cell>
          <cell r="B347">
            <v>134</v>
          </cell>
          <cell r="C347">
            <v>47452.60000000149</v>
          </cell>
          <cell r="D347">
            <v>4.47</v>
          </cell>
          <cell r="E347">
            <v>10.199999999999999</v>
          </cell>
        </row>
        <row r="348">
          <cell r="A348">
            <v>45151</v>
          </cell>
          <cell r="B348">
            <v>135</v>
          </cell>
          <cell r="C348">
            <v>52649.35000000149</v>
          </cell>
          <cell r="D348">
            <v>5.1100000000000003</v>
          </cell>
          <cell r="E348">
            <v>10.5</v>
          </cell>
        </row>
        <row r="349">
          <cell r="A349">
            <v>45152</v>
          </cell>
          <cell r="B349">
            <v>136</v>
          </cell>
          <cell r="C349">
            <v>55248.70000000298</v>
          </cell>
          <cell r="D349">
            <v>5.63</v>
          </cell>
          <cell r="E349">
            <v>10.1</v>
          </cell>
        </row>
        <row r="350">
          <cell r="A350">
            <v>45153</v>
          </cell>
          <cell r="B350">
            <v>137</v>
          </cell>
          <cell r="C350">
            <v>62401.29999999702</v>
          </cell>
          <cell r="D350">
            <v>6.55</v>
          </cell>
          <cell r="E350">
            <v>10.6</v>
          </cell>
        </row>
        <row r="351">
          <cell r="A351">
            <v>45154</v>
          </cell>
          <cell r="B351">
            <v>138</v>
          </cell>
          <cell r="C351">
            <v>57200.64999999851</v>
          </cell>
          <cell r="D351">
            <v>5.43</v>
          </cell>
          <cell r="E351">
            <v>10.199999999999999</v>
          </cell>
        </row>
        <row r="352">
          <cell r="A352">
            <v>45155</v>
          </cell>
          <cell r="B352">
            <v>139</v>
          </cell>
          <cell r="C352">
            <v>61100.000000007451</v>
          </cell>
          <cell r="D352">
            <v>6.26</v>
          </cell>
          <cell r="E352">
            <v>10.8</v>
          </cell>
        </row>
        <row r="353">
          <cell r="A353">
            <v>45156</v>
          </cell>
          <cell r="B353">
            <v>140</v>
          </cell>
          <cell r="C353">
            <v>50698.04999999702</v>
          </cell>
          <cell r="D353">
            <v>4.99</v>
          </cell>
          <cell r="E353">
            <v>10.3</v>
          </cell>
        </row>
        <row r="354">
          <cell r="A354">
            <v>45157</v>
          </cell>
          <cell r="B354">
            <v>141</v>
          </cell>
          <cell r="C354">
            <v>37700.64999999851</v>
          </cell>
          <cell r="D354">
            <v>3.6</v>
          </cell>
          <cell r="E354">
            <v>8.9</v>
          </cell>
        </row>
        <row r="355">
          <cell r="A355">
            <v>45158</v>
          </cell>
          <cell r="B355">
            <v>142</v>
          </cell>
          <cell r="C355">
            <v>58501.95000000298</v>
          </cell>
          <cell r="D355">
            <v>5.66</v>
          </cell>
          <cell r="E355">
            <v>10.5</v>
          </cell>
        </row>
        <row r="356">
          <cell r="A356">
            <v>45159</v>
          </cell>
          <cell r="B356">
            <v>143</v>
          </cell>
          <cell r="C356">
            <v>51348.69999999553</v>
          </cell>
          <cell r="D356">
            <v>6.03</v>
          </cell>
          <cell r="E356">
            <v>10.3</v>
          </cell>
        </row>
        <row r="357">
          <cell r="A357">
            <v>45160</v>
          </cell>
          <cell r="B357">
            <v>144</v>
          </cell>
          <cell r="C357">
            <v>55898.70000000298</v>
          </cell>
          <cell r="D357">
            <v>5.76</v>
          </cell>
          <cell r="E357">
            <v>10.6</v>
          </cell>
        </row>
        <row r="358">
          <cell r="A358">
            <v>45161</v>
          </cell>
          <cell r="B358">
            <v>145</v>
          </cell>
          <cell r="C358">
            <v>55252.60000000149</v>
          </cell>
          <cell r="D358">
            <v>5.82</v>
          </cell>
          <cell r="E358">
            <v>10.4</v>
          </cell>
        </row>
        <row r="359">
          <cell r="A359">
            <v>45162</v>
          </cell>
          <cell r="B359">
            <v>146</v>
          </cell>
          <cell r="C359">
            <v>55898.69999999553</v>
          </cell>
          <cell r="D359">
            <v>5.71</v>
          </cell>
          <cell r="E359">
            <v>10.3</v>
          </cell>
        </row>
        <row r="360">
          <cell r="A360">
            <v>45163</v>
          </cell>
          <cell r="B360">
            <v>147</v>
          </cell>
          <cell r="C360">
            <v>60450</v>
          </cell>
          <cell r="D360">
            <v>6.06</v>
          </cell>
          <cell r="E360">
            <v>10</v>
          </cell>
        </row>
        <row r="361">
          <cell r="A361">
            <v>45164</v>
          </cell>
          <cell r="B361">
            <v>148</v>
          </cell>
          <cell r="C361">
            <v>45500.65000000596</v>
          </cell>
          <cell r="D361">
            <v>4.34</v>
          </cell>
          <cell r="E361">
            <v>9.9</v>
          </cell>
        </row>
        <row r="362">
          <cell r="A362">
            <v>45165</v>
          </cell>
          <cell r="B362">
            <v>149</v>
          </cell>
          <cell r="C362">
            <v>46147.399999991059</v>
          </cell>
          <cell r="D362">
            <v>4.3899999999999997</v>
          </cell>
          <cell r="E362">
            <v>10.199999999999999</v>
          </cell>
        </row>
        <row r="363">
          <cell r="A363">
            <v>45166</v>
          </cell>
          <cell r="B363">
            <v>150</v>
          </cell>
          <cell r="C363">
            <v>58501.30000000447</v>
          </cell>
          <cell r="D363">
            <v>5.78</v>
          </cell>
          <cell r="E363">
            <v>10.8</v>
          </cell>
        </row>
        <row r="364">
          <cell r="A364">
            <v>45167</v>
          </cell>
          <cell r="B364">
            <v>151</v>
          </cell>
          <cell r="C364">
            <v>53300.64999999851</v>
          </cell>
          <cell r="D364">
            <v>5.32</v>
          </cell>
          <cell r="E364">
            <v>10.6</v>
          </cell>
        </row>
        <row r="365">
          <cell r="A365">
            <v>45168</v>
          </cell>
          <cell r="B365">
            <v>152</v>
          </cell>
          <cell r="C365">
            <v>56550</v>
          </cell>
          <cell r="D365">
            <v>5.95</v>
          </cell>
          <cell r="E365">
            <v>10.4</v>
          </cell>
        </row>
        <row r="366">
          <cell r="A366">
            <v>45169</v>
          </cell>
          <cell r="B366">
            <v>153</v>
          </cell>
          <cell r="C366">
            <v>22097.40000000596</v>
          </cell>
          <cell r="D366">
            <v>1.82</v>
          </cell>
          <cell r="E366">
            <v>8.9</v>
          </cell>
        </row>
        <row r="367">
          <cell r="A367">
            <v>45170</v>
          </cell>
          <cell r="B367">
            <v>154</v>
          </cell>
          <cell r="C367">
            <v>37050.649999991059</v>
          </cell>
          <cell r="D367">
            <v>3.6</v>
          </cell>
          <cell r="E367">
            <v>10.3</v>
          </cell>
        </row>
        <row r="368">
          <cell r="A368">
            <v>45171</v>
          </cell>
          <cell r="B368">
            <v>155</v>
          </cell>
          <cell r="C368">
            <v>29901.30000000447</v>
          </cell>
          <cell r="D368">
            <v>2.84</v>
          </cell>
          <cell r="E368">
            <v>9.9</v>
          </cell>
        </row>
        <row r="369">
          <cell r="A369">
            <v>45172</v>
          </cell>
          <cell r="B369">
            <v>156</v>
          </cell>
          <cell r="C369">
            <v>53300.64999999851</v>
          </cell>
          <cell r="D369">
            <v>5.0599999999999996</v>
          </cell>
          <cell r="E369">
            <v>10.1</v>
          </cell>
        </row>
        <row r="370">
          <cell r="A370">
            <v>45173</v>
          </cell>
          <cell r="B370">
            <v>157</v>
          </cell>
          <cell r="C370">
            <v>23399.35000000149</v>
          </cell>
          <cell r="D370">
            <v>1.91</v>
          </cell>
          <cell r="E370">
            <v>9.6</v>
          </cell>
        </row>
        <row r="371">
          <cell r="A371">
            <v>45174</v>
          </cell>
          <cell r="B371">
            <v>158</v>
          </cell>
          <cell r="C371">
            <v>37700.64999999851</v>
          </cell>
          <cell r="D371">
            <v>3.23</v>
          </cell>
          <cell r="E371">
            <v>10.3</v>
          </cell>
        </row>
        <row r="372">
          <cell r="A372">
            <v>45175</v>
          </cell>
          <cell r="B372">
            <v>159</v>
          </cell>
          <cell r="C372">
            <v>51348.70000000298</v>
          </cell>
          <cell r="D372">
            <v>5.05</v>
          </cell>
          <cell r="E372">
            <v>10.1</v>
          </cell>
        </row>
        <row r="373">
          <cell r="A373">
            <v>45176</v>
          </cell>
          <cell r="B373">
            <v>160</v>
          </cell>
          <cell r="C373">
            <v>55252.59999999404</v>
          </cell>
          <cell r="D373">
            <v>5.33</v>
          </cell>
          <cell r="E373">
            <v>10.5</v>
          </cell>
        </row>
        <row r="374">
          <cell r="A374">
            <v>45177</v>
          </cell>
          <cell r="B374">
            <v>161</v>
          </cell>
          <cell r="C374">
            <v>46798.05000000447</v>
          </cell>
          <cell r="D374">
            <v>4.51</v>
          </cell>
          <cell r="E374">
            <v>9.1999999999999993</v>
          </cell>
        </row>
        <row r="375">
          <cell r="A375">
            <v>45178</v>
          </cell>
          <cell r="B375">
            <v>162</v>
          </cell>
          <cell r="C375">
            <v>60449.35000000149</v>
          </cell>
          <cell r="D375">
            <v>6.1</v>
          </cell>
          <cell r="E375">
            <v>10.1</v>
          </cell>
        </row>
        <row r="376">
          <cell r="A376">
            <v>45179</v>
          </cell>
          <cell r="B376">
            <v>163</v>
          </cell>
          <cell r="C376">
            <v>43548.70000000298</v>
          </cell>
          <cell r="D376">
            <v>4.04</v>
          </cell>
          <cell r="E376">
            <v>9.9</v>
          </cell>
        </row>
        <row r="377">
          <cell r="A377">
            <v>45180</v>
          </cell>
          <cell r="B377">
            <v>164</v>
          </cell>
          <cell r="C377">
            <v>48103.25</v>
          </cell>
          <cell r="D377">
            <v>4.54</v>
          </cell>
          <cell r="E377">
            <v>10.3</v>
          </cell>
        </row>
        <row r="378">
          <cell r="A378">
            <v>45181</v>
          </cell>
          <cell r="B378">
            <v>165</v>
          </cell>
          <cell r="C378">
            <v>54598.04999999702</v>
          </cell>
          <cell r="D378">
            <v>5.25</v>
          </cell>
          <cell r="E378">
            <v>10.5</v>
          </cell>
        </row>
        <row r="379">
          <cell r="A379">
            <v>45182</v>
          </cell>
          <cell r="B379">
            <v>166</v>
          </cell>
          <cell r="C379">
            <v>57200.64999999851</v>
          </cell>
          <cell r="D379">
            <v>5.64</v>
          </cell>
          <cell r="E379">
            <v>9.9</v>
          </cell>
        </row>
        <row r="380">
          <cell r="A380">
            <v>45183</v>
          </cell>
          <cell r="B380">
            <v>167</v>
          </cell>
          <cell r="C380">
            <v>49400</v>
          </cell>
          <cell r="D380">
            <v>4.6900000000000004</v>
          </cell>
          <cell r="E380">
            <v>10</v>
          </cell>
        </row>
        <row r="381">
          <cell r="A381">
            <v>45184</v>
          </cell>
          <cell r="B381">
            <v>168</v>
          </cell>
          <cell r="C381">
            <v>55899.35000000149</v>
          </cell>
          <cell r="D381">
            <v>5.49</v>
          </cell>
          <cell r="E381">
            <v>10.199999999999999</v>
          </cell>
        </row>
        <row r="382">
          <cell r="A382">
            <v>45185</v>
          </cell>
          <cell r="B382">
            <v>169</v>
          </cell>
          <cell r="C382">
            <v>36400</v>
          </cell>
          <cell r="D382">
            <v>3.37</v>
          </cell>
          <cell r="E382">
            <v>10.6</v>
          </cell>
        </row>
        <row r="383">
          <cell r="A383">
            <v>45186</v>
          </cell>
          <cell r="B383">
            <v>170</v>
          </cell>
          <cell r="C383">
            <v>48099.35000000149</v>
          </cell>
          <cell r="D383">
            <v>4.45</v>
          </cell>
          <cell r="E383">
            <v>9.1</v>
          </cell>
        </row>
        <row r="384">
          <cell r="A384">
            <v>45187</v>
          </cell>
          <cell r="B384">
            <v>171</v>
          </cell>
          <cell r="C384">
            <v>57850.64999999851</v>
          </cell>
          <cell r="D384">
            <v>5.52</v>
          </cell>
          <cell r="E384">
            <v>10.5</v>
          </cell>
        </row>
        <row r="385">
          <cell r="A385">
            <v>45188</v>
          </cell>
          <cell r="B385">
            <v>172</v>
          </cell>
          <cell r="C385">
            <v>61750.64999999851</v>
          </cell>
          <cell r="D385">
            <v>6.04</v>
          </cell>
          <cell r="E385">
            <v>10.4</v>
          </cell>
        </row>
        <row r="386">
          <cell r="A386">
            <v>45189</v>
          </cell>
          <cell r="B386">
            <v>173</v>
          </cell>
          <cell r="C386">
            <v>54598.04999999702</v>
          </cell>
          <cell r="D386">
            <v>5.31</v>
          </cell>
          <cell r="E386">
            <v>10.5</v>
          </cell>
        </row>
        <row r="387">
          <cell r="A387">
            <v>45190</v>
          </cell>
          <cell r="B387">
            <v>174</v>
          </cell>
          <cell r="C387">
            <v>39002.60000000149</v>
          </cell>
          <cell r="D387">
            <v>3.5</v>
          </cell>
          <cell r="E387">
            <v>9.9</v>
          </cell>
        </row>
        <row r="388">
          <cell r="A388">
            <v>45191</v>
          </cell>
          <cell r="B388">
            <v>175</v>
          </cell>
          <cell r="C388">
            <v>50051.29999999702</v>
          </cell>
          <cell r="D388">
            <v>4.97</v>
          </cell>
          <cell r="E388">
            <v>10.4</v>
          </cell>
        </row>
        <row r="389">
          <cell r="A389">
            <v>45192</v>
          </cell>
          <cell r="B389">
            <v>176</v>
          </cell>
          <cell r="C389">
            <v>55898.70000000298</v>
          </cell>
          <cell r="D389">
            <v>5.54</v>
          </cell>
          <cell r="E389">
            <v>10.5</v>
          </cell>
        </row>
        <row r="390">
          <cell r="A390">
            <v>45193</v>
          </cell>
          <cell r="B390">
            <v>177</v>
          </cell>
          <cell r="C390">
            <v>48750</v>
          </cell>
          <cell r="D390">
            <v>4.91</v>
          </cell>
          <cell r="E390">
            <v>10.4</v>
          </cell>
        </row>
        <row r="391">
          <cell r="A391">
            <v>45194</v>
          </cell>
          <cell r="B391">
            <v>178</v>
          </cell>
          <cell r="C391">
            <v>46147.40000000596</v>
          </cell>
          <cell r="D391">
            <v>4.63</v>
          </cell>
          <cell r="E391">
            <v>10.7</v>
          </cell>
        </row>
        <row r="392">
          <cell r="A392">
            <v>45195</v>
          </cell>
          <cell r="B392">
            <v>179</v>
          </cell>
          <cell r="C392">
            <v>56553.89999999851</v>
          </cell>
          <cell r="D392">
            <v>5.87</v>
          </cell>
          <cell r="E392">
            <v>10.199999999999999</v>
          </cell>
        </row>
        <row r="393">
          <cell r="A393">
            <v>45196</v>
          </cell>
          <cell r="B393">
            <v>180</v>
          </cell>
          <cell r="C393">
            <v>55898.69999999553</v>
          </cell>
          <cell r="D393">
            <v>5.37</v>
          </cell>
          <cell r="E393">
            <v>10.8</v>
          </cell>
        </row>
        <row r="394">
          <cell r="A394">
            <v>45197</v>
          </cell>
          <cell r="B394">
            <v>181</v>
          </cell>
          <cell r="C394">
            <v>46798.70000000298</v>
          </cell>
          <cell r="D394">
            <v>4.58</v>
          </cell>
          <cell r="E394">
            <v>10.6</v>
          </cell>
        </row>
        <row r="395">
          <cell r="A395">
            <v>45198</v>
          </cell>
          <cell r="B395">
            <v>182</v>
          </cell>
          <cell r="C395">
            <v>47452.59999999404</v>
          </cell>
          <cell r="D395">
            <v>4.7</v>
          </cell>
          <cell r="E395">
            <v>10.7</v>
          </cell>
        </row>
        <row r="396">
          <cell r="A396">
            <v>45199</v>
          </cell>
          <cell r="B396">
            <v>183</v>
          </cell>
          <cell r="C396">
            <v>41596.75</v>
          </cell>
          <cell r="D396">
            <v>3.91</v>
          </cell>
          <cell r="E396">
            <v>10.9</v>
          </cell>
        </row>
        <row r="397">
          <cell r="A397">
            <v>45200</v>
          </cell>
          <cell r="B397">
            <v>184</v>
          </cell>
          <cell r="C397">
            <v>46801.95000000298</v>
          </cell>
          <cell r="D397">
            <v>4.72</v>
          </cell>
          <cell r="E397">
            <v>10.7</v>
          </cell>
        </row>
        <row r="398">
          <cell r="A398">
            <v>45201</v>
          </cell>
          <cell r="B398">
            <v>185</v>
          </cell>
          <cell r="C398">
            <v>62397.40000000596</v>
          </cell>
          <cell r="D398">
            <v>6.47</v>
          </cell>
          <cell r="E398">
            <v>10.6</v>
          </cell>
        </row>
        <row r="399">
          <cell r="A399">
            <v>45202</v>
          </cell>
          <cell r="B399">
            <v>186</v>
          </cell>
          <cell r="C399">
            <v>61751.29999999702</v>
          </cell>
          <cell r="D399">
            <v>6.29</v>
          </cell>
          <cell r="E399">
            <v>10.8</v>
          </cell>
        </row>
        <row r="400">
          <cell r="A400">
            <v>45203</v>
          </cell>
          <cell r="B400">
            <v>187</v>
          </cell>
          <cell r="C400">
            <v>47452.59999999404</v>
          </cell>
          <cell r="D400">
            <v>4.72</v>
          </cell>
          <cell r="E400">
            <v>10.199999999999999</v>
          </cell>
        </row>
        <row r="401">
          <cell r="A401">
            <v>45204</v>
          </cell>
          <cell r="B401">
            <v>188</v>
          </cell>
          <cell r="C401">
            <v>47448.70000000298</v>
          </cell>
          <cell r="D401">
            <v>5.1100000000000003</v>
          </cell>
          <cell r="E401">
            <v>10.5</v>
          </cell>
        </row>
        <row r="402">
          <cell r="A402">
            <v>45205</v>
          </cell>
          <cell r="B402">
            <v>189</v>
          </cell>
          <cell r="C402">
            <v>40950</v>
          </cell>
          <cell r="D402">
            <v>3.89</v>
          </cell>
          <cell r="E402">
            <v>10.3</v>
          </cell>
        </row>
        <row r="403">
          <cell r="A403">
            <v>45206</v>
          </cell>
          <cell r="B403">
            <v>190</v>
          </cell>
          <cell r="C403">
            <v>48099.35000000149</v>
          </cell>
          <cell r="D403">
            <v>4.78</v>
          </cell>
          <cell r="E403">
            <v>10.1</v>
          </cell>
        </row>
        <row r="404">
          <cell r="A404">
            <v>45207</v>
          </cell>
          <cell r="B404">
            <v>191</v>
          </cell>
          <cell r="C404">
            <v>650.64999999850988</v>
          </cell>
          <cell r="D404">
            <v>6.47</v>
          </cell>
          <cell r="E404">
            <v>4.5</v>
          </cell>
        </row>
        <row r="405">
          <cell r="A405">
            <v>45208</v>
          </cell>
          <cell r="B405">
            <v>192</v>
          </cell>
          <cell r="C405">
            <v>45500.65000000596</v>
          </cell>
          <cell r="D405">
            <v>4.6399999999999997</v>
          </cell>
          <cell r="E405">
            <v>10</v>
          </cell>
        </row>
        <row r="406">
          <cell r="A406">
            <v>45209</v>
          </cell>
          <cell r="B406">
            <v>193</v>
          </cell>
          <cell r="C406">
            <v>40300</v>
          </cell>
          <cell r="D406">
            <v>3.94</v>
          </cell>
          <cell r="E406">
            <v>10.199999999999999</v>
          </cell>
        </row>
        <row r="407">
          <cell r="A407">
            <v>45210</v>
          </cell>
          <cell r="B407">
            <v>194</v>
          </cell>
          <cell r="C407">
            <v>40299.34999999404</v>
          </cell>
          <cell r="D407">
            <v>3.98</v>
          </cell>
          <cell r="E407">
            <v>9.9</v>
          </cell>
        </row>
        <row r="408">
          <cell r="A408">
            <v>45211</v>
          </cell>
          <cell r="B408">
            <v>195</v>
          </cell>
          <cell r="C408">
            <v>52650</v>
          </cell>
          <cell r="D408">
            <v>5.37</v>
          </cell>
          <cell r="E408">
            <v>10.3</v>
          </cell>
        </row>
        <row r="409">
          <cell r="A409">
            <v>45212</v>
          </cell>
          <cell r="B409">
            <v>196</v>
          </cell>
          <cell r="C409">
            <v>68900</v>
          </cell>
          <cell r="D409">
            <v>6.8</v>
          </cell>
          <cell r="E409">
            <v>10.4</v>
          </cell>
        </row>
        <row r="410">
          <cell r="A410">
            <v>45213</v>
          </cell>
          <cell r="B410">
            <v>197</v>
          </cell>
          <cell r="C410">
            <v>55248.70000000298</v>
          </cell>
          <cell r="D410">
            <v>5.78</v>
          </cell>
          <cell r="E410">
            <v>10.5</v>
          </cell>
        </row>
        <row r="411">
          <cell r="A411">
            <v>45214</v>
          </cell>
          <cell r="B411">
            <v>198</v>
          </cell>
          <cell r="C411">
            <v>64349.34999999404</v>
          </cell>
          <cell r="D411">
            <v>6.56</v>
          </cell>
          <cell r="E411">
            <v>9.9</v>
          </cell>
        </row>
        <row r="412">
          <cell r="A412">
            <v>45215</v>
          </cell>
          <cell r="B412">
            <v>199</v>
          </cell>
          <cell r="C412">
            <v>47452.60000000149</v>
          </cell>
          <cell r="D412">
            <v>4.82</v>
          </cell>
          <cell r="E412">
            <v>10.1</v>
          </cell>
        </row>
        <row r="413">
          <cell r="A413">
            <v>45216</v>
          </cell>
          <cell r="B413">
            <v>200</v>
          </cell>
          <cell r="C413">
            <v>55898.70000000298</v>
          </cell>
          <cell r="D413">
            <v>5.52</v>
          </cell>
          <cell r="E413">
            <v>9.9</v>
          </cell>
        </row>
        <row r="414">
          <cell r="A414">
            <v>45217</v>
          </cell>
          <cell r="B414">
            <v>201</v>
          </cell>
          <cell r="C414">
            <v>60450</v>
          </cell>
          <cell r="D414">
            <v>6.01</v>
          </cell>
          <cell r="E414">
            <v>10.199999999999999</v>
          </cell>
        </row>
        <row r="415">
          <cell r="A415">
            <v>45218</v>
          </cell>
          <cell r="B415">
            <v>202</v>
          </cell>
          <cell r="C415">
            <v>58501.30000000447</v>
          </cell>
          <cell r="D415">
            <v>5.74</v>
          </cell>
          <cell r="E415">
            <v>10.1</v>
          </cell>
        </row>
        <row r="416">
          <cell r="A416">
            <v>45219</v>
          </cell>
          <cell r="B416">
            <v>203</v>
          </cell>
          <cell r="C416">
            <v>59148.04999999702</v>
          </cell>
          <cell r="D416">
            <v>5.82</v>
          </cell>
          <cell r="E416">
            <v>10</v>
          </cell>
        </row>
        <row r="417">
          <cell r="A417">
            <v>45220</v>
          </cell>
          <cell r="B417">
            <v>204</v>
          </cell>
          <cell r="C417">
            <v>54601.95000000298</v>
          </cell>
          <cell r="D417">
            <v>5.4</v>
          </cell>
          <cell r="E417">
            <v>10.5</v>
          </cell>
        </row>
        <row r="418">
          <cell r="A418">
            <v>45221</v>
          </cell>
          <cell r="B418">
            <v>205</v>
          </cell>
          <cell r="C418">
            <v>60449.34999999404</v>
          </cell>
          <cell r="D418">
            <v>6.02</v>
          </cell>
          <cell r="E418">
            <v>10.4</v>
          </cell>
        </row>
        <row r="419">
          <cell r="A419">
            <v>45222</v>
          </cell>
          <cell r="B419">
            <v>206</v>
          </cell>
          <cell r="C419">
            <v>65650.64999999851</v>
          </cell>
          <cell r="D419">
            <v>6.48</v>
          </cell>
          <cell r="E419">
            <v>10.1</v>
          </cell>
        </row>
        <row r="420">
          <cell r="A420">
            <v>45223</v>
          </cell>
          <cell r="B420">
            <v>207</v>
          </cell>
          <cell r="C420">
            <v>66948.05000000447</v>
          </cell>
          <cell r="D420">
            <v>6.66</v>
          </cell>
          <cell r="E420">
            <v>10.5</v>
          </cell>
        </row>
        <row r="421">
          <cell r="A421">
            <v>45224</v>
          </cell>
          <cell r="B421">
            <v>208</v>
          </cell>
          <cell r="C421">
            <v>65650.64999999851</v>
          </cell>
          <cell r="D421">
            <v>6.64</v>
          </cell>
          <cell r="E421">
            <v>10.5</v>
          </cell>
        </row>
        <row r="422">
          <cell r="A422">
            <v>45225</v>
          </cell>
          <cell r="B422">
            <v>209</v>
          </cell>
          <cell r="C422">
            <v>58501.30000000447</v>
          </cell>
          <cell r="D422">
            <v>5.79</v>
          </cell>
          <cell r="E422">
            <v>9.9</v>
          </cell>
        </row>
        <row r="423">
          <cell r="A423">
            <v>45226</v>
          </cell>
          <cell r="B423">
            <v>210</v>
          </cell>
          <cell r="C423">
            <v>60449.999999992549</v>
          </cell>
          <cell r="D423">
            <v>5.93</v>
          </cell>
          <cell r="E423">
            <v>10.4</v>
          </cell>
        </row>
        <row r="424">
          <cell r="A424">
            <v>45227</v>
          </cell>
          <cell r="B424">
            <v>211</v>
          </cell>
          <cell r="C424">
            <v>46798.05000000447</v>
          </cell>
          <cell r="D424">
            <v>4.7</v>
          </cell>
          <cell r="E424">
            <v>10.5</v>
          </cell>
        </row>
        <row r="425">
          <cell r="A425">
            <v>45228</v>
          </cell>
          <cell r="B425">
            <v>212</v>
          </cell>
          <cell r="C425">
            <v>53300.64999999851</v>
          </cell>
          <cell r="D425">
            <v>5.27</v>
          </cell>
          <cell r="E425">
            <v>10.5</v>
          </cell>
        </row>
        <row r="426">
          <cell r="A426">
            <v>45229</v>
          </cell>
          <cell r="B426">
            <v>213</v>
          </cell>
          <cell r="C426">
            <v>42901.95000000298</v>
          </cell>
          <cell r="D426">
            <v>4.26</v>
          </cell>
          <cell r="E426">
            <v>10</v>
          </cell>
        </row>
        <row r="427">
          <cell r="A427">
            <v>45230</v>
          </cell>
          <cell r="B427">
            <v>214</v>
          </cell>
          <cell r="C427">
            <v>40946.10000000149</v>
          </cell>
          <cell r="D427">
            <v>3.89</v>
          </cell>
          <cell r="E427">
            <v>8.1</v>
          </cell>
        </row>
        <row r="428">
          <cell r="A428">
            <v>45231</v>
          </cell>
          <cell r="B428">
            <v>215</v>
          </cell>
          <cell r="C428">
            <v>46151.94999999553</v>
          </cell>
          <cell r="D428">
            <v>4.4400000000000004</v>
          </cell>
          <cell r="E428">
            <v>10.3</v>
          </cell>
        </row>
        <row r="429">
          <cell r="A429">
            <v>45232</v>
          </cell>
          <cell r="B429">
            <v>216</v>
          </cell>
          <cell r="C429">
            <v>38351.29999999702</v>
          </cell>
          <cell r="D429">
            <v>3.71</v>
          </cell>
          <cell r="E429">
            <v>9.9</v>
          </cell>
        </row>
        <row r="430">
          <cell r="A430">
            <v>45233</v>
          </cell>
          <cell r="B430">
            <v>217</v>
          </cell>
          <cell r="C430">
            <v>44199.35000000149</v>
          </cell>
          <cell r="D430">
            <v>4.13</v>
          </cell>
          <cell r="E430">
            <v>10.4</v>
          </cell>
        </row>
        <row r="431">
          <cell r="A431">
            <v>45234</v>
          </cell>
          <cell r="B431">
            <v>218</v>
          </cell>
          <cell r="C431">
            <v>35098.70000000298</v>
          </cell>
          <cell r="D431">
            <v>3.34</v>
          </cell>
          <cell r="E431">
            <v>10.1</v>
          </cell>
        </row>
        <row r="432">
          <cell r="A432">
            <v>45235</v>
          </cell>
          <cell r="B432">
            <v>219</v>
          </cell>
          <cell r="C432">
            <v>40300</v>
          </cell>
          <cell r="D432">
            <v>3.89</v>
          </cell>
          <cell r="E432">
            <v>10.199999999999999</v>
          </cell>
        </row>
        <row r="433">
          <cell r="A433">
            <v>45236</v>
          </cell>
          <cell r="B433">
            <v>220</v>
          </cell>
          <cell r="C433">
            <v>39001.95000000298</v>
          </cell>
          <cell r="D433">
            <v>3.54</v>
          </cell>
          <cell r="E433">
            <v>9.6</v>
          </cell>
        </row>
        <row r="434">
          <cell r="A434">
            <v>45237</v>
          </cell>
          <cell r="B434">
            <v>221</v>
          </cell>
          <cell r="C434">
            <v>30548.69999999553</v>
          </cell>
          <cell r="D434">
            <v>2.96</v>
          </cell>
          <cell r="E434">
            <v>10</v>
          </cell>
        </row>
        <row r="435">
          <cell r="A435">
            <v>45238</v>
          </cell>
          <cell r="B435">
            <v>222</v>
          </cell>
          <cell r="C435">
            <v>42251.30000000447</v>
          </cell>
          <cell r="D435">
            <v>4.3899999999999997</v>
          </cell>
          <cell r="E435">
            <v>10.1</v>
          </cell>
        </row>
        <row r="436">
          <cell r="A436">
            <v>45239</v>
          </cell>
          <cell r="B436">
            <v>223</v>
          </cell>
          <cell r="C436">
            <v>27298.69999999553</v>
          </cell>
          <cell r="D436">
            <v>2.46</v>
          </cell>
          <cell r="E436">
            <v>9.9</v>
          </cell>
        </row>
        <row r="437">
          <cell r="A437">
            <v>45240</v>
          </cell>
          <cell r="B437">
            <v>224</v>
          </cell>
          <cell r="C437">
            <v>50698.04999999702</v>
          </cell>
          <cell r="D437">
            <v>4.91</v>
          </cell>
          <cell r="E437">
            <v>9.8000000000000007</v>
          </cell>
        </row>
        <row r="438">
          <cell r="A438">
            <v>45241</v>
          </cell>
          <cell r="B438">
            <v>225</v>
          </cell>
          <cell r="C438">
            <v>65650.64999999851</v>
          </cell>
          <cell r="D438">
            <v>6.21</v>
          </cell>
          <cell r="E438">
            <v>9.9</v>
          </cell>
        </row>
        <row r="439">
          <cell r="A439">
            <v>45242</v>
          </cell>
          <cell r="B439">
            <v>226</v>
          </cell>
          <cell r="C439">
            <v>57200.65000000596</v>
          </cell>
          <cell r="D439">
            <v>5.45</v>
          </cell>
          <cell r="E439">
            <v>9.6999999999999993</v>
          </cell>
        </row>
        <row r="440">
          <cell r="A440">
            <v>45243</v>
          </cell>
          <cell r="B440">
            <v>227</v>
          </cell>
          <cell r="C440">
            <v>56549.34999999404</v>
          </cell>
          <cell r="D440">
            <v>5.29</v>
          </cell>
          <cell r="E440">
            <v>10</v>
          </cell>
        </row>
        <row r="441">
          <cell r="A441">
            <v>45244</v>
          </cell>
          <cell r="B441">
            <v>228</v>
          </cell>
          <cell r="C441">
            <v>16900.65000000596</v>
          </cell>
          <cell r="D441">
            <v>1.4</v>
          </cell>
          <cell r="E441">
            <v>3.9</v>
          </cell>
        </row>
        <row r="442">
          <cell r="A442">
            <v>45245</v>
          </cell>
          <cell r="B442">
            <v>229</v>
          </cell>
          <cell r="C442">
            <v>45500.64999999851</v>
          </cell>
          <cell r="D442">
            <v>4.33</v>
          </cell>
          <cell r="E442">
            <v>10.5</v>
          </cell>
        </row>
        <row r="443">
          <cell r="A443">
            <v>45246</v>
          </cell>
          <cell r="B443">
            <v>230</v>
          </cell>
          <cell r="C443">
            <v>59799.35000000149</v>
          </cell>
          <cell r="D443">
            <v>5.72</v>
          </cell>
          <cell r="E443">
            <v>9.9</v>
          </cell>
        </row>
        <row r="444">
          <cell r="A444">
            <v>45247</v>
          </cell>
          <cell r="B444">
            <v>231</v>
          </cell>
          <cell r="C444">
            <v>55251.94999999553</v>
          </cell>
          <cell r="D444">
            <v>5.18</v>
          </cell>
          <cell r="E444">
            <v>10</v>
          </cell>
        </row>
        <row r="445">
          <cell r="A445">
            <v>45248</v>
          </cell>
          <cell r="B445">
            <v>232</v>
          </cell>
          <cell r="C445">
            <v>60449.35000000149</v>
          </cell>
          <cell r="D445">
            <v>5.84</v>
          </cell>
          <cell r="E445">
            <v>10</v>
          </cell>
        </row>
        <row r="446">
          <cell r="A446">
            <v>45249</v>
          </cell>
          <cell r="B446">
            <v>233</v>
          </cell>
          <cell r="C446">
            <v>64349.35000000149</v>
          </cell>
          <cell r="D446">
            <v>5.98</v>
          </cell>
          <cell r="E446">
            <v>9.8000000000000007</v>
          </cell>
        </row>
        <row r="447">
          <cell r="A447">
            <v>45250</v>
          </cell>
          <cell r="B447">
            <v>234</v>
          </cell>
          <cell r="C447">
            <v>38348.04999999702</v>
          </cell>
          <cell r="D447">
            <v>3.35</v>
          </cell>
          <cell r="E447">
            <v>9.6</v>
          </cell>
        </row>
        <row r="448">
          <cell r="A448">
            <v>45251</v>
          </cell>
          <cell r="B448">
            <v>235</v>
          </cell>
          <cell r="C448">
            <v>21451.30000000447</v>
          </cell>
          <cell r="D448">
            <v>1.82</v>
          </cell>
          <cell r="E448">
            <v>9.1</v>
          </cell>
        </row>
        <row r="449">
          <cell r="A449">
            <v>45252</v>
          </cell>
          <cell r="B449">
            <v>236</v>
          </cell>
          <cell r="C449">
            <v>35749.34999999404</v>
          </cell>
          <cell r="D449">
            <v>3.35</v>
          </cell>
          <cell r="E449">
            <v>10</v>
          </cell>
        </row>
        <row r="450">
          <cell r="A450">
            <v>45253</v>
          </cell>
          <cell r="B450">
            <v>237</v>
          </cell>
          <cell r="C450">
            <v>24700</v>
          </cell>
          <cell r="D450">
            <v>2.29</v>
          </cell>
          <cell r="E450">
            <v>10.6</v>
          </cell>
        </row>
        <row r="451">
          <cell r="A451">
            <v>45254</v>
          </cell>
          <cell r="B451">
            <v>238</v>
          </cell>
          <cell r="C451">
            <v>31849.35000000149</v>
          </cell>
          <cell r="D451">
            <v>5.44</v>
          </cell>
          <cell r="E451">
            <v>9.9</v>
          </cell>
        </row>
        <row r="452">
          <cell r="A452">
            <v>45255</v>
          </cell>
          <cell r="B452">
            <v>239</v>
          </cell>
          <cell r="C452">
            <v>17551.30000000447</v>
          </cell>
          <cell r="D452">
            <v>1.49</v>
          </cell>
          <cell r="E452">
            <v>9</v>
          </cell>
        </row>
        <row r="453">
          <cell r="A453">
            <v>45256</v>
          </cell>
          <cell r="B453">
            <v>240</v>
          </cell>
          <cell r="C453">
            <v>47448.69999999553</v>
          </cell>
          <cell r="D453">
            <v>4.41</v>
          </cell>
          <cell r="E453">
            <v>10</v>
          </cell>
        </row>
        <row r="454">
          <cell r="A454">
            <v>45257</v>
          </cell>
          <cell r="B454">
            <v>241</v>
          </cell>
          <cell r="C454">
            <v>31202.60000000149</v>
          </cell>
          <cell r="D454">
            <v>3</v>
          </cell>
          <cell r="E454">
            <v>10.5</v>
          </cell>
        </row>
        <row r="455">
          <cell r="A455">
            <v>45258</v>
          </cell>
          <cell r="B455">
            <v>242</v>
          </cell>
          <cell r="C455">
            <v>29250.65000000596</v>
          </cell>
          <cell r="D455">
            <v>2.76</v>
          </cell>
          <cell r="E455">
            <v>8.9</v>
          </cell>
        </row>
        <row r="456">
          <cell r="A456">
            <v>45259</v>
          </cell>
          <cell r="B456">
            <v>243</v>
          </cell>
          <cell r="C456">
            <v>32500</v>
          </cell>
          <cell r="D456">
            <v>3</v>
          </cell>
          <cell r="E456">
            <v>9.9</v>
          </cell>
        </row>
        <row r="457">
          <cell r="A457">
            <v>45260</v>
          </cell>
          <cell r="B457">
            <v>244</v>
          </cell>
          <cell r="C457">
            <v>34448.04999999702</v>
          </cell>
          <cell r="D457">
            <v>3.11</v>
          </cell>
          <cell r="E457">
            <v>10</v>
          </cell>
        </row>
        <row r="458">
          <cell r="A458">
            <v>45261</v>
          </cell>
          <cell r="B458">
            <v>245</v>
          </cell>
          <cell r="C458">
            <v>28600.64999999851</v>
          </cell>
          <cell r="D458">
            <v>2.5299999999999998</v>
          </cell>
          <cell r="E458">
            <v>10.5</v>
          </cell>
        </row>
        <row r="459">
          <cell r="A459">
            <v>45262</v>
          </cell>
          <cell r="B459">
            <v>246</v>
          </cell>
          <cell r="C459">
            <v>32500</v>
          </cell>
          <cell r="D459">
            <v>2.88</v>
          </cell>
          <cell r="E459">
            <v>9.9</v>
          </cell>
        </row>
        <row r="460">
          <cell r="A460">
            <v>45263</v>
          </cell>
          <cell r="B460">
            <v>247</v>
          </cell>
          <cell r="C460">
            <v>16900</v>
          </cell>
          <cell r="D460">
            <v>1.39</v>
          </cell>
          <cell r="E460">
            <v>3.9</v>
          </cell>
        </row>
        <row r="461">
          <cell r="A461">
            <v>45264</v>
          </cell>
          <cell r="B461">
            <v>248</v>
          </cell>
          <cell r="C461">
            <v>5848.0499999970198</v>
          </cell>
          <cell r="D461">
            <v>0.36</v>
          </cell>
          <cell r="E461">
            <v>2.1</v>
          </cell>
        </row>
        <row r="462">
          <cell r="A462">
            <v>45265</v>
          </cell>
          <cell r="B462">
            <v>249</v>
          </cell>
          <cell r="C462">
            <v>31853.25</v>
          </cell>
          <cell r="D462">
            <v>2.94</v>
          </cell>
          <cell r="E462">
            <v>10.9</v>
          </cell>
        </row>
        <row r="463">
          <cell r="A463">
            <v>45266</v>
          </cell>
          <cell r="B463">
            <v>250</v>
          </cell>
          <cell r="C463">
            <v>48099.35000000149</v>
          </cell>
          <cell r="D463">
            <v>4.6500000000000004</v>
          </cell>
          <cell r="E463">
            <v>10.199999999999999</v>
          </cell>
        </row>
        <row r="464">
          <cell r="A464">
            <v>45267</v>
          </cell>
          <cell r="B464">
            <v>251</v>
          </cell>
          <cell r="C464">
            <v>31849.35000000149</v>
          </cell>
          <cell r="D464">
            <v>3.04</v>
          </cell>
          <cell r="E464">
            <v>10.3</v>
          </cell>
        </row>
        <row r="465">
          <cell r="A465">
            <v>45268</v>
          </cell>
          <cell r="B465">
            <v>252</v>
          </cell>
          <cell r="C465">
            <v>29901.30000000447</v>
          </cell>
          <cell r="D465">
            <v>2.74</v>
          </cell>
          <cell r="E465">
            <v>10.5</v>
          </cell>
        </row>
        <row r="466">
          <cell r="A466">
            <v>45269</v>
          </cell>
          <cell r="B466">
            <v>253</v>
          </cell>
          <cell r="C466">
            <v>29247.399999991059</v>
          </cell>
          <cell r="D466">
            <v>2.67</v>
          </cell>
          <cell r="E466">
            <v>10</v>
          </cell>
        </row>
        <row r="467">
          <cell r="A467">
            <v>45270</v>
          </cell>
          <cell r="B467">
            <v>254</v>
          </cell>
          <cell r="C467">
            <v>47452.60000000149</v>
          </cell>
          <cell r="D467">
            <v>4.38</v>
          </cell>
          <cell r="E467">
            <v>10</v>
          </cell>
        </row>
        <row r="468">
          <cell r="A468">
            <v>45271</v>
          </cell>
          <cell r="B468">
            <v>255</v>
          </cell>
          <cell r="C468">
            <v>43548.70000000298</v>
          </cell>
          <cell r="D468">
            <v>3.96</v>
          </cell>
          <cell r="E468">
            <v>9.9</v>
          </cell>
        </row>
        <row r="469">
          <cell r="A469">
            <v>45272</v>
          </cell>
          <cell r="B469">
            <v>256</v>
          </cell>
          <cell r="C469">
            <v>42251.30000000447</v>
          </cell>
          <cell r="D469">
            <v>3.93</v>
          </cell>
          <cell r="E469">
            <v>9.6999999999999993</v>
          </cell>
        </row>
        <row r="470">
          <cell r="A470">
            <v>45273</v>
          </cell>
          <cell r="B470">
            <v>257</v>
          </cell>
          <cell r="C470">
            <v>50047.39999999851</v>
          </cell>
          <cell r="D470">
            <v>4.7699999999999996</v>
          </cell>
          <cell r="E470">
            <v>10</v>
          </cell>
        </row>
        <row r="471">
          <cell r="A471">
            <v>45274</v>
          </cell>
          <cell r="B471">
            <v>258</v>
          </cell>
          <cell r="C471">
            <v>48750</v>
          </cell>
          <cell r="D471">
            <v>4.68</v>
          </cell>
          <cell r="E471">
            <v>10</v>
          </cell>
        </row>
        <row r="472">
          <cell r="A472">
            <v>45275</v>
          </cell>
          <cell r="B472">
            <v>259</v>
          </cell>
          <cell r="C472">
            <v>22752.60000000149</v>
          </cell>
          <cell r="D472">
            <v>2.06</v>
          </cell>
          <cell r="E472">
            <v>9.1</v>
          </cell>
        </row>
        <row r="473">
          <cell r="A473">
            <v>45276</v>
          </cell>
          <cell r="B473">
            <v>260</v>
          </cell>
          <cell r="C473">
            <v>19499.34999999404</v>
          </cell>
          <cell r="D473">
            <v>1.77</v>
          </cell>
          <cell r="E473">
            <v>10.5</v>
          </cell>
        </row>
        <row r="474">
          <cell r="A474">
            <v>45277</v>
          </cell>
          <cell r="B474">
            <v>261</v>
          </cell>
          <cell r="C474">
            <v>20800</v>
          </cell>
          <cell r="D474">
            <v>1.91</v>
          </cell>
          <cell r="E474">
            <v>4</v>
          </cell>
        </row>
        <row r="475">
          <cell r="A475">
            <v>45278</v>
          </cell>
          <cell r="B475">
            <v>262</v>
          </cell>
          <cell r="C475">
            <v>18198.05000000447</v>
          </cell>
          <cell r="D475">
            <v>1.63</v>
          </cell>
          <cell r="E475">
            <v>10</v>
          </cell>
        </row>
        <row r="476">
          <cell r="A476">
            <v>45279</v>
          </cell>
          <cell r="B476">
            <v>263</v>
          </cell>
          <cell r="C476">
            <v>44850.64999999851</v>
          </cell>
          <cell r="D476">
            <v>4.3099999999999996</v>
          </cell>
          <cell r="E476">
            <v>10.1</v>
          </cell>
        </row>
        <row r="477">
          <cell r="A477">
            <v>45280</v>
          </cell>
          <cell r="B477">
            <v>264</v>
          </cell>
          <cell r="C477">
            <v>48099.34999999404</v>
          </cell>
          <cell r="D477">
            <v>4.5999999999999996</v>
          </cell>
          <cell r="E477">
            <v>10.4</v>
          </cell>
        </row>
        <row r="478">
          <cell r="A478">
            <v>45281</v>
          </cell>
          <cell r="B478">
            <v>265</v>
          </cell>
          <cell r="C478">
            <v>37050.000000007451</v>
          </cell>
          <cell r="D478">
            <v>3.66</v>
          </cell>
          <cell r="E478">
            <v>10.199999999999999</v>
          </cell>
        </row>
        <row r="479">
          <cell r="A479">
            <v>45282</v>
          </cell>
          <cell r="B479">
            <v>266</v>
          </cell>
          <cell r="C479">
            <v>51999.34999999404</v>
          </cell>
          <cell r="D479">
            <v>5.1100000000000003</v>
          </cell>
          <cell r="E479">
            <v>10</v>
          </cell>
        </row>
        <row r="480">
          <cell r="A480">
            <v>45283</v>
          </cell>
          <cell r="B480">
            <v>267</v>
          </cell>
          <cell r="C480">
            <v>60453.250000007451</v>
          </cell>
          <cell r="D480">
            <v>5.81</v>
          </cell>
          <cell r="E480">
            <v>9.9</v>
          </cell>
        </row>
        <row r="481">
          <cell r="A481">
            <v>45284</v>
          </cell>
          <cell r="B481">
            <v>268</v>
          </cell>
          <cell r="C481">
            <v>57200.64999999851</v>
          </cell>
          <cell r="D481">
            <v>5.39</v>
          </cell>
          <cell r="E481">
            <v>10</v>
          </cell>
        </row>
        <row r="482">
          <cell r="A482">
            <v>45285</v>
          </cell>
          <cell r="B482">
            <v>269</v>
          </cell>
          <cell r="C482">
            <v>34448.04999999702</v>
          </cell>
          <cell r="D482">
            <v>3.36</v>
          </cell>
          <cell r="E482">
            <v>10.6</v>
          </cell>
        </row>
        <row r="483">
          <cell r="A483">
            <v>45286</v>
          </cell>
          <cell r="B483">
            <v>270</v>
          </cell>
          <cell r="C483">
            <v>65650.64999999851</v>
          </cell>
          <cell r="D483">
            <v>6.12</v>
          </cell>
          <cell r="E483">
            <v>10.8</v>
          </cell>
        </row>
        <row r="484">
          <cell r="A484">
            <v>45287</v>
          </cell>
          <cell r="B484">
            <v>271</v>
          </cell>
          <cell r="C484">
            <v>65650.64999999851</v>
          </cell>
          <cell r="D484">
            <v>6.12</v>
          </cell>
          <cell r="E484">
            <v>10.1</v>
          </cell>
        </row>
        <row r="485">
          <cell r="A485">
            <v>45288</v>
          </cell>
          <cell r="B485">
            <v>272</v>
          </cell>
          <cell r="C485">
            <v>57200</v>
          </cell>
          <cell r="D485">
            <v>5.38</v>
          </cell>
          <cell r="E485">
            <v>10.199999999999999</v>
          </cell>
        </row>
        <row r="486">
          <cell r="A486">
            <v>45289</v>
          </cell>
          <cell r="B486">
            <v>273</v>
          </cell>
          <cell r="C486">
            <v>44199.35000000149</v>
          </cell>
          <cell r="D486">
            <v>4.12</v>
          </cell>
          <cell r="E486">
            <v>10.1</v>
          </cell>
        </row>
        <row r="487">
          <cell r="A487">
            <v>45290</v>
          </cell>
          <cell r="B487">
            <v>274</v>
          </cell>
          <cell r="C487">
            <v>57200.65000000596</v>
          </cell>
          <cell r="D487">
            <v>5.69</v>
          </cell>
          <cell r="E487">
            <v>9.9</v>
          </cell>
        </row>
        <row r="488">
          <cell r="A488">
            <v>45291</v>
          </cell>
          <cell r="B488">
            <v>275</v>
          </cell>
          <cell r="C488">
            <v>48750</v>
          </cell>
          <cell r="D488">
            <v>4.76</v>
          </cell>
          <cell r="E488">
            <v>10.5</v>
          </cell>
        </row>
        <row r="489">
          <cell r="A489">
            <v>45292</v>
          </cell>
          <cell r="B489">
            <v>276</v>
          </cell>
          <cell r="C489">
            <v>59148.04999999702</v>
          </cell>
          <cell r="D489">
            <v>5.56</v>
          </cell>
          <cell r="E489">
            <v>9.9</v>
          </cell>
        </row>
        <row r="490">
          <cell r="A490">
            <v>45293</v>
          </cell>
          <cell r="B490">
            <v>277</v>
          </cell>
          <cell r="C490">
            <v>48099.35000000149</v>
          </cell>
          <cell r="D490">
            <v>4.6500000000000004</v>
          </cell>
          <cell r="E490">
            <v>10.8</v>
          </cell>
        </row>
        <row r="491">
          <cell r="A491">
            <v>45294</v>
          </cell>
          <cell r="B491">
            <v>278</v>
          </cell>
          <cell r="C491">
            <v>40300</v>
          </cell>
          <cell r="D491">
            <v>3.73</v>
          </cell>
          <cell r="E491">
            <v>10.199999999999999</v>
          </cell>
        </row>
        <row r="492">
          <cell r="A492">
            <v>45295</v>
          </cell>
          <cell r="B492">
            <v>279</v>
          </cell>
          <cell r="C492">
            <v>32500</v>
          </cell>
          <cell r="D492">
            <v>2.98</v>
          </cell>
          <cell r="E492">
            <v>10.9</v>
          </cell>
        </row>
        <row r="493">
          <cell r="A493">
            <v>45296</v>
          </cell>
          <cell r="B493">
            <v>280</v>
          </cell>
          <cell r="C493">
            <v>23402.60000000149</v>
          </cell>
          <cell r="D493">
            <v>2.1800000000000002</v>
          </cell>
          <cell r="E493">
            <v>10.3</v>
          </cell>
        </row>
        <row r="494">
          <cell r="A494">
            <v>45297</v>
          </cell>
          <cell r="B494">
            <v>281</v>
          </cell>
          <cell r="C494">
            <v>46148.04999999702</v>
          </cell>
          <cell r="D494">
            <v>4.26</v>
          </cell>
          <cell r="E494">
            <v>9.9</v>
          </cell>
        </row>
        <row r="495">
          <cell r="A495">
            <v>45298</v>
          </cell>
          <cell r="B495">
            <v>282</v>
          </cell>
          <cell r="C495">
            <v>50050.64999999851</v>
          </cell>
          <cell r="D495">
            <v>4.68</v>
          </cell>
          <cell r="E495">
            <v>10.3</v>
          </cell>
        </row>
        <row r="496">
          <cell r="A496">
            <v>45299</v>
          </cell>
          <cell r="B496">
            <v>283</v>
          </cell>
          <cell r="C496">
            <v>14298.69999999553</v>
          </cell>
          <cell r="D496">
            <v>1.08</v>
          </cell>
          <cell r="E496">
            <v>2.1</v>
          </cell>
        </row>
        <row r="497">
          <cell r="A497">
            <v>45300</v>
          </cell>
          <cell r="B497">
            <v>284</v>
          </cell>
          <cell r="C497">
            <v>42251.30000000447</v>
          </cell>
          <cell r="D497">
            <v>3.93</v>
          </cell>
          <cell r="E497">
            <v>11</v>
          </cell>
        </row>
        <row r="498">
          <cell r="A498">
            <v>45301</v>
          </cell>
          <cell r="B498">
            <v>285</v>
          </cell>
          <cell r="C498">
            <v>50701.95000000298</v>
          </cell>
          <cell r="D498">
            <v>4.57</v>
          </cell>
          <cell r="E498">
            <v>11</v>
          </cell>
        </row>
        <row r="499">
          <cell r="A499">
            <v>45302</v>
          </cell>
          <cell r="B499">
            <v>286</v>
          </cell>
          <cell r="C499">
            <v>62397.39999999851</v>
          </cell>
          <cell r="D499">
            <v>5.79</v>
          </cell>
          <cell r="E499">
            <v>9.9</v>
          </cell>
        </row>
        <row r="500">
          <cell r="A500">
            <v>45303</v>
          </cell>
          <cell r="B500">
            <v>287</v>
          </cell>
          <cell r="C500">
            <v>62401.29999999702</v>
          </cell>
          <cell r="D500">
            <v>5.86</v>
          </cell>
          <cell r="E500">
            <v>9.8000000000000007</v>
          </cell>
        </row>
        <row r="501">
          <cell r="A501">
            <v>45304</v>
          </cell>
          <cell r="B501">
            <v>288</v>
          </cell>
          <cell r="C501">
            <v>46792.85000000149</v>
          </cell>
          <cell r="D501">
            <v>4.59</v>
          </cell>
          <cell r="E501">
            <v>10.5</v>
          </cell>
        </row>
        <row r="502">
          <cell r="A502">
            <v>45305</v>
          </cell>
          <cell r="B502">
            <v>289</v>
          </cell>
          <cell r="C502">
            <v>57851.29999999702</v>
          </cell>
          <cell r="D502">
            <v>5.49</v>
          </cell>
          <cell r="E502">
            <v>10.8</v>
          </cell>
        </row>
        <row r="503">
          <cell r="A503">
            <v>45306</v>
          </cell>
          <cell r="B503">
            <v>290</v>
          </cell>
          <cell r="C503">
            <v>62401.30000000447</v>
          </cell>
          <cell r="D503">
            <v>5.93</v>
          </cell>
          <cell r="E503">
            <v>10.9</v>
          </cell>
        </row>
        <row r="504">
          <cell r="A504">
            <v>45307</v>
          </cell>
          <cell r="B504">
            <v>291</v>
          </cell>
          <cell r="C504">
            <v>59148.04999999702</v>
          </cell>
          <cell r="D504">
            <v>5.7</v>
          </cell>
          <cell r="E504">
            <v>9.9</v>
          </cell>
        </row>
        <row r="505">
          <cell r="A505">
            <v>45308</v>
          </cell>
          <cell r="B505">
            <v>292</v>
          </cell>
          <cell r="C505">
            <v>60450</v>
          </cell>
          <cell r="D505">
            <v>5.87</v>
          </cell>
          <cell r="E505">
            <v>10</v>
          </cell>
        </row>
        <row r="506">
          <cell r="A506">
            <v>45309</v>
          </cell>
          <cell r="B506">
            <v>293</v>
          </cell>
          <cell r="C506">
            <v>56549.34999999404</v>
          </cell>
          <cell r="D506">
            <v>5.55</v>
          </cell>
          <cell r="E506">
            <v>9.9</v>
          </cell>
        </row>
        <row r="507">
          <cell r="A507">
            <v>45310</v>
          </cell>
          <cell r="B507">
            <v>294</v>
          </cell>
          <cell r="C507">
            <v>52003.250000007451</v>
          </cell>
          <cell r="D507">
            <v>4.9800000000000004</v>
          </cell>
          <cell r="E507">
            <v>10</v>
          </cell>
        </row>
        <row r="508">
          <cell r="A508">
            <v>45311</v>
          </cell>
          <cell r="B508">
            <v>295</v>
          </cell>
          <cell r="C508">
            <v>57846.75</v>
          </cell>
          <cell r="D508">
            <v>5.68</v>
          </cell>
          <cell r="E508">
            <v>9.8000000000000007</v>
          </cell>
        </row>
        <row r="509">
          <cell r="A509">
            <v>45312</v>
          </cell>
          <cell r="B509">
            <v>296</v>
          </cell>
          <cell r="C509">
            <v>61751.29999999702</v>
          </cell>
          <cell r="D509">
            <v>6</v>
          </cell>
          <cell r="E509">
            <v>9.9</v>
          </cell>
        </row>
        <row r="510">
          <cell r="A510">
            <v>45313</v>
          </cell>
          <cell r="B510">
            <v>297</v>
          </cell>
          <cell r="C510">
            <v>62401.29999999702</v>
          </cell>
          <cell r="D510">
            <v>6.02</v>
          </cell>
          <cell r="E510">
            <v>10</v>
          </cell>
        </row>
        <row r="511">
          <cell r="A511">
            <v>45314</v>
          </cell>
          <cell r="B511">
            <v>298</v>
          </cell>
          <cell r="C511">
            <v>63048.05000000447</v>
          </cell>
          <cell r="D511">
            <v>6.07</v>
          </cell>
          <cell r="E511">
            <v>10</v>
          </cell>
        </row>
        <row r="512">
          <cell r="A512">
            <v>45315</v>
          </cell>
          <cell r="B512">
            <v>299</v>
          </cell>
          <cell r="C512">
            <v>53300.64999999851</v>
          </cell>
          <cell r="D512">
            <v>5.0199999999999996</v>
          </cell>
          <cell r="E512">
            <v>10.199999999999999</v>
          </cell>
        </row>
        <row r="513">
          <cell r="A513">
            <v>45316</v>
          </cell>
          <cell r="B513">
            <v>300</v>
          </cell>
          <cell r="C513">
            <v>59798.70000000298</v>
          </cell>
          <cell r="D513">
            <v>5.86</v>
          </cell>
          <cell r="E513">
            <v>10.1</v>
          </cell>
        </row>
        <row r="514">
          <cell r="A514">
            <v>45317</v>
          </cell>
          <cell r="B514">
            <v>301</v>
          </cell>
          <cell r="C514">
            <v>65650.64999999851</v>
          </cell>
          <cell r="D514">
            <v>6.26</v>
          </cell>
          <cell r="E514">
            <v>9.9</v>
          </cell>
        </row>
        <row r="515">
          <cell r="A515">
            <v>45318</v>
          </cell>
          <cell r="B515">
            <v>302</v>
          </cell>
          <cell r="C515">
            <v>65000</v>
          </cell>
          <cell r="D515">
            <v>6.29</v>
          </cell>
          <cell r="E515">
            <v>10.3</v>
          </cell>
        </row>
        <row r="516">
          <cell r="A516">
            <v>45319</v>
          </cell>
          <cell r="B516">
            <v>303</v>
          </cell>
          <cell r="C516">
            <v>52650</v>
          </cell>
          <cell r="D516">
            <v>5.12</v>
          </cell>
          <cell r="E516">
            <v>10.5</v>
          </cell>
        </row>
        <row r="517">
          <cell r="A517">
            <v>45320</v>
          </cell>
          <cell r="B517">
            <v>304</v>
          </cell>
          <cell r="C517">
            <v>61100</v>
          </cell>
          <cell r="D517">
            <v>6.03</v>
          </cell>
          <cell r="E517">
            <v>10.199999999999999</v>
          </cell>
        </row>
        <row r="518">
          <cell r="A518">
            <v>45321</v>
          </cell>
          <cell r="B518">
            <v>305</v>
          </cell>
          <cell r="C518">
            <v>63051.95000000298</v>
          </cell>
          <cell r="D518">
            <v>6.15</v>
          </cell>
          <cell r="E518">
            <v>10.5</v>
          </cell>
        </row>
        <row r="519">
          <cell r="A519">
            <v>45322</v>
          </cell>
          <cell r="B519">
            <v>306</v>
          </cell>
          <cell r="C519">
            <v>54598.04999999702</v>
          </cell>
          <cell r="D519">
            <v>5.5</v>
          </cell>
          <cell r="E519">
            <v>10.4</v>
          </cell>
        </row>
        <row r="520">
          <cell r="A520">
            <v>45323</v>
          </cell>
          <cell r="B520">
            <v>307</v>
          </cell>
          <cell r="C520">
            <v>54601.29999999702</v>
          </cell>
          <cell r="D520">
            <v>5.44</v>
          </cell>
          <cell r="E520">
            <v>10.5</v>
          </cell>
        </row>
        <row r="521">
          <cell r="A521">
            <v>45324</v>
          </cell>
          <cell r="B521">
            <v>308</v>
          </cell>
          <cell r="C521">
            <v>50047.39999999851</v>
          </cell>
          <cell r="D521">
            <v>5.08</v>
          </cell>
          <cell r="E521">
            <v>10.5</v>
          </cell>
        </row>
        <row r="522">
          <cell r="A522">
            <v>45325</v>
          </cell>
          <cell r="B522">
            <v>309</v>
          </cell>
          <cell r="C522">
            <v>48103.25</v>
          </cell>
          <cell r="D522">
            <v>4.7300000000000004</v>
          </cell>
          <cell r="E522">
            <v>10.1</v>
          </cell>
        </row>
        <row r="523">
          <cell r="A523">
            <v>45326</v>
          </cell>
          <cell r="B523">
            <v>310</v>
          </cell>
          <cell r="C523">
            <v>64349.35000000149</v>
          </cell>
          <cell r="D523">
            <v>6.3</v>
          </cell>
          <cell r="E523">
            <v>10.3</v>
          </cell>
        </row>
        <row r="524">
          <cell r="A524">
            <v>45327</v>
          </cell>
          <cell r="B524">
            <v>311</v>
          </cell>
          <cell r="C524">
            <v>66297.39999999851</v>
          </cell>
          <cell r="D524">
            <v>6.46</v>
          </cell>
          <cell r="E524">
            <v>10</v>
          </cell>
        </row>
        <row r="525">
          <cell r="A525">
            <v>45328</v>
          </cell>
          <cell r="B525">
            <v>312</v>
          </cell>
          <cell r="C525">
            <v>63702.60000000149</v>
          </cell>
          <cell r="D525">
            <v>6.36</v>
          </cell>
          <cell r="E525">
            <v>10</v>
          </cell>
        </row>
        <row r="526">
          <cell r="A526">
            <v>45329</v>
          </cell>
          <cell r="B526">
            <v>313</v>
          </cell>
          <cell r="C526">
            <v>66948.04999999702</v>
          </cell>
          <cell r="D526">
            <v>6.58</v>
          </cell>
          <cell r="E526">
            <v>9.9</v>
          </cell>
        </row>
        <row r="527">
          <cell r="A527">
            <v>45330</v>
          </cell>
          <cell r="B527">
            <v>314</v>
          </cell>
          <cell r="C527">
            <v>63051.95000000298</v>
          </cell>
          <cell r="D527">
            <v>6.2</v>
          </cell>
          <cell r="E527">
            <v>10.199999999999999</v>
          </cell>
        </row>
        <row r="528">
          <cell r="A528">
            <v>45331</v>
          </cell>
          <cell r="B528">
            <v>315</v>
          </cell>
          <cell r="C528">
            <v>66948.04999999702</v>
          </cell>
          <cell r="D528">
            <v>6.59</v>
          </cell>
          <cell r="E528">
            <v>10</v>
          </cell>
        </row>
        <row r="529">
          <cell r="A529">
            <v>45332</v>
          </cell>
          <cell r="B529">
            <v>316</v>
          </cell>
          <cell r="C529">
            <v>63702.60000000149</v>
          </cell>
          <cell r="D529">
            <v>6.29</v>
          </cell>
          <cell r="E529">
            <v>10.1</v>
          </cell>
        </row>
        <row r="530">
          <cell r="A530">
            <v>45333</v>
          </cell>
          <cell r="B530">
            <v>317</v>
          </cell>
          <cell r="C530">
            <v>65000</v>
          </cell>
          <cell r="D530">
            <v>6.42</v>
          </cell>
          <cell r="E530">
            <v>10.199999999999999</v>
          </cell>
        </row>
        <row r="531">
          <cell r="A531">
            <v>45334</v>
          </cell>
          <cell r="B531">
            <v>318</v>
          </cell>
          <cell r="C531">
            <v>68900.000000007451</v>
          </cell>
          <cell r="D531">
            <v>6.8</v>
          </cell>
          <cell r="E531">
            <v>10</v>
          </cell>
        </row>
        <row r="532">
          <cell r="A532">
            <v>45335</v>
          </cell>
          <cell r="B532">
            <v>319</v>
          </cell>
          <cell r="C532">
            <v>64349.34999999404</v>
          </cell>
          <cell r="D532">
            <v>6.42</v>
          </cell>
          <cell r="E532">
            <v>10.1</v>
          </cell>
        </row>
        <row r="533">
          <cell r="A533">
            <v>45336</v>
          </cell>
          <cell r="B533">
            <v>320</v>
          </cell>
          <cell r="C533">
            <v>59798.70000000298</v>
          </cell>
          <cell r="D533">
            <v>5.99</v>
          </cell>
          <cell r="E533">
            <v>10.199999999999999</v>
          </cell>
        </row>
        <row r="534">
          <cell r="A534">
            <v>45337</v>
          </cell>
          <cell r="B534">
            <v>321</v>
          </cell>
          <cell r="C534">
            <v>67598.69999999553</v>
          </cell>
          <cell r="D534">
            <v>6.6</v>
          </cell>
          <cell r="E534">
            <v>10</v>
          </cell>
        </row>
        <row r="535">
          <cell r="A535">
            <v>45338</v>
          </cell>
          <cell r="B535">
            <v>322</v>
          </cell>
          <cell r="C535">
            <v>67602.60000000149</v>
          </cell>
          <cell r="D535">
            <v>6.56</v>
          </cell>
          <cell r="E535">
            <v>9.8000000000000007</v>
          </cell>
        </row>
        <row r="536">
          <cell r="A536">
            <v>45339</v>
          </cell>
          <cell r="B536">
            <v>323</v>
          </cell>
          <cell r="C536">
            <v>68249.35000000149</v>
          </cell>
          <cell r="D536">
            <v>6.78</v>
          </cell>
          <cell r="E536">
            <v>10.1</v>
          </cell>
        </row>
        <row r="537">
          <cell r="A537">
            <v>45340</v>
          </cell>
          <cell r="B537">
            <v>324</v>
          </cell>
          <cell r="C537">
            <v>66301.29999999702</v>
          </cell>
          <cell r="D537">
            <v>6.64</v>
          </cell>
          <cell r="E537">
            <v>10</v>
          </cell>
        </row>
        <row r="538">
          <cell r="A538">
            <v>45341</v>
          </cell>
          <cell r="B538">
            <v>325</v>
          </cell>
          <cell r="C538">
            <v>67598.70000000298</v>
          </cell>
          <cell r="D538">
            <v>6.78</v>
          </cell>
          <cell r="E538">
            <v>10.199999999999999</v>
          </cell>
        </row>
        <row r="539">
          <cell r="A539">
            <v>45342</v>
          </cell>
          <cell r="B539">
            <v>326</v>
          </cell>
          <cell r="C539">
            <v>63698.69999999553</v>
          </cell>
          <cell r="D539">
            <v>6.43</v>
          </cell>
          <cell r="E539">
            <v>10.1</v>
          </cell>
        </row>
        <row r="540">
          <cell r="A540">
            <v>45343</v>
          </cell>
          <cell r="B540">
            <v>327</v>
          </cell>
          <cell r="C540">
            <v>46151.30000000447</v>
          </cell>
          <cell r="D540">
            <v>4.43</v>
          </cell>
          <cell r="E540">
            <v>10.5</v>
          </cell>
        </row>
        <row r="541">
          <cell r="A541">
            <v>45344</v>
          </cell>
          <cell r="B541">
            <v>328</v>
          </cell>
          <cell r="C541">
            <v>55898.70000000298</v>
          </cell>
          <cell r="D541">
            <v>5.73</v>
          </cell>
          <cell r="E541">
            <v>10</v>
          </cell>
        </row>
        <row r="542">
          <cell r="A542">
            <v>45345</v>
          </cell>
          <cell r="B542">
            <v>329</v>
          </cell>
          <cell r="C542">
            <v>62401.29999999702</v>
          </cell>
          <cell r="D542">
            <v>6.38</v>
          </cell>
          <cell r="E542">
            <v>10.5</v>
          </cell>
        </row>
        <row r="543">
          <cell r="A543">
            <v>45346</v>
          </cell>
          <cell r="B543">
            <v>330</v>
          </cell>
          <cell r="C543">
            <v>45501.29999999702</v>
          </cell>
          <cell r="D543">
            <v>4.74</v>
          </cell>
          <cell r="E543">
            <v>10.1</v>
          </cell>
        </row>
        <row r="544">
          <cell r="A544">
            <v>45347</v>
          </cell>
          <cell r="B544">
            <v>331</v>
          </cell>
          <cell r="C544">
            <v>56549.35000000149</v>
          </cell>
          <cell r="D544">
            <v>5.71</v>
          </cell>
          <cell r="E544">
            <v>9.8000000000000007</v>
          </cell>
        </row>
        <row r="545">
          <cell r="A545">
            <v>45348</v>
          </cell>
          <cell r="B545">
            <v>332</v>
          </cell>
          <cell r="C545">
            <v>59799.35000000149</v>
          </cell>
          <cell r="D545">
            <v>6.12</v>
          </cell>
          <cell r="E545">
            <v>10</v>
          </cell>
        </row>
        <row r="546">
          <cell r="A546">
            <v>45349</v>
          </cell>
          <cell r="B546">
            <v>333</v>
          </cell>
          <cell r="C546">
            <v>61100</v>
          </cell>
          <cell r="D546">
            <v>6.3</v>
          </cell>
          <cell r="E546">
            <v>9.9</v>
          </cell>
        </row>
        <row r="547">
          <cell r="A547">
            <v>45350</v>
          </cell>
          <cell r="B547">
            <v>334</v>
          </cell>
          <cell r="C547">
            <v>68249.35000000149</v>
          </cell>
          <cell r="D547">
            <v>7</v>
          </cell>
          <cell r="E547">
            <v>10.8</v>
          </cell>
        </row>
        <row r="548">
          <cell r="A548">
            <v>45351</v>
          </cell>
          <cell r="B548">
            <v>335</v>
          </cell>
          <cell r="C548">
            <v>70200.64999999851</v>
          </cell>
          <cell r="D548">
            <v>7.17</v>
          </cell>
          <cell r="E548">
            <v>10.9</v>
          </cell>
        </row>
        <row r="549">
          <cell r="A549">
            <v>45352</v>
          </cell>
          <cell r="B549">
            <v>336</v>
          </cell>
          <cell r="C549">
            <v>67598.69999999553</v>
          </cell>
          <cell r="D549">
            <v>6.86</v>
          </cell>
          <cell r="E549">
            <v>10.6</v>
          </cell>
        </row>
        <row r="550">
          <cell r="A550">
            <v>45353</v>
          </cell>
          <cell r="B550">
            <v>337</v>
          </cell>
          <cell r="C550">
            <v>61100.000000007451</v>
          </cell>
          <cell r="D550">
            <v>6.17</v>
          </cell>
          <cell r="E550">
            <v>10.8</v>
          </cell>
        </row>
        <row r="551">
          <cell r="A551">
            <v>45354</v>
          </cell>
          <cell r="B551">
            <v>338</v>
          </cell>
          <cell r="C551">
            <v>63702.60000000149</v>
          </cell>
          <cell r="D551">
            <v>6.59</v>
          </cell>
          <cell r="E551">
            <v>10.1</v>
          </cell>
        </row>
        <row r="552">
          <cell r="A552">
            <v>45355</v>
          </cell>
          <cell r="B552">
            <v>339</v>
          </cell>
          <cell r="C552">
            <v>62398.04999999702</v>
          </cell>
          <cell r="D552">
            <v>6.57</v>
          </cell>
          <cell r="E552">
            <v>10</v>
          </cell>
        </row>
        <row r="553">
          <cell r="A553">
            <v>45356</v>
          </cell>
          <cell r="B553">
            <v>340</v>
          </cell>
          <cell r="C553">
            <v>65000</v>
          </cell>
          <cell r="D553">
            <v>6.86</v>
          </cell>
          <cell r="E553">
            <v>10</v>
          </cell>
        </row>
        <row r="554">
          <cell r="A554">
            <v>45357</v>
          </cell>
          <cell r="B554">
            <v>341</v>
          </cell>
          <cell r="C554">
            <v>62401.29999999702</v>
          </cell>
          <cell r="D554">
            <v>6.56</v>
          </cell>
          <cell r="E554">
            <v>10.199999999999999</v>
          </cell>
        </row>
        <row r="555">
          <cell r="A555">
            <v>45358</v>
          </cell>
          <cell r="B555">
            <v>342</v>
          </cell>
          <cell r="C555">
            <v>61750.65000000596</v>
          </cell>
          <cell r="D555">
            <v>6.63</v>
          </cell>
          <cell r="E555">
            <v>10.1</v>
          </cell>
        </row>
        <row r="556">
          <cell r="A556">
            <v>45359</v>
          </cell>
          <cell r="B556">
            <v>343</v>
          </cell>
          <cell r="C556">
            <v>61099.999999992549</v>
          </cell>
          <cell r="D556">
            <v>6.51</v>
          </cell>
          <cell r="E556">
            <v>10</v>
          </cell>
        </row>
        <row r="557">
          <cell r="A557">
            <v>45360</v>
          </cell>
          <cell r="B557">
            <v>344</v>
          </cell>
          <cell r="C557">
            <v>59798.70000000298</v>
          </cell>
          <cell r="D557">
            <v>6.25</v>
          </cell>
          <cell r="E557">
            <v>9.8000000000000007</v>
          </cell>
        </row>
        <row r="558">
          <cell r="A558">
            <v>45361</v>
          </cell>
          <cell r="B558">
            <v>345</v>
          </cell>
          <cell r="C558">
            <v>54598.04999999702</v>
          </cell>
          <cell r="D558">
            <v>5.66</v>
          </cell>
          <cell r="E558">
            <v>10</v>
          </cell>
        </row>
        <row r="559">
          <cell r="A559">
            <v>45362</v>
          </cell>
          <cell r="B559">
            <v>346</v>
          </cell>
          <cell r="C559">
            <v>56553.89999999851</v>
          </cell>
          <cell r="D559">
            <v>5.88</v>
          </cell>
          <cell r="E559">
            <v>10.199999999999999</v>
          </cell>
        </row>
        <row r="560">
          <cell r="A560">
            <v>45363</v>
          </cell>
          <cell r="B560">
            <v>347</v>
          </cell>
          <cell r="C560">
            <v>59798.70000000298</v>
          </cell>
          <cell r="D560">
            <v>6.27</v>
          </cell>
          <cell r="E560">
            <v>10.1</v>
          </cell>
        </row>
        <row r="561">
          <cell r="A561">
            <v>45364</v>
          </cell>
          <cell r="B561">
            <v>348</v>
          </cell>
          <cell r="C561">
            <v>55248.70000000298</v>
          </cell>
          <cell r="D561">
            <v>5.7</v>
          </cell>
          <cell r="E561">
            <v>9.9</v>
          </cell>
        </row>
        <row r="562">
          <cell r="A562">
            <v>45365</v>
          </cell>
          <cell r="B562">
            <v>349</v>
          </cell>
          <cell r="C562">
            <v>46801.94999999553</v>
          </cell>
          <cell r="D562">
            <v>4.91</v>
          </cell>
          <cell r="E562">
            <v>10</v>
          </cell>
        </row>
        <row r="563">
          <cell r="A563">
            <v>45366</v>
          </cell>
          <cell r="B563">
            <v>350</v>
          </cell>
          <cell r="C563">
            <v>52649.35000000149</v>
          </cell>
          <cell r="D563">
            <v>5.55</v>
          </cell>
          <cell r="E563">
            <v>9.9</v>
          </cell>
        </row>
        <row r="564">
          <cell r="A564">
            <v>45367</v>
          </cell>
          <cell r="B564">
            <v>351</v>
          </cell>
          <cell r="C564">
            <v>58498.05000000447</v>
          </cell>
          <cell r="D564">
            <v>6.1</v>
          </cell>
          <cell r="E564">
            <v>9.9</v>
          </cell>
        </row>
        <row r="565">
          <cell r="A565">
            <v>45368</v>
          </cell>
          <cell r="B565">
            <v>352</v>
          </cell>
          <cell r="C565">
            <v>59802.59999999404</v>
          </cell>
          <cell r="D565">
            <v>6.33</v>
          </cell>
          <cell r="E565">
            <v>10</v>
          </cell>
        </row>
        <row r="566">
          <cell r="A566">
            <v>45369</v>
          </cell>
          <cell r="B566">
            <v>353</v>
          </cell>
          <cell r="C566">
            <v>60449.35000000149</v>
          </cell>
          <cell r="D566">
            <v>6.35</v>
          </cell>
          <cell r="E566">
            <v>10.3</v>
          </cell>
        </row>
        <row r="567">
          <cell r="A567">
            <v>45370</v>
          </cell>
          <cell r="B567">
            <v>354</v>
          </cell>
          <cell r="C567">
            <v>60450</v>
          </cell>
          <cell r="D567">
            <v>6.39</v>
          </cell>
          <cell r="E567">
            <v>9.9</v>
          </cell>
        </row>
        <row r="568">
          <cell r="A568">
            <v>45371</v>
          </cell>
          <cell r="B568">
            <v>355</v>
          </cell>
          <cell r="C568">
            <v>61750.65000000596</v>
          </cell>
          <cell r="D568">
            <v>6.46</v>
          </cell>
          <cell r="E568">
            <v>10.1</v>
          </cell>
        </row>
        <row r="569">
          <cell r="A569">
            <v>45372</v>
          </cell>
          <cell r="B569">
            <v>356</v>
          </cell>
          <cell r="C569">
            <v>51999.34999999404</v>
          </cell>
          <cell r="D569">
            <v>5.33</v>
          </cell>
          <cell r="E569">
            <v>10.3</v>
          </cell>
        </row>
        <row r="570">
          <cell r="A570">
            <v>45373</v>
          </cell>
          <cell r="B570">
            <v>357</v>
          </cell>
          <cell r="C570">
            <v>54597.40000000596</v>
          </cell>
          <cell r="D570">
            <v>5.91</v>
          </cell>
          <cell r="E570">
            <v>10.4</v>
          </cell>
        </row>
        <row r="571">
          <cell r="A571">
            <v>45374</v>
          </cell>
          <cell r="B571">
            <v>358</v>
          </cell>
          <cell r="C571">
            <v>61100.649999991059</v>
          </cell>
          <cell r="D571">
            <v>6.32</v>
          </cell>
          <cell r="E571">
            <v>10.1</v>
          </cell>
        </row>
        <row r="572">
          <cell r="A572">
            <v>45375</v>
          </cell>
          <cell r="B572">
            <v>359</v>
          </cell>
          <cell r="C572">
            <v>64353.25</v>
          </cell>
          <cell r="D572">
            <v>6.84</v>
          </cell>
          <cell r="E572">
            <v>10.199999999999999</v>
          </cell>
        </row>
        <row r="573">
          <cell r="A573">
            <v>45376</v>
          </cell>
          <cell r="B573">
            <v>360</v>
          </cell>
          <cell r="C573">
            <v>61100.000000007451</v>
          </cell>
          <cell r="D573">
            <v>6.39</v>
          </cell>
          <cell r="E573">
            <v>10.1</v>
          </cell>
        </row>
        <row r="574">
          <cell r="A574">
            <v>45377</v>
          </cell>
          <cell r="B574">
            <v>361</v>
          </cell>
          <cell r="C574">
            <v>62397.39999999851</v>
          </cell>
          <cell r="D574">
            <v>6.61</v>
          </cell>
          <cell r="E574">
            <v>10</v>
          </cell>
        </row>
        <row r="575">
          <cell r="A575">
            <v>45378</v>
          </cell>
          <cell r="B575">
            <v>362</v>
          </cell>
          <cell r="C575">
            <v>66301.29999999702</v>
          </cell>
          <cell r="D575">
            <v>7.08</v>
          </cell>
          <cell r="E575">
            <v>10</v>
          </cell>
        </row>
        <row r="576">
          <cell r="A576">
            <v>45379</v>
          </cell>
          <cell r="B576">
            <v>363</v>
          </cell>
          <cell r="C576">
            <v>64349.35000000149</v>
          </cell>
          <cell r="D576">
            <v>6.98</v>
          </cell>
          <cell r="E576">
            <v>10.199999999999999</v>
          </cell>
        </row>
        <row r="577">
          <cell r="A577">
            <v>45380</v>
          </cell>
          <cell r="B577">
            <v>364</v>
          </cell>
          <cell r="C577">
            <v>59148.05000000447</v>
          </cell>
          <cell r="D577">
            <v>6.4</v>
          </cell>
          <cell r="E577">
            <v>9.9</v>
          </cell>
        </row>
        <row r="578">
          <cell r="A578">
            <v>45381</v>
          </cell>
          <cell r="B578">
            <v>365</v>
          </cell>
          <cell r="C578">
            <v>63702.59999999404</v>
          </cell>
          <cell r="D578">
            <v>6.92</v>
          </cell>
          <cell r="E578">
            <v>10.1</v>
          </cell>
        </row>
        <row r="579">
          <cell r="A579">
            <v>45382</v>
          </cell>
          <cell r="B579">
            <v>366</v>
          </cell>
          <cell r="C579">
            <v>63048.70000000298</v>
          </cell>
          <cell r="D579">
            <v>6.92</v>
          </cell>
          <cell r="E579">
            <v>10.199999999999999</v>
          </cell>
        </row>
        <row r="580">
          <cell r="A580">
            <v>45383</v>
          </cell>
          <cell r="B580">
            <v>1</v>
          </cell>
          <cell r="C580">
            <v>59802.60000000149</v>
          </cell>
          <cell r="D580">
            <v>6.53</v>
          </cell>
          <cell r="E580">
            <v>10</v>
          </cell>
        </row>
        <row r="581">
          <cell r="A581">
            <v>45384</v>
          </cell>
          <cell r="B581">
            <v>2</v>
          </cell>
          <cell r="C581">
            <v>63698.69999999553</v>
          </cell>
          <cell r="D581">
            <v>6.97</v>
          </cell>
          <cell r="E581">
            <v>10.1</v>
          </cell>
        </row>
        <row r="582">
          <cell r="A582">
            <v>45385</v>
          </cell>
          <cell r="B582">
            <v>3</v>
          </cell>
          <cell r="C582">
            <v>61100</v>
          </cell>
          <cell r="D582">
            <v>6.72</v>
          </cell>
          <cell r="E582">
            <v>9.9</v>
          </cell>
        </row>
        <row r="583">
          <cell r="A583">
            <v>45386</v>
          </cell>
          <cell r="B583">
            <v>4</v>
          </cell>
          <cell r="C583">
            <v>64349.35000000149</v>
          </cell>
          <cell r="D583">
            <v>7.17</v>
          </cell>
          <cell r="E583">
            <v>10.199999999999999</v>
          </cell>
        </row>
        <row r="584">
          <cell r="A584">
            <v>45387</v>
          </cell>
          <cell r="B584">
            <v>5</v>
          </cell>
          <cell r="C584">
            <v>58501.94999999553</v>
          </cell>
          <cell r="D584">
            <v>6.53</v>
          </cell>
          <cell r="E584">
            <v>10.1</v>
          </cell>
        </row>
        <row r="585">
          <cell r="A585">
            <v>45388</v>
          </cell>
          <cell r="B585">
            <v>6</v>
          </cell>
          <cell r="C585">
            <v>57196.10000000149</v>
          </cell>
          <cell r="D585">
            <v>6.44</v>
          </cell>
          <cell r="E585">
            <v>10</v>
          </cell>
        </row>
        <row r="586">
          <cell r="A586">
            <v>45389</v>
          </cell>
          <cell r="B586">
            <v>7</v>
          </cell>
          <cell r="C586">
            <v>61100.000000007451</v>
          </cell>
          <cell r="D586">
            <v>6.75</v>
          </cell>
          <cell r="E586">
            <v>10.1</v>
          </cell>
        </row>
        <row r="587">
          <cell r="A587">
            <v>45390</v>
          </cell>
          <cell r="B587">
            <v>8</v>
          </cell>
          <cell r="C587">
            <v>61751.29999999702</v>
          </cell>
          <cell r="D587">
            <v>6.86</v>
          </cell>
          <cell r="E587">
            <v>10.1</v>
          </cell>
        </row>
        <row r="588">
          <cell r="A588">
            <v>45391</v>
          </cell>
          <cell r="B588">
            <v>9</v>
          </cell>
          <cell r="C588">
            <v>62401.29999999702</v>
          </cell>
          <cell r="D588">
            <v>6.82</v>
          </cell>
          <cell r="E588">
            <v>10</v>
          </cell>
        </row>
        <row r="589">
          <cell r="A589">
            <v>45392</v>
          </cell>
          <cell r="B589">
            <v>10</v>
          </cell>
          <cell r="C589">
            <v>63048.05000000447</v>
          </cell>
          <cell r="D589">
            <v>6.84</v>
          </cell>
          <cell r="E589">
            <v>10</v>
          </cell>
        </row>
        <row r="590">
          <cell r="A590">
            <v>45393</v>
          </cell>
          <cell r="B590">
            <v>11</v>
          </cell>
          <cell r="C590">
            <v>63051.94999999553</v>
          </cell>
          <cell r="D590">
            <v>6.99</v>
          </cell>
          <cell r="E590">
            <v>10.1</v>
          </cell>
        </row>
        <row r="591">
          <cell r="A591">
            <v>45394</v>
          </cell>
          <cell r="B591">
            <v>12</v>
          </cell>
          <cell r="C591">
            <v>54598.04999999702</v>
          </cell>
          <cell r="D591">
            <v>6.18</v>
          </cell>
          <cell r="E591">
            <v>10.4</v>
          </cell>
        </row>
        <row r="592">
          <cell r="A592">
            <v>45395</v>
          </cell>
          <cell r="B592">
            <v>13</v>
          </cell>
          <cell r="C592">
            <v>55251.95000000298</v>
          </cell>
          <cell r="D592">
            <v>5.91</v>
          </cell>
          <cell r="E592">
            <v>10.5</v>
          </cell>
        </row>
        <row r="593">
          <cell r="A593">
            <v>45396</v>
          </cell>
          <cell r="B593">
            <v>14</v>
          </cell>
          <cell r="C593">
            <v>59148.70000000298</v>
          </cell>
          <cell r="D593">
            <v>6.38</v>
          </cell>
          <cell r="E593">
            <v>10.1</v>
          </cell>
        </row>
        <row r="594">
          <cell r="A594">
            <v>45397</v>
          </cell>
          <cell r="B594">
            <v>15</v>
          </cell>
          <cell r="C594">
            <v>63051.94999999553</v>
          </cell>
          <cell r="D594">
            <v>6.95</v>
          </cell>
          <cell r="E594">
            <v>10</v>
          </cell>
        </row>
        <row r="595">
          <cell r="A595">
            <v>45398</v>
          </cell>
          <cell r="B595">
            <v>16</v>
          </cell>
          <cell r="C595">
            <v>61750.65000000596</v>
          </cell>
          <cell r="D595">
            <v>6.9</v>
          </cell>
          <cell r="E595">
            <v>10</v>
          </cell>
        </row>
        <row r="596">
          <cell r="A596">
            <v>45399</v>
          </cell>
          <cell r="B596">
            <v>17</v>
          </cell>
          <cell r="C596">
            <v>51999.34999999404</v>
          </cell>
          <cell r="D596">
            <v>5.51</v>
          </cell>
          <cell r="E596">
            <v>9.9</v>
          </cell>
        </row>
        <row r="597">
          <cell r="A597">
            <v>45400</v>
          </cell>
          <cell r="B597">
            <v>18</v>
          </cell>
          <cell r="C597">
            <v>53300.000000007451</v>
          </cell>
          <cell r="D597">
            <v>5.76</v>
          </cell>
          <cell r="E597">
            <v>10.199999999999999</v>
          </cell>
        </row>
        <row r="598">
          <cell r="A598">
            <v>45401</v>
          </cell>
          <cell r="B598">
            <v>19</v>
          </cell>
          <cell r="C598">
            <v>49396.75</v>
          </cell>
          <cell r="D598">
            <v>5.57</v>
          </cell>
          <cell r="E598">
            <v>10</v>
          </cell>
        </row>
        <row r="599">
          <cell r="A599">
            <v>45402</v>
          </cell>
          <cell r="B599">
            <v>20</v>
          </cell>
          <cell r="C599">
            <v>42902.59999999404</v>
          </cell>
          <cell r="D599">
            <v>4.9800000000000004</v>
          </cell>
          <cell r="E599">
            <v>10.1</v>
          </cell>
        </row>
        <row r="600">
          <cell r="A600">
            <v>45403</v>
          </cell>
          <cell r="B600">
            <v>21</v>
          </cell>
          <cell r="C600">
            <v>57850.64999999851</v>
          </cell>
          <cell r="D600">
            <v>6.7</v>
          </cell>
          <cell r="E600">
            <v>10.1</v>
          </cell>
        </row>
        <row r="601">
          <cell r="A601">
            <v>45404</v>
          </cell>
          <cell r="B601">
            <v>22</v>
          </cell>
          <cell r="C601">
            <v>59148.70000000298</v>
          </cell>
          <cell r="D601">
            <v>7.08</v>
          </cell>
          <cell r="E601">
            <v>10</v>
          </cell>
        </row>
        <row r="602">
          <cell r="A602">
            <v>45405</v>
          </cell>
          <cell r="B602">
            <v>23</v>
          </cell>
          <cell r="C602">
            <v>61100</v>
          </cell>
          <cell r="D602">
            <v>7.18</v>
          </cell>
          <cell r="E602">
            <v>10.199999999999999</v>
          </cell>
        </row>
        <row r="603">
          <cell r="A603">
            <v>45406</v>
          </cell>
          <cell r="B603">
            <v>24</v>
          </cell>
          <cell r="C603">
            <v>59148.04999999702</v>
          </cell>
          <cell r="D603">
            <v>6.81</v>
          </cell>
          <cell r="E603">
            <v>10</v>
          </cell>
        </row>
        <row r="604">
          <cell r="A604">
            <v>45407</v>
          </cell>
          <cell r="B604">
            <v>25</v>
          </cell>
          <cell r="C604">
            <v>55252.60000000149</v>
          </cell>
          <cell r="D604">
            <v>5.77</v>
          </cell>
          <cell r="E604">
            <v>9.9</v>
          </cell>
        </row>
        <row r="605">
          <cell r="A605">
            <v>45408</v>
          </cell>
          <cell r="B605">
            <v>26</v>
          </cell>
          <cell r="C605">
            <v>58497.39999999851</v>
          </cell>
          <cell r="D605">
            <v>6.2</v>
          </cell>
          <cell r="E605">
            <v>10.199999999999999</v>
          </cell>
        </row>
        <row r="606">
          <cell r="A606">
            <v>45409</v>
          </cell>
          <cell r="B606">
            <v>27</v>
          </cell>
          <cell r="C606">
            <v>60453.250000007451</v>
          </cell>
          <cell r="D606">
            <v>6.42</v>
          </cell>
          <cell r="E606">
            <v>10.1</v>
          </cell>
        </row>
        <row r="607">
          <cell r="A607">
            <v>45410</v>
          </cell>
          <cell r="B607">
            <v>28</v>
          </cell>
          <cell r="C607">
            <v>58498.04999999702</v>
          </cell>
          <cell r="D607">
            <v>6.3</v>
          </cell>
          <cell r="E607">
            <v>9.9</v>
          </cell>
        </row>
        <row r="608">
          <cell r="A608">
            <v>45411</v>
          </cell>
          <cell r="B608">
            <v>29</v>
          </cell>
          <cell r="C608">
            <v>58501.29999999702</v>
          </cell>
          <cell r="D608">
            <v>6.25</v>
          </cell>
          <cell r="E608">
            <v>10</v>
          </cell>
        </row>
        <row r="609">
          <cell r="A609">
            <v>45412</v>
          </cell>
          <cell r="B609">
            <v>30</v>
          </cell>
          <cell r="C609">
            <v>57851.29999999702</v>
          </cell>
          <cell r="D609">
            <v>6.23</v>
          </cell>
          <cell r="E609">
            <v>10.1</v>
          </cell>
        </row>
        <row r="610">
          <cell r="A610">
            <v>45413</v>
          </cell>
          <cell r="B610">
            <v>31</v>
          </cell>
          <cell r="C610">
            <v>50698.05000000447</v>
          </cell>
          <cell r="D610">
            <v>5.59</v>
          </cell>
          <cell r="E610">
            <v>9.8000000000000007</v>
          </cell>
        </row>
        <row r="611">
          <cell r="A611">
            <v>45414</v>
          </cell>
          <cell r="B611">
            <v>32</v>
          </cell>
          <cell r="C611">
            <v>49400</v>
          </cell>
          <cell r="D611">
            <v>5.25</v>
          </cell>
          <cell r="E611">
            <v>9.9</v>
          </cell>
        </row>
        <row r="612">
          <cell r="A612">
            <v>45415</v>
          </cell>
          <cell r="B612">
            <v>33</v>
          </cell>
          <cell r="C612">
            <v>31199.35000000149</v>
          </cell>
          <cell r="D612">
            <v>3.05</v>
          </cell>
          <cell r="E612">
            <v>10</v>
          </cell>
        </row>
        <row r="613">
          <cell r="A613">
            <v>45416</v>
          </cell>
          <cell r="B613">
            <v>34</v>
          </cell>
          <cell r="C613">
            <v>53300</v>
          </cell>
          <cell r="D613">
            <v>5.78</v>
          </cell>
          <cell r="E613">
            <v>9.8000000000000007</v>
          </cell>
        </row>
        <row r="614">
          <cell r="A614">
            <v>45417</v>
          </cell>
          <cell r="B614">
            <v>35</v>
          </cell>
          <cell r="C614">
            <v>51999.34999999404</v>
          </cell>
          <cell r="D614">
            <v>5.86</v>
          </cell>
          <cell r="E614">
            <v>9.5</v>
          </cell>
        </row>
        <row r="615">
          <cell r="A615">
            <v>45418</v>
          </cell>
          <cell r="B615">
            <v>36</v>
          </cell>
          <cell r="C615">
            <v>44199.350000008941</v>
          </cell>
          <cell r="D615">
            <v>4.6900000000000004</v>
          </cell>
          <cell r="E615">
            <v>9.8000000000000007</v>
          </cell>
        </row>
        <row r="616">
          <cell r="A616">
            <v>45419</v>
          </cell>
          <cell r="B616">
            <v>37</v>
          </cell>
          <cell r="C616">
            <v>57851.29999999702</v>
          </cell>
          <cell r="D616">
            <v>5.96</v>
          </cell>
          <cell r="E616">
            <v>10.1</v>
          </cell>
        </row>
        <row r="617">
          <cell r="A617">
            <v>45420</v>
          </cell>
          <cell r="B617">
            <v>38</v>
          </cell>
          <cell r="C617">
            <v>40299.35000000149</v>
          </cell>
          <cell r="D617">
            <v>3.95</v>
          </cell>
          <cell r="E617">
            <v>10</v>
          </cell>
        </row>
        <row r="618">
          <cell r="A618">
            <v>45421</v>
          </cell>
          <cell r="B618">
            <v>39</v>
          </cell>
          <cell r="C618">
            <v>50051.29999999702</v>
          </cell>
          <cell r="D618">
            <v>5.74</v>
          </cell>
          <cell r="E618">
            <v>9.9</v>
          </cell>
        </row>
        <row r="619">
          <cell r="A619">
            <v>45422</v>
          </cell>
          <cell r="B619">
            <v>40</v>
          </cell>
          <cell r="C619">
            <v>35098.69999999553</v>
          </cell>
          <cell r="D619">
            <v>3.61</v>
          </cell>
          <cell r="E619">
            <v>9.9</v>
          </cell>
        </row>
        <row r="620">
          <cell r="A620">
            <v>45423</v>
          </cell>
          <cell r="B620">
            <v>41</v>
          </cell>
          <cell r="C620">
            <v>33150.65000000596</v>
          </cell>
          <cell r="D620">
            <v>4.67</v>
          </cell>
          <cell r="E620">
            <v>10.1</v>
          </cell>
        </row>
        <row r="621">
          <cell r="A621">
            <v>45424</v>
          </cell>
          <cell r="B621">
            <v>42</v>
          </cell>
          <cell r="C621">
            <v>35102.60000000149</v>
          </cell>
          <cell r="D621">
            <v>3.5</v>
          </cell>
          <cell r="E621">
            <v>9.9</v>
          </cell>
        </row>
        <row r="622">
          <cell r="A622">
            <v>45425</v>
          </cell>
          <cell r="B622">
            <v>43</v>
          </cell>
          <cell r="C622">
            <v>50698.04999999702</v>
          </cell>
          <cell r="D622">
            <v>5.3</v>
          </cell>
          <cell r="E622">
            <v>10.5</v>
          </cell>
        </row>
        <row r="623">
          <cell r="A623">
            <v>45426</v>
          </cell>
          <cell r="B623">
            <v>44</v>
          </cell>
          <cell r="C623">
            <v>51999.35000000149</v>
          </cell>
          <cell r="D623">
            <v>5.3</v>
          </cell>
          <cell r="E623">
            <v>10.7</v>
          </cell>
        </row>
        <row r="624">
          <cell r="A624">
            <v>45427</v>
          </cell>
          <cell r="B624">
            <v>45</v>
          </cell>
          <cell r="C624">
            <v>42251.29999999702</v>
          </cell>
          <cell r="D624">
            <v>4.1100000000000003</v>
          </cell>
          <cell r="E624">
            <v>10.199999999999999</v>
          </cell>
        </row>
        <row r="625">
          <cell r="A625">
            <v>45428</v>
          </cell>
          <cell r="B625">
            <v>46</v>
          </cell>
          <cell r="C625">
            <v>41600.65000000596</v>
          </cell>
          <cell r="D625">
            <v>3.95</v>
          </cell>
          <cell r="E625">
            <v>8.5</v>
          </cell>
        </row>
        <row r="626">
          <cell r="A626">
            <v>45429</v>
          </cell>
          <cell r="B626">
            <v>47</v>
          </cell>
          <cell r="C626">
            <v>18848.69999999553</v>
          </cell>
          <cell r="D626">
            <v>1.54</v>
          </cell>
          <cell r="E626">
            <v>4.5</v>
          </cell>
        </row>
        <row r="627">
          <cell r="A627">
            <v>45430</v>
          </cell>
          <cell r="B627">
            <v>48</v>
          </cell>
          <cell r="C627">
            <v>42898.69999999553</v>
          </cell>
          <cell r="D627">
            <v>4.24</v>
          </cell>
          <cell r="E627">
            <v>10</v>
          </cell>
        </row>
        <row r="628">
          <cell r="A628">
            <v>45431</v>
          </cell>
          <cell r="B628">
            <v>49</v>
          </cell>
          <cell r="C628">
            <v>39001.95000000298</v>
          </cell>
          <cell r="D628">
            <v>3.88</v>
          </cell>
          <cell r="E628">
            <v>10.5</v>
          </cell>
        </row>
        <row r="629">
          <cell r="A629">
            <v>45432</v>
          </cell>
          <cell r="B629">
            <v>50</v>
          </cell>
          <cell r="C629">
            <v>38348.05000000447</v>
          </cell>
          <cell r="D629">
            <v>3.65</v>
          </cell>
          <cell r="E629">
            <v>10.4</v>
          </cell>
        </row>
        <row r="630">
          <cell r="A630">
            <v>45433</v>
          </cell>
          <cell r="B630">
            <v>51</v>
          </cell>
          <cell r="C630">
            <v>46801.94999999553</v>
          </cell>
          <cell r="D630">
            <v>4.66</v>
          </cell>
          <cell r="E630">
            <v>10.8</v>
          </cell>
        </row>
        <row r="631">
          <cell r="A631">
            <v>45434</v>
          </cell>
          <cell r="B631">
            <v>52</v>
          </cell>
          <cell r="C631">
            <v>42247.40000000596</v>
          </cell>
          <cell r="D631">
            <v>4.0599999999999996</v>
          </cell>
          <cell r="E631">
            <v>10.5</v>
          </cell>
        </row>
        <row r="632">
          <cell r="A632">
            <v>45435</v>
          </cell>
          <cell r="B632">
            <v>53</v>
          </cell>
          <cell r="C632">
            <v>52003.249999992549</v>
          </cell>
          <cell r="D632">
            <v>5.21</v>
          </cell>
          <cell r="E632">
            <v>10</v>
          </cell>
        </row>
        <row r="633">
          <cell r="A633">
            <v>45436</v>
          </cell>
          <cell r="B633">
            <v>54</v>
          </cell>
          <cell r="C633">
            <v>37697.40000000596</v>
          </cell>
          <cell r="D633">
            <v>3.49</v>
          </cell>
          <cell r="E633">
            <v>9.1999999999999993</v>
          </cell>
        </row>
        <row r="634">
          <cell r="A634">
            <v>45437</v>
          </cell>
          <cell r="B634">
            <v>55</v>
          </cell>
          <cell r="C634">
            <v>35102.59999999404</v>
          </cell>
          <cell r="D634">
            <v>3.22</v>
          </cell>
          <cell r="E634">
            <v>9.5</v>
          </cell>
        </row>
        <row r="635">
          <cell r="A635">
            <v>45438</v>
          </cell>
          <cell r="B635">
            <v>56</v>
          </cell>
          <cell r="C635">
            <v>48750</v>
          </cell>
          <cell r="D635">
            <v>4.6500000000000004</v>
          </cell>
          <cell r="E635">
            <v>8.1999999999999993</v>
          </cell>
        </row>
        <row r="636">
          <cell r="A636">
            <v>45439</v>
          </cell>
          <cell r="B636">
            <v>57</v>
          </cell>
          <cell r="C636">
            <v>48750</v>
          </cell>
          <cell r="D636">
            <v>4.7</v>
          </cell>
          <cell r="E636">
            <v>7.2</v>
          </cell>
        </row>
        <row r="637">
          <cell r="A637">
            <v>45440</v>
          </cell>
          <cell r="B637">
            <v>58</v>
          </cell>
          <cell r="C637">
            <v>51348.70000000298</v>
          </cell>
          <cell r="D637">
            <v>4.8899999999999997</v>
          </cell>
          <cell r="E637">
            <v>8.6</v>
          </cell>
        </row>
        <row r="638">
          <cell r="A638">
            <v>45441</v>
          </cell>
          <cell r="B638">
            <v>59</v>
          </cell>
          <cell r="C638">
            <v>46801.94999999553</v>
          </cell>
          <cell r="D638">
            <v>4.46</v>
          </cell>
          <cell r="E638">
            <v>8.9</v>
          </cell>
        </row>
        <row r="639">
          <cell r="A639">
            <v>45442</v>
          </cell>
          <cell r="B639">
            <v>60</v>
          </cell>
          <cell r="C639">
            <v>52649.350000008941</v>
          </cell>
          <cell r="D639">
            <v>5.33</v>
          </cell>
          <cell r="E639">
            <v>9.9</v>
          </cell>
        </row>
        <row r="640">
          <cell r="A640">
            <v>45443</v>
          </cell>
          <cell r="B640">
            <v>61</v>
          </cell>
          <cell r="C640">
            <v>52649.999999992549</v>
          </cell>
          <cell r="D640">
            <v>5.21</v>
          </cell>
          <cell r="E640">
            <v>10.1</v>
          </cell>
        </row>
        <row r="641">
          <cell r="A641">
            <v>45444</v>
          </cell>
          <cell r="B641">
            <v>62</v>
          </cell>
          <cell r="C641">
            <v>46147.40000000596</v>
          </cell>
          <cell r="D641">
            <v>4.5199999999999996</v>
          </cell>
          <cell r="E641">
            <v>10.199999999999999</v>
          </cell>
        </row>
        <row r="642">
          <cell r="A642">
            <v>45445</v>
          </cell>
          <cell r="B642">
            <v>63</v>
          </cell>
          <cell r="C642">
            <v>44199.999999992549</v>
          </cell>
          <cell r="D642">
            <v>4.4000000000000004</v>
          </cell>
          <cell r="E642">
            <v>10</v>
          </cell>
        </row>
        <row r="643">
          <cell r="A643">
            <v>45446</v>
          </cell>
          <cell r="B643">
            <v>64</v>
          </cell>
          <cell r="C643">
            <v>43552.600000008941</v>
          </cell>
          <cell r="D643">
            <v>4.1399999999999997</v>
          </cell>
          <cell r="E643">
            <v>10.199999999999999</v>
          </cell>
        </row>
        <row r="644">
          <cell r="A644">
            <v>45447</v>
          </cell>
          <cell r="B644">
            <v>65</v>
          </cell>
          <cell r="C644">
            <v>40950</v>
          </cell>
          <cell r="D644">
            <v>3.92</v>
          </cell>
          <cell r="E644">
            <v>10.1</v>
          </cell>
        </row>
        <row r="645">
          <cell r="A645">
            <v>45448</v>
          </cell>
          <cell r="B645">
            <v>66</v>
          </cell>
          <cell r="C645">
            <v>25998.04999999702</v>
          </cell>
          <cell r="D645">
            <v>2.39</v>
          </cell>
          <cell r="E645">
            <v>10.5</v>
          </cell>
        </row>
        <row r="646">
          <cell r="A646">
            <v>45449</v>
          </cell>
          <cell r="B646">
            <v>67</v>
          </cell>
          <cell r="C646">
            <v>40299.35000000149</v>
          </cell>
          <cell r="D646">
            <v>3.93</v>
          </cell>
          <cell r="E646">
            <v>9</v>
          </cell>
        </row>
        <row r="647">
          <cell r="A647">
            <v>45450</v>
          </cell>
          <cell r="B647">
            <v>68</v>
          </cell>
          <cell r="C647">
            <v>35749.34999999404</v>
          </cell>
          <cell r="D647">
            <v>3.28</v>
          </cell>
          <cell r="E647">
            <v>9.1</v>
          </cell>
        </row>
        <row r="648">
          <cell r="A648">
            <v>45451</v>
          </cell>
          <cell r="B648">
            <v>69</v>
          </cell>
          <cell r="C648">
            <v>48750</v>
          </cell>
          <cell r="D648">
            <v>4.72</v>
          </cell>
          <cell r="E648">
            <v>10.4</v>
          </cell>
        </row>
        <row r="649">
          <cell r="A649">
            <v>45452</v>
          </cell>
          <cell r="B649">
            <v>70</v>
          </cell>
          <cell r="C649">
            <v>49400.64999999851</v>
          </cell>
          <cell r="D649">
            <v>4.82</v>
          </cell>
          <cell r="E649">
            <v>10.8</v>
          </cell>
        </row>
        <row r="650">
          <cell r="A650">
            <v>45453</v>
          </cell>
          <cell r="B650">
            <v>71</v>
          </cell>
          <cell r="C650">
            <v>42251.30000000447</v>
          </cell>
          <cell r="D650">
            <v>4</v>
          </cell>
          <cell r="E650">
            <v>10.9</v>
          </cell>
        </row>
        <row r="651">
          <cell r="A651">
            <v>45454</v>
          </cell>
          <cell r="B651">
            <v>72</v>
          </cell>
          <cell r="C651">
            <v>43549.35000000149</v>
          </cell>
          <cell r="D651">
            <v>4.08</v>
          </cell>
          <cell r="E651">
            <v>10</v>
          </cell>
        </row>
        <row r="652">
          <cell r="A652">
            <v>45455</v>
          </cell>
          <cell r="B652">
            <v>73</v>
          </cell>
          <cell r="C652">
            <v>37050.64999999851</v>
          </cell>
          <cell r="D652">
            <v>3.4</v>
          </cell>
          <cell r="E652">
            <v>10.199999999999999</v>
          </cell>
        </row>
        <row r="653">
          <cell r="A653">
            <v>45456</v>
          </cell>
          <cell r="B653">
            <v>74</v>
          </cell>
          <cell r="C653">
            <v>44850</v>
          </cell>
          <cell r="D653">
            <v>4.26</v>
          </cell>
          <cell r="E653">
            <v>10.5</v>
          </cell>
        </row>
        <row r="654">
          <cell r="A654">
            <v>45457</v>
          </cell>
          <cell r="B654">
            <v>75</v>
          </cell>
          <cell r="C654">
            <v>45500.64999999851</v>
          </cell>
          <cell r="D654">
            <v>4.3899999999999997</v>
          </cell>
          <cell r="E654">
            <v>10.7</v>
          </cell>
        </row>
        <row r="655">
          <cell r="A655">
            <v>45458</v>
          </cell>
          <cell r="B655">
            <v>76</v>
          </cell>
          <cell r="C655">
            <v>43548.70000000298</v>
          </cell>
          <cell r="D655">
            <v>4.41</v>
          </cell>
          <cell r="E655">
            <v>9.5</v>
          </cell>
        </row>
        <row r="656">
          <cell r="A656">
            <v>45459</v>
          </cell>
          <cell r="B656">
            <v>77</v>
          </cell>
          <cell r="C656">
            <v>46151.29999999702</v>
          </cell>
          <cell r="D656">
            <v>4.3899999999999997</v>
          </cell>
          <cell r="E656">
            <v>10.3</v>
          </cell>
        </row>
        <row r="657">
          <cell r="A657">
            <v>45460</v>
          </cell>
          <cell r="B657">
            <v>78</v>
          </cell>
          <cell r="C657">
            <v>53947.39999999851</v>
          </cell>
          <cell r="D657">
            <v>5.37</v>
          </cell>
          <cell r="E657">
            <v>10.199999999999999</v>
          </cell>
        </row>
        <row r="658">
          <cell r="A658">
            <v>45461</v>
          </cell>
          <cell r="B658">
            <v>79</v>
          </cell>
          <cell r="C658">
            <v>41601.30000000447</v>
          </cell>
          <cell r="D658">
            <v>3.93</v>
          </cell>
          <cell r="E658">
            <v>10.1</v>
          </cell>
        </row>
        <row r="659">
          <cell r="A659">
            <v>45462</v>
          </cell>
          <cell r="B659">
            <v>80</v>
          </cell>
          <cell r="C659">
            <v>42251.29999999702</v>
          </cell>
          <cell r="D659">
            <v>3.93</v>
          </cell>
          <cell r="E659">
            <v>7.5</v>
          </cell>
        </row>
        <row r="660">
          <cell r="A660">
            <v>45463</v>
          </cell>
          <cell r="B660">
            <v>81</v>
          </cell>
          <cell r="C660">
            <v>48750</v>
          </cell>
          <cell r="D660">
            <v>4.5999999999999996</v>
          </cell>
          <cell r="E660">
            <v>9</v>
          </cell>
        </row>
        <row r="661">
          <cell r="A661">
            <v>45464</v>
          </cell>
          <cell r="B661">
            <v>82</v>
          </cell>
          <cell r="C661">
            <v>48099.35000000149</v>
          </cell>
          <cell r="D661">
            <v>4.49</v>
          </cell>
          <cell r="E661">
            <v>10.3</v>
          </cell>
        </row>
        <row r="662">
          <cell r="A662">
            <v>45465</v>
          </cell>
          <cell r="B662">
            <v>83</v>
          </cell>
          <cell r="C662">
            <v>48099.35000000149</v>
          </cell>
          <cell r="D662">
            <v>4.3</v>
          </cell>
          <cell r="E662">
            <v>9.9</v>
          </cell>
        </row>
        <row r="663">
          <cell r="A663">
            <v>45466</v>
          </cell>
          <cell r="B663">
            <v>84</v>
          </cell>
          <cell r="C663">
            <v>49400.64999999851</v>
          </cell>
          <cell r="D663">
            <v>4.49</v>
          </cell>
          <cell r="E663">
            <v>10.199999999999999</v>
          </cell>
        </row>
        <row r="664">
          <cell r="A664">
            <v>45467</v>
          </cell>
          <cell r="B664">
            <v>85</v>
          </cell>
          <cell r="C664">
            <v>44850</v>
          </cell>
          <cell r="D664">
            <v>3.84</v>
          </cell>
          <cell r="E664">
            <v>9.9</v>
          </cell>
        </row>
        <row r="665">
          <cell r="A665">
            <v>45468</v>
          </cell>
          <cell r="B665">
            <v>86</v>
          </cell>
          <cell r="C665">
            <v>44200</v>
          </cell>
          <cell r="D665">
            <v>3.86</v>
          </cell>
          <cell r="E665">
            <v>10.7</v>
          </cell>
        </row>
        <row r="666">
          <cell r="A666">
            <v>45469</v>
          </cell>
          <cell r="B666">
            <v>87</v>
          </cell>
          <cell r="C666">
            <v>31849.35000000149</v>
          </cell>
          <cell r="D666">
            <v>2.56</v>
          </cell>
          <cell r="E666">
            <v>6.5</v>
          </cell>
        </row>
        <row r="667">
          <cell r="A667">
            <v>45470</v>
          </cell>
          <cell r="B667">
            <v>88</v>
          </cell>
          <cell r="C667">
            <v>31849.34999999404</v>
          </cell>
          <cell r="D667">
            <v>5.0199999999999996</v>
          </cell>
          <cell r="E667">
            <v>6.5</v>
          </cell>
        </row>
        <row r="668">
          <cell r="A668">
            <v>45471</v>
          </cell>
          <cell r="B668">
            <v>89</v>
          </cell>
          <cell r="C668">
            <v>53950.65000000596</v>
          </cell>
          <cell r="D668">
            <v>4.62</v>
          </cell>
          <cell r="E668">
            <v>10.7</v>
          </cell>
        </row>
        <row r="669">
          <cell r="A669">
            <v>45472</v>
          </cell>
          <cell r="B669">
            <v>90</v>
          </cell>
          <cell r="C669">
            <v>45500.64999999851</v>
          </cell>
          <cell r="D669">
            <v>3.88</v>
          </cell>
          <cell r="E669">
            <v>10.1</v>
          </cell>
        </row>
        <row r="670">
          <cell r="A670">
            <v>45473</v>
          </cell>
          <cell r="B670">
            <v>91</v>
          </cell>
          <cell r="C670">
            <v>5848.0499999970198</v>
          </cell>
          <cell r="D670">
            <v>5.43</v>
          </cell>
          <cell r="E670">
            <v>5.5</v>
          </cell>
        </row>
        <row r="671">
          <cell r="A671">
            <v>45474</v>
          </cell>
          <cell r="B671">
            <v>92</v>
          </cell>
          <cell r="C671">
            <v>38351.95000000298</v>
          </cell>
          <cell r="D671">
            <v>3.1</v>
          </cell>
          <cell r="E671">
            <v>9.5</v>
          </cell>
        </row>
        <row r="672">
          <cell r="A672">
            <v>45475</v>
          </cell>
          <cell r="B672">
            <v>93</v>
          </cell>
          <cell r="C672">
            <v>47448.70000000298</v>
          </cell>
          <cell r="D672">
            <v>4.09</v>
          </cell>
          <cell r="E672">
            <v>10.3</v>
          </cell>
        </row>
        <row r="673">
          <cell r="A673">
            <v>45476</v>
          </cell>
          <cell r="B673">
            <v>94</v>
          </cell>
          <cell r="C673">
            <v>52003.249999992549</v>
          </cell>
          <cell r="D673">
            <v>4.49</v>
          </cell>
          <cell r="E673">
            <v>10.1</v>
          </cell>
        </row>
        <row r="674">
          <cell r="A674">
            <v>45477</v>
          </cell>
          <cell r="B674">
            <v>95</v>
          </cell>
          <cell r="C674">
            <v>39648.70000000298</v>
          </cell>
          <cell r="D674">
            <v>3.14</v>
          </cell>
          <cell r="E674">
            <v>10</v>
          </cell>
        </row>
        <row r="675">
          <cell r="A675">
            <v>45478</v>
          </cell>
          <cell r="B675">
            <v>96</v>
          </cell>
          <cell r="C675">
            <v>47448.70000000298</v>
          </cell>
          <cell r="D675">
            <v>4.6900000000000004</v>
          </cell>
          <cell r="E675">
            <v>10.6</v>
          </cell>
        </row>
        <row r="676">
          <cell r="A676">
            <v>45479</v>
          </cell>
          <cell r="B676">
            <v>97</v>
          </cell>
          <cell r="C676">
            <v>28600.64999999851</v>
          </cell>
          <cell r="D676">
            <v>2.33</v>
          </cell>
          <cell r="E676">
            <v>4</v>
          </cell>
        </row>
        <row r="677">
          <cell r="A677">
            <v>45480</v>
          </cell>
          <cell r="B677">
            <v>98</v>
          </cell>
          <cell r="C677">
            <v>42251.30000000447</v>
          </cell>
          <cell r="D677">
            <v>4.07</v>
          </cell>
          <cell r="E677">
            <v>9.8000000000000007</v>
          </cell>
        </row>
        <row r="678">
          <cell r="A678">
            <v>45481</v>
          </cell>
          <cell r="B678">
            <v>99</v>
          </cell>
          <cell r="C678">
            <v>44849.999999992549</v>
          </cell>
          <cell r="D678">
            <v>4.1900000000000004</v>
          </cell>
          <cell r="E678">
            <v>8.9</v>
          </cell>
        </row>
        <row r="679">
          <cell r="A679">
            <v>45482</v>
          </cell>
          <cell r="B679">
            <v>100</v>
          </cell>
          <cell r="C679">
            <v>38998.70000000298</v>
          </cell>
          <cell r="D679">
            <v>3.49</v>
          </cell>
          <cell r="E679">
            <v>8.5</v>
          </cell>
        </row>
        <row r="680">
          <cell r="A680">
            <v>45483</v>
          </cell>
          <cell r="B680">
            <v>101</v>
          </cell>
          <cell r="C680">
            <v>61750.64999999851</v>
          </cell>
          <cell r="D680">
            <v>6.26</v>
          </cell>
          <cell r="E680">
            <v>10</v>
          </cell>
        </row>
        <row r="681">
          <cell r="A681">
            <v>45484</v>
          </cell>
          <cell r="B681">
            <v>102</v>
          </cell>
          <cell r="C681">
            <v>51352.60000000149</v>
          </cell>
          <cell r="D681">
            <v>4.9000000000000004</v>
          </cell>
          <cell r="E681">
            <v>10.5</v>
          </cell>
        </row>
        <row r="682">
          <cell r="A682">
            <v>45485</v>
          </cell>
          <cell r="B682">
            <v>103</v>
          </cell>
          <cell r="C682">
            <v>52646.09999999404</v>
          </cell>
          <cell r="D682">
            <v>5.13</v>
          </cell>
          <cell r="E682">
            <v>10.8</v>
          </cell>
        </row>
        <row r="683">
          <cell r="A683">
            <v>45486</v>
          </cell>
          <cell r="B683">
            <v>104</v>
          </cell>
          <cell r="C683">
            <v>40950.000000007451</v>
          </cell>
          <cell r="D683">
            <v>3.94</v>
          </cell>
          <cell r="E683">
            <v>9</v>
          </cell>
        </row>
        <row r="684">
          <cell r="A684">
            <v>45487</v>
          </cell>
          <cell r="B684">
            <v>105</v>
          </cell>
          <cell r="C684">
            <v>30548.049999989569</v>
          </cell>
          <cell r="D684">
            <v>2.5</v>
          </cell>
          <cell r="E684">
            <v>5</v>
          </cell>
        </row>
        <row r="685">
          <cell r="A685">
            <v>45488</v>
          </cell>
          <cell r="B685">
            <v>106</v>
          </cell>
          <cell r="C685">
            <v>22105.850000008941</v>
          </cell>
          <cell r="D685">
            <v>1.62</v>
          </cell>
          <cell r="E685">
            <v>4.5</v>
          </cell>
        </row>
        <row r="686">
          <cell r="A686">
            <v>45489</v>
          </cell>
          <cell r="B686">
            <v>107</v>
          </cell>
          <cell r="C686">
            <v>31849.350000008941</v>
          </cell>
          <cell r="D686">
            <v>2.67</v>
          </cell>
          <cell r="E686">
            <v>7.5</v>
          </cell>
        </row>
        <row r="687">
          <cell r="A687">
            <v>45490</v>
          </cell>
          <cell r="B687">
            <v>108</v>
          </cell>
          <cell r="C687">
            <v>40299.34999999404</v>
          </cell>
          <cell r="D687">
            <v>3.55</v>
          </cell>
          <cell r="E687">
            <v>10.4</v>
          </cell>
        </row>
        <row r="688">
          <cell r="A688">
            <v>45491</v>
          </cell>
          <cell r="B688">
            <v>109</v>
          </cell>
          <cell r="C688">
            <v>40950.65000000596</v>
          </cell>
          <cell r="D688">
            <v>3.59</v>
          </cell>
          <cell r="E688">
            <v>10.5</v>
          </cell>
        </row>
        <row r="689">
          <cell r="A689">
            <v>45492</v>
          </cell>
          <cell r="B689">
            <v>110</v>
          </cell>
          <cell r="C689">
            <v>35094.799999989569</v>
          </cell>
          <cell r="D689">
            <v>2.9</v>
          </cell>
          <cell r="E689">
            <v>10.1</v>
          </cell>
        </row>
        <row r="690">
          <cell r="A690">
            <v>45493</v>
          </cell>
          <cell r="B690">
            <v>111</v>
          </cell>
          <cell r="C690">
            <v>37053.90000000596</v>
          </cell>
          <cell r="D690">
            <v>3.24</v>
          </cell>
          <cell r="E690">
            <v>7.6</v>
          </cell>
        </row>
        <row r="691">
          <cell r="A691">
            <v>45494</v>
          </cell>
          <cell r="B691">
            <v>112</v>
          </cell>
          <cell r="C691">
            <v>33801.29999999702</v>
          </cell>
          <cell r="D691">
            <v>2.86</v>
          </cell>
          <cell r="E691">
            <v>9.9</v>
          </cell>
        </row>
        <row r="692">
          <cell r="A692">
            <v>45495</v>
          </cell>
          <cell r="B692">
            <v>113</v>
          </cell>
          <cell r="C692">
            <v>42244.15000000596</v>
          </cell>
          <cell r="D692">
            <v>3.76</v>
          </cell>
          <cell r="E692">
            <v>9.1999999999999993</v>
          </cell>
        </row>
        <row r="693">
          <cell r="A693">
            <v>45496</v>
          </cell>
          <cell r="B693">
            <v>114</v>
          </cell>
          <cell r="C693">
            <v>27302.59999999404</v>
          </cell>
          <cell r="D693">
            <v>2.2999999999999998</v>
          </cell>
          <cell r="E693">
            <v>8.5</v>
          </cell>
        </row>
        <row r="694">
          <cell r="A694">
            <v>45497</v>
          </cell>
          <cell r="B694">
            <v>115</v>
          </cell>
          <cell r="C694">
            <v>31198.70000000298</v>
          </cell>
          <cell r="D694">
            <v>2.58</v>
          </cell>
          <cell r="E694">
            <v>8</v>
          </cell>
        </row>
        <row r="695">
          <cell r="A695">
            <v>45498</v>
          </cell>
          <cell r="B695">
            <v>116</v>
          </cell>
          <cell r="C695">
            <v>31849.349999986589</v>
          </cell>
          <cell r="D695">
            <v>2.7</v>
          </cell>
          <cell r="E695">
            <v>10.5</v>
          </cell>
        </row>
        <row r="696">
          <cell r="A696">
            <v>45499</v>
          </cell>
          <cell r="B696">
            <v>117</v>
          </cell>
          <cell r="C696">
            <v>29254.550000011921</v>
          </cell>
          <cell r="D696">
            <v>2.4700000000000002</v>
          </cell>
          <cell r="E696">
            <v>10.5</v>
          </cell>
        </row>
        <row r="697">
          <cell r="A697">
            <v>45500</v>
          </cell>
          <cell r="B697">
            <v>118</v>
          </cell>
          <cell r="C697">
            <v>48750</v>
          </cell>
          <cell r="D697">
            <v>4.51</v>
          </cell>
          <cell r="E697">
            <v>10.9</v>
          </cell>
        </row>
        <row r="698">
          <cell r="A698">
            <v>45501</v>
          </cell>
          <cell r="B698">
            <v>119</v>
          </cell>
          <cell r="C698">
            <v>53296.75</v>
          </cell>
          <cell r="D698">
            <v>5.14</v>
          </cell>
          <cell r="E698">
            <v>9.9</v>
          </cell>
        </row>
        <row r="699">
          <cell r="A699">
            <v>45502</v>
          </cell>
          <cell r="B699">
            <v>120</v>
          </cell>
          <cell r="C699">
            <v>43552.59999999404</v>
          </cell>
          <cell r="D699">
            <v>4.0599999999999996</v>
          </cell>
          <cell r="E699">
            <v>10.5</v>
          </cell>
        </row>
        <row r="700">
          <cell r="A700">
            <v>45503</v>
          </cell>
          <cell r="B700">
            <v>121</v>
          </cell>
          <cell r="C700">
            <v>43545.45000000298</v>
          </cell>
          <cell r="D700">
            <v>3.88</v>
          </cell>
          <cell r="E700">
            <v>10.9</v>
          </cell>
        </row>
        <row r="701">
          <cell r="A701">
            <v>45504</v>
          </cell>
          <cell r="B701">
            <v>122</v>
          </cell>
          <cell r="C701">
            <v>35102.59999999404</v>
          </cell>
          <cell r="D701">
            <v>3.18</v>
          </cell>
          <cell r="E701">
            <v>10.7</v>
          </cell>
        </row>
        <row r="702">
          <cell r="A702">
            <v>45505</v>
          </cell>
          <cell r="B702">
            <v>123</v>
          </cell>
          <cell r="C702">
            <v>48750</v>
          </cell>
          <cell r="D702">
            <v>4.75</v>
          </cell>
          <cell r="E702">
            <v>10.1</v>
          </cell>
        </row>
        <row r="703">
          <cell r="A703">
            <v>45506</v>
          </cell>
          <cell r="B703">
            <v>124</v>
          </cell>
          <cell r="C703">
            <v>44203.250000014901</v>
          </cell>
          <cell r="D703">
            <v>4.09</v>
          </cell>
          <cell r="E703">
            <v>10</v>
          </cell>
        </row>
        <row r="704">
          <cell r="A704">
            <v>45507</v>
          </cell>
          <cell r="B704">
            <v>125</v>
          </cell>
          <cell r="C704">
            <v>41600.649999991059</v>
          </cell>
          <cell r="D704">
            <v>3.83</v>
          </cell>
          <cell r="E704">
            <v>9.9</v>
          </cell>
        </row>
        <row r="705">
          <cell r="A705">
            <v>45508</v>
          </cell>
          <cell r="B705">
            <v>126</v>
          </cell>
          <cell r="C705">
            <v>54598.04999999702</v>
          </cell>
          <cell r="D705">
            <v>5.18</v>
          </cell>
          <cell r="E705">
            <v>10.5</v>
          </cell>
        </row>
        <row r="706">
          <cell r="A706">
            <v>45509</v>
          </cell>
          <cell r="B706">
            <v>127</v>
          </cell>
          <cell r="C706">
            <v>46147.40000000596</v>
          </cell>
          <cell r="D706">
            <v>4.1399999999999997</v>
          </cell>
          <cell r="E706">
            <v>10.3</v>
          </cell>
        </row>
        <row r="707">
          <cell r="A707">
            <v>45510</v>
          </cell>
          <cell r="B707">
            <v>128</v>
          </cell>
          <cell r="C707">
            <v>40300</v>
          </cell>
          <cell r="D707">
            <v>3.78</v>
          </cell>
          <cell r="E707">
            <v>9.9</v>
          </cell>
        </row>
        <row r="708">
          <cell r="A708">
            <v>45511</v>
          </cell>
          <cell r="B708">
            <v>129</v>
          </cell>
          <cell r="C708">
            <v>38347.399999991059</v>
          </cell>
          <cell r="D708">
            <v>3.27</v>
          </cell>
          <cell r="E708">
            <v>8.5</v>
          </cell>
        </row>
        <row r="709">
          <cell r="A709">
            <v>45512</v>
          </cell>
          <cell r="B709">
            <v>130</v>
          </cell>
          <cell r="C709">
            <v>44853.90000000596</v>
          </cell>
          <cell r="D709">
            <v>4.08</v>
          </cell>
          <cell r="E709">
            <v>10.8</v>
          </cell>
        </row>
        <row r="710">
          <cell r="A710">
            <v>45513</v>
          </cell>
          <cell r="B710">
            <v>131</v>
          </cell>
          <cell r="C710">
            <v>43553.25</v>
          </cell>
          <cell r="D710">
            <v>4.18</v>
          </cell>
          <cell r="E710">
            <v>10.7</v>
          </cell>
        </row>
        <row r="711">
          <cell r="A711">
            <v>45514</v>
          </cell>
          <cell r="B711">
            <v>132</v>
          </cell>
          <cell r="C711">
            <v>37046.75</v>
          </cell>
          <cell r="D711">
            <v>3.37</v>
          </cell>
          <cell r="E711">
            <v>10.9</v>
          </cell>
        </row>
        <row r="712">
          <cell r="A712">
            <v>45515</v>
          </cell>
          <cell r="B712">
            <v>133</v>
          </cell>
          <cell r="C712">
            <v>48750</v>
          </cell>
          <cell r="D712">
            <v>4.43</v>
          </cell>
          <cell r="E712">
            <v>10.8</v>
          </cell>
        </row>
        <row r="713">
          <cell r="A713">
            <v>45516</v>
          </cell>
          <cell r="B713">
            <v>134</v>
          </cell>
          <cell r="C713">
            <v>42901.949999988079</v>
          </cell>
          <cell r="D713">
            <v>4.16</v>
          </cell>
          <cell r="E713">
            <v>10.199999999999999</v>
          </cell>
        </row>
        <row r="714">
          <cell r="A714">
            <v>45517</v>
          </cell>
          <cell r="B714">
            <v>135</v>
          </cell>
          <cell r="C714">
            <v>56549.350000008941</v>
          </cell>
          <cell r="D714">
            <v>5.74</v>
          </cell>
          <cell r="E714">
            <v>10</v>
          </cell>
        </row>
        <row r="715">
          <cell r="A715">
            <v>45518</v>
          </cell>
          <cell r="B715">
            <v>136</v>
          </cell>
          <cell r="C715">
            <v>58501.95000000298</v>
          </cell>
          <cell r="D715">
            <v>6.25</v>
          </cell>
          <cell r="E715">
            <v>10.1</v>
          </cell>
        </row>
        <row r="716">
          <cell r="A716">
            <v>45519</v>
          </cell>
          <cell r="B716">
            <v>137</v>
          </cell>
          <cell r="C716">
            <v>50694.15000000596</v>
          </cell>
          <cell r="D716">
            <v>4.9000000000000004</v>
          </cell>
          <cell r="E716">
            <v>10.5</v>
          </cell>
        </row>
        <row r="717">
          <cell r="A717">
            <v>45520</v>
          </cell>
          <cell r="B717">
            <v>138</v>
          </cell>
          <cell r="C717">
            <v>49400.649999991059</v>
          </cell>
          <cell r="D717">
            <v>4.91</v>
          </cell>
          <cell r="E717">
            <v>10</v>
          </cell>
        </row>
        <row r="718">
          <cell r="A718">
            <v>45521</v>
          </cell>
          <cell r="B718">
            <v>139</v>
          </cell>
          <cell r="C718">
            <v>59151.95000000298</v>
          </cell>
          <cell r="D718">
            <v>6.18</v>
          </cell>
          <cell r="E718">
            <v>9.9</v>
          </cell>
        </row>
        <row r="719">
          <cell r="A719">
            <v>45522</v>
          </cell>
          <cell r="B719">
            <v>140</v>
          </cell>
          <cell r="C719">
            <v>51352.600000008941</v>
          </cell>
          <cell r="D719">
            <v>5.19</v>
          </cell>
          <cell r="E719">
            <v>10.3</v>
          </cell>
        </row>
        <row r="720">
          <cell r="A720">
            <v>45523</v>
          </cell>
          <cell r="B720">
            <v>141</v>
          </cell>
          <cell r="C720">
            <v>51995.449999988079</v>
          </cell>
          <cell r="D720">
            <v>5.35</v>
          </cell>
          <cell r="E720">
            <v>10.199999999999999</v>
          </cell>
        </row>
        <row r="721">
          <cell r="A721">
            <v>45524</v>
          </cell>
          <cell r="B721">
            <v>142</v>
          </cell>
          <cell r="C721">
            <v>51351.95000000298</v>
          </cell>
          <cell r="D721">
            <v>4.96</v>
          </cell>
          <cell r="E721">
            <v>10.5</v>
          </cell>
        </row>
        <row r="722">
          <cell r="A722">
            <v>45525</v>
          </cell>
          <cell r="B722">
            <v>143</v>
          </cell>
          <cell r="C722">
            <v>60453.90000000596</v>
          </cell>
          <cell r="D722">
            <v>6.29</v>
          </cell>
          <cell r="E722">
            <v>10.1</v>
          </cell>
        </row>
        <row r="723">
          <cell r="A723">
            <v>45526</v>
          </cell>
          <cell r="B723">
            <v>144</v>
          </cell>
          <cell r="C723">
            <v>52646.09999999404</v>
          </cell>
          <cell r="D723">
            <v>5.66</v>
          </cell>
          <cell r="E723">
            <v>10.9</v>
          </cell>
        </row>
        <row r="724">
          <cell r="A724">
            <v>45527</v>
          </cell>
          <cell r="B724">
            <v>145</v>
          </cell>
          <cell r="C724">
            <v>61746.75</v>
          </cell>
          <cell r="D724">
            <v>6.17</v>
          </cell>
          <cell r="E724">
            <v>10.199999999999999</v>
          </cell>
        </row>
        <row r="725">
          <cell r="A725">
            <v>45528</v>
          </cell>
          <cell r="B725">
            <v>146</v>
          </cell>
          <cell r="C725">
            <v>50051.29999999702</v>
          </cell>
          <cell r="D725">
            <v>4.78</v>
          </cell>
          <cell r="E725">
            <v>10</v>
          </cell>
        </row>
        <row r="726">
          <cell r="A726">
            <v>45529</v>
          </cell>
          <cell r="B726">
            <v>147</v>
          </cell>
          <cell r="C726">
            <v>46155.20000000298</v>
          </cell>
          <cell r="D726">
            <v>4.53</v>
          </cell>
          <cell r="E726">
            <v>11</v>
          </cell>
        </row>
        <row r="727">
          <cell r="A727">
            <v>45530</v>
          </cell>
          <cell r="B727">
            <v>148</v>
          </cell>
          <cell r="C727">
            <v>50694.15000000596</v>
          </cell>
          <cell r="D727">
            <v>4.76</v>
          </cell>
          <cell r="E727">
            <v>11.1</v>
          </cell>
        </row>
        <row r="728">
          <cell r="A728">
            <v>45531</v>
          </cell>
          <cell r="B728">
            <v>149</v>
          </cell>
          <cell r="C728">
            <v>39648.699999988079</v>
          </cell>
          <cell r="D728">
            <v>3.62</v>
          </cell>
          <cell r="E728">
            <v>10.3</v>
          </cell>
        </row>
        <row r="729">
          <cell r="A729">
            <v>45532</v>
          </cell>
          <cell r="B729">
            <v>150</v>
          </cell>
          <cell r="C729">
            <v>39657.15000000596</v>
          </cell>
          <cell r="D729">
            <v>3.55</v>
          </cell>
          <cell r="E729">
            <v>8.9</v>
          </cell>
        </row>
        <row r="730">
          <cell r="A730">
            <v>45533</v>
          </cell>
          <cell r="B730">
            <v>151</v>
          </cell>
          <cell r="C730">
            <v>33793.5</v>
          </cell>
          <cell r="D730">
            <v>2.88</v>
          </cell>
          <cell r="E730">
            <v>7.5</v>
          </cell>
        </row>
        <row r="731">
          <cell r="A731">
            <v>45534</v>
          </cell>
          <cell r="B731">
            <v>152</v>
          </cell>
          <cell r="C731">
            <v>38355.20000000298</v>
          </cell>
          <cell r="D731">
            <v>3.34</v>
          </cell>
          <cell r="E731">
            <v>7.9</v>
          </cell>
        </row>
        <row r="732">
          <cell r="A732">
            <v>45535</v>
          </cell>
          <cell r="B732">
            <v>153</v>
          </cell>
          <cell r="C732">
            <v>29247.399999991059</v>
          </cell>
          <cell r="D732">
            <v>2.36</v>
          </cell>
          <cell r="E732">
            <v>7.1</v>
          </cell>
        </row>
        <row r="733">
          <cell r="A733">
            <v>45536</v>
          </cell>
          <cell r="B733">
            <v>154</v>
          </cell>
          <cell r="C733">
            <v>57200.65000000596</v>
          </cell>
          <cell r="D733">
            <v>5.51</v>
          </cell>
          <cell r="E733">
            <v>10.1</v>
          </cell>
        </row>
        <row r="734">
          <cell r="A734">
            <v>45537</v>
          </cell>
          <cell r="B734">
            <v>155</v>
          </cell>
          <cell r="C734">
            <v>53300</v>
          </cell>
          <cell r="D734">
            <v>5.3</v>
          </cell>
          <cell r="E734">
            <v>10.199999999999999</v>
          </cell>
        </row>
        <row r="735">
          <cell r="A735">
            <v>45538</v>
          </cell>
          <cell r="B735">
            <v>156</v>
          </cell>
          <cell r="C735">
            <v>50050</v>
          </cell>
          <cell r="D735">
            <v>4.8</v>
          </cell>
          <cell r="E735">
            <v>9.5</v>
          </cell>
        </row>
        <row r="736">
          <cell r="A736">
            <v>45539</v>
          </cell>
          <cell r="B736">
            <v>157</v>
          </cell>
          <cell r="C736">
            <v>44850</v>
          </cell>
          <cell r="D736">
            <v>4.1399999999999997</v>
          </cell>
          <cell r="E736">
            <v>9.1</v>
          </cell>
        </row>
        <row r="737">
          <cell r="A737">
            <v>45540</v>
          </cell>
          <cell r="B737">
            <v>158</v>
          </cell>
          <cell r="C737">
            <v>48750</v>
          </cell>
          <cell r="D737">
            <v>4.7900000000000009</v>
          </cell>
          <cell r="E737">
            <v>10</v>
          </cell>
        </row>
        <row r="738">
          <cell r="A738">
            <v>45541</v>
          </cell>
          <cell r="B738">
            <v>159</v>
          </cell>
          <cell r="C738">
            <v>39000</v>
          </cell>
          <cell r="D738">
            <v>3.4800000000000004</v>
          </cell>
          <cell r="E738">
            <v>7.5</v>
          </cell>
        </row>
        <row r="739">
          <cell r="A739">
            <v>45542</v>
          </cell>
          <cell r="B739">
            <v>160</v>
          </cell>
          <cell r="C739">
            <v>40950</v>
          </cell>
          <cell r="D739">
            <v>3.77</v>
          </cell>
          <cell r="E739">
            <v>6.5</v>
          </cell>
        </row>
        <row r="740">
          <cell r="A740">
            <v>45543</v>
          </cell>
          <cell r="B740">
            <v>161</v>
          </cell>
          <cell r="C740">
            <v>37046.75</v>
          </cell>
          <cell r="D740">
            <v>3.22</v>
          </cell>
          <cell r="E740">
            <v>7.2</v>
          </cell>
        </row>
        <row r="741">
          <cell r="A741">
            <v>45544</v>
          </cell>
          <cell r="B741">
            <v>162</v>
          </cell>
          <cell r="C741">
            <v>42901.95000000298</v>
          </cell>
          <cell r="D741">
            <v>3.97</v>
          </cell>
          <cell r="E741">
            <v>8.5</v>
          </cell>
        </row>
        <row r="742">
          <cell r="A742">
            <v>45545</v>
          </cell>
          <cell r="B742">
            <v>163</v>
          </cell>
          <cell r="C742">
            <v>58501.29999999702</v>
          </cell>
          <cell r="D742">
            <v>5.81</v>
          </cell>
          <cell r="E742">
            <v>10.199999999999999</v>
          </cell>
        </row>
        <row r="743">
          <cell r="A743">
            <v>45546</v>
          </cell>
          <cell r="B743">
            <v>164</v>
          </cell>
          <cell r="C743">
            <v>47449.34999999404</v>
          </cell>
          <cell r="D743">
            <v>4.4000000000000004</v>
          </cell>
          <cell r="E743">
            <v>10.4</v>
          </cell>
        </row>
        <row r="744">
          <cell r="A744">
            <v>45547</v>
          </cell>
          <cell r="B744">
            <v>165</v>
          </cell>
          <cell r="C744">
            <v>51351.95000000298</v>
          </cell>
          <cell r="D744">
            <v>5.16</v>
          </cell>
          <cell r="E744">
            <v>10.5</v>
          </cell>
        </row>
        <row r="745">
          <cell r="A745">
            <v>45548</v>
          </cell>
          <cell r="B745">
            <v>166</v>
          </cell>
          <cell r="C745">
            <v>60446.100000008941</v>
          </cell>
          <cell r="D745">
            <v>5.94</v>
          </cell>
          <cell r="E745">
            <v>10.199999999999999</v>
          </cell>
        </row>
        <row r="746">
          <cell r="A746">
            <v>45549</v>
          </cell>
          <cell r="B746">
            <v>167</v>
          </cell>
          <cell r="C746">
            <v>63055.84999999404</v>
          </cell>
          <cell r="D746">
            <v>6.51</v>
          </cell>
          <cell r="E746">
            <v>10.199999999999999</v>
          </cell>
        </row>
        <row r="747">
          <cell r="A747">
            <v>45550</v>
          </cell>
          <cell r="B747">
            <v>168</v>
          </cell>
          <cell r="C747">
            <v>62397.399999991059</v>
          </cell>
          <cell r="D747">
            <v>6.34</v>
          </cell>
          <cell r="E747">
            <v>10</v>
          </cell>
        </row>
        <row r="748">
          <cell r="A748">
            <v>45551</v>
          </cell>
          <cell r="B748">
            <v>169</v>
          </cell>
          <cell r="C748">
            <v>62397.400000020862</v>
          </cell>
          <cell r="D748">
            <v>6.35</v>
          </cell>
          <cell r="E748">
            <v>10.3</v>
          </cell>
        </row>
        <row r="749">
          <cell r="A749">
            <v>45552</v>
          </cell>
          <cell r="B749">
            <v>170</v>
          </cell>
          <cell r="C749">
            <v>61103.899999991059</v>
          </cell>
          <cell r="D749">
            <v>6.29</v>
          </cell>
          <cell r="E749">
            <v>10</v>
          </cell>
        </row>
        <row r="750">
          <cell r="A750">
            <v>45553</v>
          </cell>
          <cell r="B750">
            <v>171</v>
          </cell>
          <cell r="C750">
            <v>62398.04999999702</v>
          </cell>
          <cell r="D750">
            <v>6.36</v>
          </cell>
          <cell r="E750">
            <v>10.1</v>
          </cell>
        </row>
        <row r="751">
          <cell r="A751">
            <v>45554</v>
          </cell>
          <cell r="B751">
            <v>172</v>
          </cell>
          <cell r="C751">
            <v>53946.75</v>
          </cell>
          <cell r="D751">
            <v>5.58</v>
          </cell>
          <cell r="E751">
            <v>10.199999999999999</v>
          </cell>
        </row>
        <row r="752">
          <cell r="A752">
            <v>45555</v>
          </cell>
          <cell r="B752">
            <v>173</v>
          </cell>
          <cell r="C752">
            <v>43553.25</v>
          </cell>
          <cell r="D752">
            <v>4.3</v>
          </cell>
          <cell r="E752">
            <v>10.5</v>
          </cell>
        </row>
        <row r="753">
          <cell r="A753">
            <v>45556</v>
          </cell>
          <cell r="B753">
            <v>174</v>
          </cell>
          <cell r="C753">
            <v>48099.34999999404</v>
          </cell>
          <cell r="D753">
            <v>4.68</v>
          </cell>
          <cell r="E753">
            <v>10.7</v>
          </cell>
        </row>
        <row r="754">
          <cell r="A754">
            <v>45557</v>
          </cell>
          <cell r="B754">
            <v>175</v>
          </cell>
          <cell r="C754">
            <v>53303.90000000596</v>
          </cell>
          <cell r="D754">
            <v>5.23</v>
          </cell>
          <cell r="E754">
            <v>10.9</v>
          </cell>
        </row>
        <row r="755">
          <cell r="A755">
            <v>45558</v>
          </cell>
          <cell r="B755">
            <v>176</v>
          </cell>
          <cell r="C755">
            <v>48099.34999999404</v>
          </cell>
          <cell r="D755">
            <v>4.66</v>
          </cell>
          <cell r="E755">
            <v>10</v>
          </cell>
        </row>
        <row r="756">
          <cell r="A756">
            <v>45559</v>
          </cell>
          <cell r="B756">
            <v>177</v>
          </cell>
          <cell r="C756">
            <v>42894.800000011921</v>
          </cell>
          <cell r="D756">
            <v>4.17</v>
          </cell>
          <cell r="E756">
            <v>10.5</v>
          </cell>
        </row>
        <row r="757">
          <cell r="A757">
            <v>45560</v>
          </cell>
          <cell r="B757">
            <v>178</v>
          </cell>
          <cell r="C757">
            <v>45504.549999982119</v>
          </cell>
          <cell r="D757">
            <v>4.3099999999999996</v>
          </cell>
          <cell r="E757">
            <v>10.4</v>
          </cell>
        </row>
        <row r="758">
          <cell r="A758">
            <v>45561</v>
          </cell>
          <cell r="B758">
            <v>179</v>
          </cell>
          <cell r="C758">
            <v>35094.800000011921</v>
          </cell>
          <cell r="D758">
            <v>3.13</v>
          </cell>
          <cell r="E758">
            <v>9.9</v>
          </cell>
        </row>
        <row r="759">
          <cell r="A759">
            <v>45562</v>
          </cell>
          <cell r="B759">
            <v>180</v>
          </cell>
          <cell r="C759">
            <v>43552.600000008941</v>
          </cell>
          <cell r="D759">
            <v>4.2300000000000004</v>
          </cell>
          <cell r="E759">
            <v>9.6999999999999993</v>
          </cell>
        </row>
        <row r="760">
          <cell r="A760">
            <v>45563</v>
          </cell>
          <cell r="B760">
            <v>181</v>
          </cell>
          <cell r="C760">
            <v>40299.999999985099</v>
          </cell>
          <cell r="D760">
            <v>3.82</v>
          </cell>
          <cell r="E760">
            <v>9.9</v>
          </cell>
        </row>
        <row r="761">
          <cell r="A761">
            <v>45564</v>
          </cell>
          <cell r="B761">
            <v>182</v>
          </cell>
          <cell r="C761">
            <v>59151.95000000298</v>
          </cell>
          <cell r="D761">
            <v>6.15</v>
          </cell>
          <cell r="E761">
            <v>10.9</v>
          </cell>
        </row>
        <row r="762">
          <cell r="A762">
            <v>45565</v>
          </cell>
          <cell r="B762">
            <v>183</v>
          </cell>
          <cell r="C762">
            <v>57850.65000000596</v>
          </cell>
          <cell r="D762">
            <v>6.28</v>
          </cell>
          <cell r="E762">
            <v>10.199999999999999</v>
          </cell>
        </row>
        <row r="763">
          <cell r="A763">
            <v>45566</v>
          </cell>
          <cell r="B763">
            <v>184</v>
          </cell>
          <cell r="C763">
            <v>55248.699999988079</v>
          </cell>
          <cell r="D763">
            <v>5.94</v>
          </cell>
          <cell r="E763">
            <v>10.5</v>
          </cell>
        </row>
        <row r="764">
          <cell r="A764">
            <v>45567</v>
          </cell>
          <cell r="B764">
            <v>185</v>
          </cell>
          <cell r="C764">
            <v>46798.050000011921</v>
          </cell>
          <cell r="D764">
            <v>4.82</v>
          </cell>
          <cell r="E764">
            <v>10.8</v>
          </cell>
        </row>
        <row r="765">
          <cell r="A765">
            <v>45568</v>
          </cell>
          <cell r="B765">
            <v>186</v>
          </cell>
          <cell r="C765">
            <v>48099.350000008941</v>
          </cell>
          <cell r="D765">
            <v>4.82</v>
          </cell>
          <cell r="E765">
            <v>9.1999999999999993</v>
          </cell>
        </row>
        <row r="766">
          <cell r="A766">
            <v>45569</v>
          </cell>
          <cell r="B766">
            <v>187</v>
          </cell>
          <cell r="C766">
            <v>30548.049999982119</v>
          </cell>
          <cell r="D766">
            <v>2.91</v>
          </cell>
          <cell r="E766">
            <v>10.5</v>
          </cell>
        </row>
        <row r="767">
          <cell r="A767">
            <v>45570</v>
          </cell>
          <cell r="B767">
            <v>188</v>
          </cell>
          <cell r="C767">
            <v>44853.90000000596</v>
          </cell>
          <cell r="D767">
            <v>4.3099999999999996</v>
          </cell>
          <cell r="E767">
            <v>10</v>
          </cell>
        </row>
        <row r="768">
          <cell r="A768">
            <v>45571</v>
          </cell>
          <cell r="B768">
            <v>189</v>
          </cell>
          <cell r="C768">
            <v>52003.25</v>
          </cell>
          <cell r="D768">
            <v>5.25</v>
          </cell>
          <cell r="E768">
            <v>10.6</v>
          </cell>
        </row>
        <row r="769">
          <cell r="A769">
            <v>45572</v>
          </cell>
          <cell r="B769">
            <v>190</v>
          </cell>
          <cell r="C769">
            <v>47448.70000000298</v>
          </cell>
          <cell r="D769">
            <v>4.6500000000000004</v>
          </cell>
          <cell r="E769">
            <v>10.1</v>
          </cell>
        </row>
        <row r="770">
          <cell r="A770">
            <v>45573</v>
          </cell>
          <cell r="B770">
            <v>191</v>
          </cell>
          <cell r="C770">
            <v>50694.149999991059</v>
          </cell>
          <cell r="D770">
            <v>5.18</v>
          </cell>
          <cell r="E770">
            <v>10.3</v>
          </cell>
        </row>
        <row r="771">
          <cell r="A771">
            <v>45574</v>
          </cell>
          <cell r="B771">
            <v>192</v>
          </cell>
          <cell r="C771">
            <v>49400.65000000596</v>
          </cell>
          <cell r="D771">
            <v>4.99</v>
          </cell>
          <cell r="E771">
            <v>10.199999999999999</v>
          </cell>
        </row>
        <row r="772">
          <cell r="A772">
            <v>45575</v>
          </cell>
          <cell r="B772">
            <v>193</v>
          </cell>
          <cell r="C772">
            <v>50051.300000011921</v>
          </cell>
          <cell r="D772">
            <v>4.9000000000000004</v>
          </cell>
          <cell r="E772">
            <v>10.6</v>
          </cell>
        </row>
        <row r="773">
          <cell r="A773">
            <v>45576</v>
          </cell>
          <cell r="B773">
            <v>194</v>
          </cell>
          <cell r="C773">
            <v>37705.199999988079</v>
          </cell>
          <cell r="D773">
            <v>3.57</v>
          </cell>
          <cell r="E773">
            <v>10.3</v>
          </cell>
        </row>
        <row r="774">
          <cell r="A774">
            <v>45577</v>
          </cell>
          <cell r="B774">
            <v>195</v>
          </cell>
          <cell r="C774">
            <v>43544.800000011921</v>
          </cell>
          <cell r="D774">
            <v>4.28</v>
          </cell>
          <cell r="E774">
            <v>11</v>
          </cell>
        </row>
        <row r="775">
          <cell r="A775">
            <v>45578</v>
          </cell>
          <cell r="B775">
            <v>196</v>
          </cell>
          <cell r="C775">
            <v>39649.34999999404</v>
          </cell>
          <cell r="D775">
            <v>3.95</v>
          </cell>
          <cell r="E775">
            <v>6.9</v>
          </cell>
        </row>
        <row r="776">
          <cell r="A776">
            <v>45579</v>
          </cell>
          <cell r="B776">
            <v>197</v>
          </cell>
          <cell r="C776">
            <v>21454.54999999702</v>
          </cell>
          <cell r="D776">
            <v>1.68</v>
          </cell>
          <cell r="E776">
            <v>4.2</v>
          </cell>
        </row>
        <row r="777">
          <cell r="A777">
            <v>45580</v>
          </cell>
          <cell r="B777">
            <v>198</v>
          </cell>
          <cell r="C777">
            <v>13648.04999999702</v>
          </cell>
          <cell r="D777">
            <v>0.99</v>
          </cell>
          <cell r="E777">
            <v>3.2</v>
          </cell>
        </row>
        <row r="778">
          <cell r="A778">
            <v>45581</v>
          </cell>
          <cell r="B778">
            <v>199</v>
          </cell>
          <cell r="C778">
            <v>16250</v>
          </cell>
          <cell r="D778">
            <v>1.29</v>
          </cell>
          <cell r="E778">
            <v>5.0999999999999996</v>
          </cell>
        </row>
        <row r="779">
          <cell r="A779">
            <v>45582</v>
          </cell>
          <cell r="B779">
            <v>200</v>
          </cell>
          <cell r="C779">
            <v>30548.04999999702</v>
          </cell>
          <cell r="D779">
            <v>2.66</v>
          </cell>
          <cell r="E779">
            <v>10.5</v>
          </cell>
        </row>
        <row r="780">
          <cell r="A780">
            <v>45583</v>
          </cell>
          <cell r="B780">
            <v>201</v>
          </cell>
          <cell r="C780">
            <v>37053.90000000596</v>
          </cell>
          <cell r="D780">
            <v>3.36</v>
          </cell>
          <cell r="E780">
            <v>10.9</v>
          </cell>
        </row>
        <row r="781">
          <cell r="A781">
            <v>45584</v>
          </cell>
          <cell r="B781">
            <v>202</v>
          </cell>
          <cell r="C781">
            <v>36396.100000008941</v>
          </cell>
          <cell r="D781">
            <v>3.48</v>
          </cell>
          <cell r="E781">
            <v>10.7</v>
          </cell>
        </row>
        <row r="782">
          <cell r="A782">
            <v>45585</v>
          </cell>
          <cell r="B782">
            <v>203</v>
          </cell>
          <cell r="C782">
            <v>42901.949999988079</v>
          </cell>
          <cell r="D782">
            <v>4.3000000000000007</v>
          </cell>
          <cell r="E782">
            <v>11</v>
          </cell>
        </row>
        <row r="783">
          <cell r="A783">
            <v>45586</v>
          </cell>
          <cell r="B783">
            <v>204</v>
          </cell>
          <cell r="C783">
            <v>50051.29999999702</v>
          </cell>
          <cell r="D783">
            <v>5.22</v>
          </cell>
          <cell r="E783">
            <v>10.8</v>
          </cell>
        </row>
        <row r="784">
          <cell r="A784">
            <v>45587</v>
          </cell>
          <cell r="B784">
            <v>205</v>
          </cell>
          <cell r="C784">
            <v>47448.70000000298</v>
          </cell>
          <cell r="D784">
            <v>4.9400000000000004</v>
          </cell>
          <cell r="E784">
            <v>10.6</v>
          </cell>
        </row>
        <row r="785">
          <cell r="A785">
            <v>45588</v>
          </cell>
          <cell r="B785">
            <v>206</v>
          </cell>
          <cell r="C785">
            <v>49400.65000000596</v>
          </cell>
          <cell r="D785">
            <v>5.28</v>
          </cell>
          <cell r="E785">
            <v>10.3</v>
          </cell>
        </row>
        <row r="786">
          <cell r="A786">
            <v>45589</v>
          </cell>
          <cell r="B786">
            <v>207</v>
          </cell>
          <cell r="C786">
            <v>34451.949999988079</v>
          </cell>
          <cell r="D786">
            <v>3.12</v>
          </cell>
          <cell r="E786">
            <v>9.8000000000000007</v>
          </cell>
        </row>
        <row r="787">
          <cell r="A787">
            <v>45590</v>
          </cell>
          <cell r="B787">
            <v>208</v>
          </cell>
          <cell r="C787">
            <v>48750</v>
          </cell>
          <cell r="D787">
            <v>4.92</v>
          </cell>
          <cell r="E787">
            <v>9.9</v>
          </cell>
        </row>
        <row r="788">
          <cell r="A788">
            <v>45591</v>
          </cell>
          <cell r="B788">
            <v>209</v>
          </cell>
          <cell r="C788">
            <v>51995.450000017881</v>
          </cell>
          <cell r="D788">
            <v>5.25</v>
          </cell>
          <cell r="E788">
            <v>10</v>
          </cell>
        </row>
        <row r="789">
          <cell r="A789">
            <v>45592</v>
          </cell>
          <cell r="B789">
            <v>210</v>
          </cell>
          <cell r="C789">
            <v>42901.949999988079</v>
          </cell>
          <cell r="D789">
            <v>4.12</v>
          </cell>
          <cell r="E789">
            <v>9.6999999999999993</v>
          </cell>
        </row>
        <row r="790">
          <cell r="A790">
            <v>45593</v>
          </cell>
          <cell r="B790">
            <v>211</v>
          </cell>
          <cell r="C790">
            <v>53296.75</v>
          </cell>
          <cell r="D790">
            <v>5.6</v>
          </cell>
          <cell r="E790">
            <v>9.6999999999999993</v>
          </cell>
        </row>
        <row r="791">
          <cell r="A791">
            <v>45594</v>
          </cell>
          <cell r="B791">
            <v>212</v>
          </cell>
          <cell r="C791">
            <v>42251.95000000298</v>
          </cell>
          <cell r="D791">
            <v>4.16</v>
          </cell>
          <cell r="E791">
            <v>9</v>
          </cell>
        </row>
        <row r="792">
          <cell r="A792">
            <v>45595</v>
          </cell>
          <cell r="B792">
            <v>213</v>
          </cell>
          <cell r="C792">
            <v>39648.699999988079</v>
          </cell>
          <cell r="D792">
            <v>4.09</v>
          </cell>
          <cell r="E792">
            <v>9.5</v>
          </cell>
        </row>
        <row r="793">
          <cell r="A793">
            <v>45596</v>
          </cell>
          <cell r="B793">
            <v>214</v>
          </cell>
          <cell r="C793">
            <v>47448.70000000298</v>
          </cell>
          <cell r="D793">
            <v>5.0600000000000005</v>
          </cell>
          <cell r="E793">
            <v>9</v>
          </cell>
        </row>
        <row r="794">
          <cell r="A794">
            <v>45597</v>
          </cell>
          <cell r="B794">
            <v>215</v>
          </cell>
          <cell r="C794">
            <v>48750</v>
          </cell>
          <cell r="D794">
            <v>5.17</v>
          </cell>
          <cell r="E794">
            <v>10.5</v>
          </cell>
        </row>
        <row r="795">
          <cell r="A795">
            <v>45598</v>
          </cell>
          <cell r="B795">
            <v>216</v>
          </cell>
          <cell r="C795">
            <v>53304.54999999702</v>
          </cell>
          <cell r="D795">
            <v>5.54</v>
          </cell>
          <cell r="E795">
            <v>10.6</v>
          </cell>
        </row>
        <row r="796">
          <cell r="A796">
            <v>45599</v>
          </cell>
          <cell r="B796">
            <v>217</v>
          </cell>
          <cell r="C796">
            <v>52003.250000014901</v>
          </cell>
          <cell r="D796">
            <v>5.18</v>
          </cell>
          <cell r="E796">
            <v>10.6</v>
          </cell>
        </row>
        <row r="797">
          <cell r="A797">
            <v>45600</v>
          </cell>
          <cell r="B797">
            <v>218</v>
          </cell>
          <cell r="C797">
            <v>43544.79999999702</v>
          </cell>
          <cell r="D797">
            <v>4.28</v>
          </cell>
          <cell r="E797">
            <v>10.9</v>
          </cell>
        </row>
        <row r="798">
          <cell r="A798">
            <v>45601</v>
          </cell>
          <cell r="B798">
            <v>219</v>
          </cell>
          <cell r="C798">
            <v>51352.59999999404</v>
          </cell>
          <cell r="D798">
            <v>5.12</v>
          </cell>
          <cell r="E798">
            <v>10</v>
          </cell>
        </row>
        <row r="799">
          <cell r="A799">
            <v>45602</v>
          </cell>
          <cell r="B799">
            <v>220</v>
          </cell>
          <cell r="C799">
            <v>48750</v>
          </cell>
          <cell r="D799">
            <v>4.71</v>
          </cell>
          <cell r="E799">
            <v>10.199999999999999</v>
          </cell>
        </row>
        <row r="800">
          <cell r="A800">
            <v>45603</v>
          </cell>
          <cell r="B800">
            <v>221</v>
          </cell>
          <cell r="C800">
            <v>23398.70000000298</v>
          </cell>
          <cell r="D800">
            <v>2.2000000000000002</v>
          </cell>
          <cell r="E800">
            <v>9.9</v>
          </cell>
        </row>
        <row r="801">
          <cell r="A801">
            <v>45604</v>
          </cell>
          <cell r="B801">
            <v>222</v>
          </cell>
          <cell r="C801">
            <v>53947.399999991059</v>
          </cell>
          <cell r="D801">
            <v>5.44</v>
          </cell>
          <cell r="E801">
            <v>10</v>
          </cell>
        </row>
        <row r="802">
          <cell r="A802">
            <v>45605</v>
          </cell>
          <cell r="B802">
            <v>223</v>
          </cell>
          <cell r="C802">
            <v>59152.600000008941</v>
          </cell>
          <cell r="D802">
            <v>5.9</v>
          </cell>
          <cell r="E802">
            <v>9.8000000000000007</v>
          </cell>
        </row>
        <row r="803">
          <cell r="A803">
            <v>45606</v>
          </cell>
          <cell r="B803">
            <v>224</v>
          </cell>
          <cell r="C803">
            <v>54597.399999991059</v>
          </cell>
          <cell r="D803">
            <v>5.52</v>
          </cell>
          <cell r="E803">
            <v>9.9</v>
          </cell>
        </row>
        <row r="804">
          <cell r="A804">
            <v>45607</v>
          </cell>
          <cell r="B804">
            <v>225</v>
          </cell>
          <cell r="C804">
            <v>50051.300000011921</v>
          </cell>
          <cell r="D804">
            <v>5.1100000000000003</v>
          </cell>
          <cell r="E804">
            <v>10</v>
          </cell>
        </row>
        <row r="805">
          <cell r="A805">
            <v>45608</v>
          </cell>
          <cell r="B805">
            <v>226</v>
          </cell>
          <cell r="C805">
            <v>19503.249999985099</v>
          </cell>
          <cell r="D805">
            <v>1.65</v>
          </cell>
          <cell r="E805">
            <v>9.8000000000000007</v>
          </cell>
        </row>
        <row r="806">
          <cell r="A806">
            <v>45609</v>
          </cell>
          <cell r="B806">
            <v>227</v>
          </cell>
          <cell r="C806">
            <v>29897.400000020862</v>
          </cell>
          <cell r="D806">
            <v>2.75</v>
          </cell>
          <cell r="E806">
            <v>7.9</v>
          </cell>
        </row>
        <row r="807">
          <cell r="A807">
            <v>45610</v>
          </cell>
          <cell r="B807">
            <v>228</v>
          </cell>
          <cell r="C807">
            <v>22748.699999988079</v>
          </cell>
          <cell r="D807">
            <v>2.04</v>
          </cell>
          <cell r="E807">
            <v>11</v>
          </cell>
        </row>
        <row r="808">
          <cell r="A808">
            <v>45611</v>
          </cell>
          <cell r="B808">
            <v>229</v>
          </cell>
          <cell r="C808">
            <v>33801.29999999702</v>
          </cell>
          <cell r="D808">
            <v>3.41</v>
          </cell>
          <cell r="E808">
            <v>10.9</v>
          </cell>
        </row>
        <row r="809">
          <cell r="A809">
            <v>45612</v>
          </cell>
          <cell r="B809">
            <v>230</v>
          </cell>
          <cell r="C809">
            <v>31849.350000008941</v>
          </cell>
          <cell r="D809">
            <v>3.23</v>
          </cell>
          <cell r="E809">
            <v>7.5</v>
          </cell>
        </row>
        <row r="810">
          <cell r="A810">
            <v>45613</v>
          </cell>
          <cell r="B810">
            <v>231</v>
          </cell>
          <cell r="C810">
            <v>5204.5499999970198</v>
          </cell>
          <cell r="D810">
            <v>2.88</v>
          </cell>
          <cell r="E810">
            <v>4.5</v>
          </cell>
        </row>
        <row r="811">
          <cell r="A811">
            <v>45614</v>
          </cell>
          <cell r="B811">
            <v>232</v>
          </cell>
          <cell r="C811">
            <v>41593.5</v>
          </cell>
          <cell r="D811">
            <v>4.38</v>
          </cell>
          <cell r="E811">
            <v>7.9</v>
          </cell>
        </row>
        <row r="812">
          <cell r="A812">
            <v>45615</v>
          </cell>
          <cell r="B812">
            <v>233</v>
          </cell>
          <cell r="C812">
            <v>46155.199999988079</v>
          </cell>
          <cell r="D812">
            <v>4.93</v>
          </cell>
          <cell r="E812">
            <v>7</v>
          </cell>
        </row>
        <row r="813">
          <cell r="A813">
            <v>45616</v>
          </cell>
          <cell r="B813">
            <v>234</v>
          </cell>
          <cell r="C813">
            <v>31198.70000000298</v>
          </cell>
          <cell r="D813">
            <v>3.12</v>
          </cell>
          <cell r="E813">
            <v>10.199999999999999</v>
          </cell>
        </row>
        <row r="814">
          <cell r="A814">
            <v>45617</v>
          </cell>
          <cell r="B814">
            <v>235</v>
          </cell>
          <cell r="C814">
            <v>46147.400000020862</v>
          </cell>
          <cell r="D814">
            <v>8.2899999999999991</v>
          </cell>
          <cell r="E814">
            <v>10</v>
          </cell>
        </row>
        <row r="815">
          <cell r="A815">
            <v>45618</v>
          </cell>
          <cell r="B815">
            <v>236</v>
          </cell>
          <cell r="C815">
            <v>62405.199999988079</v>
          </cell>
          <cell r="D815">
            <v>6.9</v>
          </cell>
          <cell r="E815">
            <v>9.8000000000000007</v>
          </cell>
        </row>
        <row r="816">
          <cell r="A816">
            <v>45619</v>
          </cell>
          <cell r="B816">
            <v>237</v>
          </cell>
          <cell r="C816">
            <v>52646.100000008941</v>
          </cell>
          <cell r="D816">
            <v>5.65</v>
          </cell>
          <cell r="E816">
            <v>9.5</v>
          </cell>
        </row>
        <row r="817">
          <cell r="A817">
            <v>45620</v>
          </cell>
          <cell r="B817">
            <v>238</v>
          </cell>
          <cell r="C817">
            <v>40299.999999985099</v>
          </cell>
          <cell r="D817">
            <v>4.16</v>
          </cell>
          <cell r="E817">
            <v>10</v>
          </cell>
        </row>
        <row r="818">
          <cell r="A818">
            <v>45621</v>
          </cell>
          <cell r="B818">
            <v>239</v>
          </cell>
          <cell r="C818">
            <v>46147.40000000596</v>
          </cell>
          <cell r="D818">
            <v>4.72</v>
          </cell>
          <cell r="E818">
            <v>9.5</v>
          </cell>
        </row>
        <row r="819">
          <cell r="A819">
            <v>45622</v>
          </cell>
          <cell r="B819">
            <v>240</v>
          </cell>
          <cell r="C819">
            <v>17551.29999999702</v>
          </cell>
          <cell r="D819">
            <v>1.61</v>
          </cell>
          <cell r="E819">
            <v>8.5</v>
          </cell>
        </row>
        <row r="820">
          <cell r="A820">
            <v>45623</v>
          </cell>
          <cell r="B820">
            <v>241</v>
          </cell>
          <cell r="C820">
            <v>24049.34999999404</v>
          </cell>
          <cell r="D820">
            <v>2.15</v>
          </cell>
          <cell r="E820">
            <v>6.5</v>
          </cell>
        </row>
        <row r="821">
          <cell r="A821">
            <v>45624</v>
          </cell>
          <cell r="B821">
            <v>242</v>
          </cell>
          <cell r="C821">
            <v>44853.90000000596</v>
          </cell>
          <cell r="D821">
            <v>4.53</v>
          </cell>
          <cell r="E821">
            <v>5.9</v>
          </cell>
        </row>
        <row r="822">
          <cell r="A822">
            <v>45625</v>
          </cell>
          <cell r="B822">
            <v>243</v>
          </cell>
          <cell r="C822">
            <v>28596.75</v>
          </cell>
          <cell r="D822">
            <v>2.57</v>
          </cell>
          <cell r="E822">
            <v>4.9000000000000004</v>
          </cell>
        </row>
        <row r="823">
          <cell r="A823">
            <v>45626</v>
          </cell>
          <cell r="B823">
            <v>244</v>
          </cell>
          <cell r="C823">
            <v>3252.6000000089407</v>
          </cell>
          <cell r="D823">
            <v>0.18</v>
          </cell>
          <cell r="E823">
            <v>1</v>
          </cell>
        </row>
        <row r="824">
          <cell r="A824">
            <v>45627</v>
          </cell>
          <cell r="B824">
            <v>245</v>
          </cell>
          <cell r="C824">
            <v>7149.3499999940395</v>
          </cell>
          <cell r="D824">
            <v>0.52</v>
          </cell>
          <cell r="E824">
            <v>2</v>
          </cell>
        </row>
        <row r="825">
          <cell r="A825">
            <v>45628</v>
          </cell>
          <cell r="B825">
            <v>246</v>
          </cell>
          <cell r="C825">
            <v>11052.59999999404</v>
          </cell>
          <cell r="D825">
            <v>0.86</v>
          </cell>
          <cell r="E825">
            <v>3</v>
          </cell>
        </row>
        <row r="826">
          <cell r="A826">
            <v>45629</v>
          </cell>
          <cell r="B826">
            <v>247</v>
          </cell>
          <cell r="C826">
            <v>25994.15000000596</v>
          </cell>
          <cell r="D826">
            <v>2.44</v>
          </cell>
          <cell r="E826">
            <v>11</v>
          </cell>
        </row>
        <row r="827">
          <cell r="A827">
            <v>45630</v>
          </cell>
          <cell r="B827">
            <v>248</v>
          </cell>
          <cell r="C827">
            <v>27953.25</v>
          </cell>
          <cell r="D827">
            <v>2.83</v>
          </cell>
          <cell r="E827">
            <v>11</v>
          </cell>
        </row>
        <row r="828">
          <cell r="A828">
            <v>45631</v>
          </cell>
          <cell r="B828">
            <v>249</v>
          </cell>
          <cell r="C828">
            <v>45496.75</v>
          </cell>
          <cell r="D828">
            <v>5.01</v>
          </cell>
          <cell r="E828">
            <v>10.8</v>
          </cell>
        </row>
        <row r="829">
          <cell r="A829">
            <v>45632</v>
          </cell>
          <cell r="B829">
            <v>250</v>
          </cell>
          <cell r="C829">
            <v>55907.15000000596</v>
          </cell>
          <cell r="D829">
            <v>6.28</v>
          </cell>
          <cell r="E829">
            <v>10.9</v>
          </cell>
        </row>
        <row r="830">
          <cell r="A830">
            <v>45633</v>
          </cell>
          <cell r="B830">
            <v>251</v>
          </cell>
          <cell r="C830">
            <v>48750</v>
          </cell>
          <cell r="D830">
            <v>4.7699999999999996</v>
          </cell>
          <cell r="E830">
            <v>10.5</v>
          </cell>
        </row>
        <row r="831">
          <cell r="A831">
            <v>45634</v>
          </cell>
          <cell r="B831">
            <v>252</v>
          </cell>
          <cell r="C831">
            <v>61746.749999985099</v>
          </cell>
          <cell r="D831">
            <v>6.79</v>
          </cell>
          <cell r="E831">
            <v>10.1</v>
          </cell>
        </row>
        <row r="832">
          <cell r="A832">
            <v>45635</v>
          </cell>
          <cell r="B832">
            <v>253</v>
          </cell>
          <cell r="C832">
            <v>50701.950000017881</v>
          </cell>
          <cell r="D832">
            <v>5.59</v>
          </cell>
          <cell r="E832">
            <v>9.9</v>
          </cell>
        </row>
        <row r="833">
          <cell r="A833">
            <v>45636</v>
          </cell>
          <cell r="B833">
            <v>254</v>
          </cell>
          <cell r="C833">
            <v>51344.79999999702</v>
          </cell>
          <cell r="D833">
            <v>5.53</v>
          </cell>
          <cell r="E833">
            <v>9.5</v>
          </cell>
        </row>
        <row r="834">
          <cell r="A834">
            <v>45637</v>
          </cell>
          <cell r="B834">
            <v>255</v>
          </cell>
          <cell r="C834">
            <v>29254.549999982119</v>
          </cell>
          <cell r="D834">
            <v>2.76</v>
          </cell>
          <cell r="E834">
            <v>9.1999999999999993</v>
          </cell>
        </row>
        <row r="835">
          <cell r="A835">
            <v>45638</v>
          </cell>
          <cell r="B835">
            <v>256</v>
          </cell>
          <cell r="C835">
            <v>7799.3500000089407</v>
          </cell>
          <cell r="D835">
            <v>0.5</v>
          </cell>
          <cell r="E835">
            <v>1.5</v>
          </cell>
        </row>
        <row r="836">
          <cell r="A836">
            <v>45639</v>
          </cell>
          <cell r="B836">
            <v>257</v>
          </cell>
          <cell r="C836">
            <v>15599.350000008941</v>
          </cell>
          <cell r="D836">
            <v>1.87</v>
          </cell>
          <cell r="E836">
            <v>2</v>
          </cell>
        </row>
        <row r="837">
          <cell r="A837">
            <v>45640</v>
          </cell>
          <cell r="B837">
            <v>258</v>
          </cell>
          <cell r="C837">
            <v>46148.04999999702</v>
          </cell>
          <cell r="D837">
            <v>4.95</v>
          </cell>
          <cell r="E837">
            <v>10.5</v>
          </cell>
        </row>
        <row r="838">
          <cell r="A838">
            <v>45641</v>
          </cell>
          <cell r="B838">
            <v>259</v>
          </cell>
          <cell r="C838">
            <v>57200</v>
          </cell>
          <cell r="D838">
            <v>6.13</v>
          </cell>
          <cell r="E838">
            <v>11.1</v>
          </cell>
        </row>
        <row r="839">
          <cell r="A839">
            <v>45642</v>
          </cell>
          <cell r="B839">
            <v>260</v>
          </cell>
          <cell r="C839">
            <v>55899.34999999404</v>
          </cell>
          <cell r="D839">
            <v>6.06</v>
          </cell>
          <cell r="E839">
            <v>10.9</v>
          </cell>
        </row>
        <row r="840">
          <cell r="A840">
            <v>45643</v>
          </cell>
          <cell r="B840">
            <v>261</v>
          </cell>
          <cell r="C840">
            <v>47448.70000000298</v>
          </cell>
          <cell r="D840">
            <v>5.17</v>
          </cell>
          <cell r="E840">
            <v>10.8</v>
          </cell>
        </row>
        <row r="841">
          <cell r="A841">
            <v>45644</v>
          </cell>
          <cell r="B841">
            <v>262</v>
          </cell>
          <cell r="C841">
            <v>25350.649999991059</v>
          </cell>
          <cell r="D841">
            <v>2.41</v>
          </cell>
          <cell r="E841">
            <v>8.1999999999999993</v>
          </cell>
        </row>
        <row r="842">
          <cell r="A842">
            <v>45645</v>
          </cell>
          <cell r="B842">
            <v>263</v>
          </cell>
          <cell r="C842">
            <v>29254.550000011921</v>
          </cell>
          <cell r="D842">
            <v>2.89</v>
          </cell>
          <cell r="E842">
            <v>9.1999999999999993</v>
          </cell>
        </row>
        <row r="843">
          <cell r="A843">
            <v>45646</v>
          </cell>
          <cell r="B843">
            <v>264</v>
          </cell>
          <cell r="C843">
            <v>23399.34999999404</v>
          </cell>
          <cell r="D843">
            <v>2.06</v>
          </cell>
          <cell r="E843">
            <v>8.6</v>
          </cell>
        </row>
        <row r="844">
          <cell r="A844">
            <v>45647</v>
          </cell>
          <cell r="B844">
            <v>265</v>
          </cell>
          <cell r="C844">
            <v>53296.75</v>
          </cell>
          <cell r="D844">
            <v>7.94</v>
          </cell>
          <cell r="E844">
            <v>10.7</v>
          </cell>
        </row>
        <row r="845">
          <cell r="A845">
            <v>45648</v>
          </cell>
          <cell r="B845">
            <v>266</v>
          </cell>
          <cell r="C845">
            <v>36403.25</v>
          </cell>
          <cell r="D845">
            <v>3.77</v>
          </cell>
          <cell r="E845">
            <v>9.8000000000000007</v>
          </cell>
        </row>
        <row r="846">
          <cell r="A846">
            <v>45649</v>
          </cell>
          <cell r="B846">
            <v>267</v>
          </cell>
          <cell r="C846">
            <v>48750</v>
          </cell>
          <cell r="D846">
            <v>5.27</v>
          </cell>
          <cell r="E846">
            <v>11.1</v>
          </cell>
        </row>
        <row r="847">
          <cell r="A847">
            <v>45650</v>
          </cell>
          <cell r="B847">
            <v>268</v>
          </cell>
          <cell r="C847">
            <v>33150.65000000596</v>
          </cell>
          <cell r="D847">
            <v>3.16</v>
          </cell>
          <cell r="E847">
            <v>9.3000000000000007</v>
          </cell>
        </row>
        <row r="848">
          <cell r="A848">
            <v>45651</v>
          </cell>
          <cell r="B848">
            <v>269</v>
          </cell>
          <cell r="C848">
            <v>31849.34999999404</v>
          </cell>
          <cell r="D848">
            <v>3.28</v>
          </cell>
          <cell r="E848">
            <v>8.6</v>
          </cell>
        </row>
        <row r="849">
          <cell r="A849">
            <v>45652</v>
          </cell>
          <cell r="B849">
            <v>270</v>
          </cell>
          <cell r="C849">
            <v>14948.70000000298</v>
          </cell>
          <cell r="D849">
            <v>1.29</v>
          </cell>
          <cell r="E849">
            <v>3.2</v>
          </cell>
        </row>
        <row r="850">
          <cell r="A850">
            <v>45653</v>
          </cell>
          <cell r="B850">
            <v>271</v>
          </cell>
          <cell r="C850">
            <v>16250</v>
          </cell>
          <cell r="D850">
            <v>1.33</v>
          </cell>
          <cell r="E850">
            <v>3.5</v>
          </cell>
        </row>
        <row r="851">
          <cell r="A851">
            <v>45654</v>
          </cell>
          <cell r="B851">
            <v>272</v>
          </cell>
          <cell r="C851">
            <v>45497.40000000596</v>
          </cell>
          <cell r="D851">
            <v>4.6100000000000003</v>
          </cell>
          <cell r="E851">
            <v>9.1999999999999993</v>
          </cell>
        </row>
        <row r="852">
          <cell r="A852">
            <v>45655</v>
          </cell>
          <cell r="B852">
            <v>273</v>
          </cell>
          <cell r="C852">
            <v>54605.199999988079</v>
          </cell>
          <cell r="D852">
            <v>5.78</v>
          </cell>
          <cell r="E852">
            <v>10.6</v>
          </cell>
        </row>
        <row r="853">
          <cell r="A853">
            <v>45656</v>
          </cell>
          <cell r="B853">
            <v>274</v>
          </cell>
          <cell r="C853">
            <v>36396.100000008941</v>
          </cell>
          <cell r="D853">
            <v>3.65</v>
          </cell>
          <cell r="E853">
            <v>9.1</v>
          </cell>
        </row>
        <row r="854">
          <cell r="A854">
            <v>45657</v>
          </cell>
          <cell r="B854">
            <v>275</v>
          </cell>
          <cell r="C854">
            <v>65000</v>
          </cell>
          <cell r="D854">
            <v>7.06</v>
          </cell>
          <cell r="E854">
            <v>10.9</v>
          </cell>
        </row>
        <row r="855">
          <cell r="A855">
            <v>45658</v>
          </cell>
          <cell r="B855">
            <v>276</v>
          </cell>
          <cell r="C855">
            <v>61754.54999999702</v>
          </cell>
          <cell r="D855">
            <v>6.56</v>
          </cell>
          <cell r="E855">
            <v>10.1</v>
          </cell>
        </row>
        <row r="856">
          <cell r="A856">
            <v>45659</v>
          </cell>
          <cell r="B856">
            <v>277</v>
          </cell>
          <cell r="C856">
            <v>61746.75</v>
          </cell>
          <cell r="D856">
            <v>6.62</v>
          </cell>
          <cell r="E856">
            <v>10.6</v>
          </cell>
        </row>
        <row r="857">
          <cell r="A857">
            <v>45660</v>
          </cell>
          <cell r="B857">
            <v>278</v>
          </cell>
          <cell r="C857">
            <v>63048.70000000298</v>
          </cell>
          <cell r="D857">
            <v>6.7</v>
          </cell>
          <cell r="E857">
            <v>10.3</v>
          </cell>
        </row>
        <row r="858">
          <cell r="A858">
            <v>45661</v>
          </cell>
          <cell r="B858">
            <v>279</v>
          </cell>
          <cell r="C858">
            <v>61754.54999999702</v>
          </cell>
          <cell r="D858">
            <v>6.6</v>
          </cell>
          <cell r="E858">
            <v>10.8</v>
          </cell>
        </row>
        <row r="859">
          <cell r="A859">
            <v>45662</v>
          </cell>
          <cell r="B859">
            <v>280</v>
          </cell>
          <cell r="C859">
            <v>63048.04999999702</v>
          </cell>
          <cell r="D859">
            <v>6.81</v>
          </cell>
          <cell r="E859">
            <v>10.5</v>
          </cell>
        </row>
        <row r="860">
          <cell r="A860">
            <v>45663</v>
          </cell>
          <cell r="B860">
            <v>281</v>
          </cell>
          <cell r="C860">
            <v>61746.750000014901</v>
          </cell>
          <cell r="D860">
            <v>6.83</v>
          </cell>
          <cell r="E860">
            <v>10.4</v>
          </cell>
        </row>
        <row r="861">
          <cell r="A861">
            <v>45664</v>
          </cell>
          <cell r="B861">
            <v>282</v>
          </cell>
          <cell r="C861">
            <v>56549.999999985099</v>
          </cell>
          <cell r="D861">
            <v>6.11</v>
          </cell>
          <cell r="E861">
            <v>10.199999999999999</v>
          </cell>
        </row>
        <row r="862">
          <cell r="A862">
            <v>45665</v>
          </cell>
          <cell r="B862">
            <v>283</v>
          </cell>
          <cell r="C862">
            <v>64349.350000008941</v>
          </cell>
          <cell r="D862">
            <v>6.92</v>
          </cell>
          <cell r="E862">
            <v>10.9</v>
          </cell>
        </row>
        <row r="863">
          <cell r="A863">
            <v>45666</v>
          </cell>
          <cell r="B863">
            <v>284</v>
          </cell>
          <cell r="C863">
            <v>48750</v>
          </cell>
          <cell r="D863">
            <v>5.08</v>
          </cell>
          <cell r="E863">
            <v>10.5</v>
          </cell>
        </row>
        <row r="864">
          <cell r="A864">
            <v>45667</v>
          </cell>
          <cell r="B864">
            <v>285</v>
          </cell>
          <cell r="C864">
            <v>33150.649999991059</v>
          </cell>
          <cell r="D864">
            <v>3.31</v>
          </cell>
          <cell r="E864">
            <v>10.1</v>
          </cell>
        </row>
        <row r="865">
          <cell r="A865">
            <v>45668</v>
          </cell>
          <cell r="B865">
            <v>286</v>
          </cell>
          <cell r="C865">
            <v>20803.90000000596</v>
          </cell>
          <cell r="D865">
            <v>1.79</v>
          </cell>
          <cell r="E865">
            <v>8.1999999999999993</v>
          </cell>
        </row>
        <row r="866">
          <cell r="A866">
            <v>45669</v>
          </cell>
          <cell r="B866">
            <v>287</v>
          </cell>
          <cell r="C866">
            <v>57851.29999999702</v>
          </cell>
          <cell r="D866">
            <v>6.32</v>
          </cell>
          <cell r="E866">
            <v>10.6</v>
          </cell>
        </row>
        <row r="867">
          <cell r="A867">
            <v>45670</v>
          </cell>
          <cell r="B867">
            <v>288</v>
          </cell>
          <cell r="C867">
            <v>24700</v>
          </cell>
          <cell r="D867">
            <v>2.2999999999999998</v>
          </cell>
          <cell r="E867">
            <v>8.9</v>
          </cell>
        </row>
        <row r="868">
          <cell r="A868">
            <v>45671</v>
          </cell>
          <cell r="B868">
            <v>289</v>
          </cell>
          <cell r="C868">
            <v>29246.75</v>
          </cell>
          <cell r="D868">
            <v>2.75</v>
          </cell>
          <cell r="E868">
            <v>8.1999999999999993</v>
          </cell>
        </row>
        <row r="869">
          <cell r="A869">
            <v>45672</v>
          </cell>
          <cell r="B869">
            <v>290</v>
          </cell>
          <cell r="C869">
            <v>40300</v>
          </cell>
          <cell r="D869">
            <v>4.3</v>
          </cell>
          <cell r="E869">
            <v>10.9</v>
          </cell>
        </row>
        <row r="870">
          <cell r="A870">
            <v>45673</v>
          </cell>
          <cell r="B870">
            <v>291</v>
          </cell>
          <cell r="C870">
            <v>53297.40000000596</v>
          </cell>
          <cell r="D870">
            <v>5.2</v>
          </cell>
          <cell r="E870">
            <v>10.7</v>
          </cell>
        </row>
        <row r="871">
          <cell r="A871">
            <v>45674</v>
          </cell>
          <cell r="B871">
            <v>292</v>
          </cell>
          <cell r="C871">
            <v>41599.999999985099</v>
          </cell>
          <cell r="D871">
            <v>4.2</v>
          </cell>
          <cell r="E871">
            <v>10.5</v>
          </cell>
        </row>
        <row r="872">
          <cell r="A872">
            <v>45675</v>
          </cell>
          <cell r="B872">
            <v>293</v>
          </cell>
          <cell r="C872">
            <v>52003.25</v>
          </cell>
          <cell r="D872">
            <v>5.43</v>
          </cell>
          <cell r="E872">
            <v>10.8</v>
          </cell>
        </row>
        <row r="873">
          <cell r="A873">
            <v>45676</v>
          </cell>
          <cell r="B873">
            <v>294</v>
          </cell>
          <cell r="C873">
            <v>8450.0000000149012</v>
          </cell>
          <cell r="D873">
            <v>0.55000000000000004</v>
          </cell>
          <cell r="E873">
            <v>5.2</v>
          </cell>
        </row>
        <row r="874">
          <cell r="A874">
            <v>45677</v>
          </cell>
          <cell r="B874">
            <v>295</v>
          </cell>
          <cell r="C874">
            <v>57200.649999991059</v>
          </cell>
          <cell r="D874">
            <v>6.18</v>
          </cell>
          <cell r="E874">
            <v>10.7</v>
          </cell>
        </row>
        <row r="875">
          <cell r="A875">
            <v>45678</v>
          </cell>
          <cell r="B875">
            <v>296</v>
          </cell>
          <cell r="C875">
            <v>66301.300000011921</v>
          </cell>
          <cell r="D875">
            <v>7.06</v>
          </cell>
          <cell r="E875">
            <v>10.5</v>
          </cell>
        </row>
        <row r="876">
          <cell r="A876">
            <v>45679</v>
          </cell>
          <cell r="B876">
            <v>297</v>
          </cell>
          <cell r="C876">
            <v>63698.699999988079</v>
          </cell>
          <cell r="D876">
            <v>6.89</v>
          </cell>
          <cell r="E876">
            <v>10.9</v>
          </cell>
        </row>
        <row r="877">
          <cell r="A877">
            <v>45680</v>
          </cell>
          <cell r="B877">
            <v>298</v>
          </cell>
          <cell r="C877">
            <v>54598.04999999702</v>
          </cell>
          <cell r="D877">
            <v>5.73</v>
          </cell>
          <cell r="E877">
            <v>10.8</v>
          </cell>
        </row>
        <row r="878">
          <cell r="A878">
            <v>45681</v>
          </cell>
          <cell r="B878">
            <v>299</v>
          </cell>
          <cell r="C878">
            <v>63698.70000000298</v>
          </cell>
          <cell r="D878">
            <v>6.91</v>
          </cell>
          <cell r="E878">
            <v>10.6</v>
          </cell>
        </row>
        <row r="879">
          <cell r="A879">
            <v>45682</v>
          </cell>
          <cell r="B879">
            <v>300</v>
          </cell>
          <cell r="C879">
            <v>66301.29999999702</v>
          </cell>
          <cell r="D879">
            <v>7.14</v>
          </cell>
          <cell r="E879">
            <v>10.4</v>
          </cell>
        </row>
        <row r="880">
          <cell r="A880">
            <v>45683</v>
          </cell>
          <cell r="B880">
            <v>301</v>
          </cell>
          <cell r="C880">
            <v>70196.75</v>
          </cell>
          <cell r="D880">
            <v>7.51</v>
          </cell>
          <cell r="E880">
            <v>10.8</v>
          </cell>
        </row>
        <row r="881">
          <cell r="A881">
            <v>45684</v>
          </cell>
          <cell r="B881">
            <v>302</v>
          </cell>
          <cell r="C881">
            <v>68253.250000014901</v>
          </cell>
          <cell r="D881">
            <v>7.38</v>
          </cell>
          <cell r="E881">
            <v>10.9</v>
          </cell>
        </row>
        <row r="882">
          <cell r="A882">
            <v>45685</v>
          </cell>
          <cell r="B882">
            <v>303</v>
          </cell>
          <cell r="C882">
            <v>63698.70000000298</v>
          </cell>
          <cell r="D882">
            <v>6.76</v>
          </cell>
          <cell r="E882">
            <v>10.7</v>
          </cell>
        </row>
        <row r="883">
          <cell r="A883">
            <v>45686</v>
          </cell>
          <cell r="B883">
            <v>304</v>
          </cell>
          <cell r="C883">
            <v>63048.049999982119</v>
          </cell>
          <cell r="D883">
            <v>6.78</v>
          </cell>
          <cell r="E883">
            <v>10.4</v>
          </cell>
        </row>
        <row r="884">
          <cell r="A884">
            <v>45687</v>
          </cell>
          <cell r="B884">
            <v>305</v>
          </cell>
          <cell r="C884">
            <v>59152.600000008941</v>
          </cell>
          <cell r="D884">
            <v>6.42</v>
          </cell>
          <cell r="E884">
            <v>10.199999999999999</v>
          </cell>
        </row>
        <row r="885">
          <cell r="A885">
            <v>45688</v>
          </cell>
          <cell r="B885">
            <v>306</v>
          </cell>
          <cell r="C885">
            <v>64349.34999999404</v>
          </cell>
          <cell r="D885">
            <v>7.05</v>
          </cell>
          <cell r="E885">
            <v>10.5</v>
          </cell>
        </row>
        <row r="886">
          <cell r="A886">
            <v>45689</v>
          </cell>
          <cell r="B886">
            <v>307</v>
          </cell>
          <cell r="C886">
            <v>58501.300000011921</v>
          </cell>
          <cell r="D886">
            <v>6.25</v>
          </cell>
          <cell r="E886">
            <v>10.6</v>
          </cell>
        </row>
        <row r="887">
          <cell r="A887">
            <v>45690</v>
          </cell>
          <cell r="B887">
            <v>308</v>
          </cell>
          <cell r="C887">
            <v>70197.399999991059</v>
          </cell>
          <cell r="D887">
            <v>7.7</v>
          </cell>
          <cell r="E887">
            <v>10.8</v>
          </cell>
        </row>
        <row r="888">
          <cell r="A888">
            <v>45691</v>
          </cell>
          <cell r="B888">
            <v>309</v>
          </cell>
          <cell r="C888">
            <v>68253.25</v>
          </cell>
          <cell r="D888">
            <v>7.49</v>
          </cell>
          <cell r="E888">
            <v>10.4</v>
          </cell>
        </row>
        <row r="889">
          <cell r="A889">
            <v>45692</v>
          </cell>
          <cell r="B889">
            <v>310</v>
          </cell>
          <cell r="C889">
            <v>67601.95000000298</v>
          </cell>
          <cell r="D889">
            <v>7.2</v>
          </cell>
          <cell r="E889">
            <v>10.199999999999999</v>
          </cell>
        </row>
        <row r="890">
          <cell r="A890">
            <v>45693</v>
          </cell>
          <cell r="B890">
            <v>311</v>
          </cell>
          <cell r="C890">
            <v>66944.149999991059</v>
          </cell>
          <cell r="D890">
            <v>7.13</v>
          </cell>
          <cell r="E890">
            <v>10.9</v>
          </cell>
        </row>
        <row r="891">
          <cell r="A891">
            <v>45694</v>
          </cell>
          <cell r="B891">
            <v>312</v>
          </cell>
          <cell r="C891">
            <v>70205.20000000298</v>
          </cell>
          <cell r="D891">
            <v>7.09</v>
          </cell>
          <cell r="E891">
            <v>10.8</v>
          </cell>
        </row>
        <row r="892">
          <cell r="A892">
            <v>45695</v>
          </cell>
          <cell r="B892">
            <v>313</v>
          </cell>
          <cell r="C892">
            <v>70848.04999999702</v>
          </cell>
          <cell r="D892">
            <v>7.51</v>
          </cell>
          <cell r="E892">
            <v>10.6</v>
          </cell>
        </row>
        <row r="893">
          <cell r="A893">
            <v>45696</v>
          </cell>
          <cell r="B893">
            <v>314</v>
          </cell>
          <cell r="C893">
            <v>63698.70000000298</v>
          </cell>
          <cell r="D893">
            <v>6.72</v>
          </cell>
          <cell r="E893">
            <v>10.4</v>
          </cell>
        </row>
        <row r="894">
          <cell r="A894">
            <v>45697</v>
          </cell>
          <cell r="B894">
            <v>315</v>
          </cell>
          <cell r="C894">
            <v>63698.70000000298</v>
          </cell>
          <cell r="D894">
            <v>6.72</v>
          </cell>
          <cell r="E894">
            <v>10</v>
          </cell>
        </row>
        <row r="895">
          <cell r="A895">
            <v>45698</v>
          </cell>
          <cell r="B895">
            <v>316</v>
          </cell>
          <cell r="C895">
            <v>59802.600000008941</v>
          </cell>
          <cell r="D895">
            <v>6.33</v>
          </cell>
          <cell r="E895">
            <v>10.9</v>
          </cell>
        </row>
        <row r="896">
          <cell r="A896">
            <v>45699</v>
          </cell>
          <cell r="B896">
            <v>317</v>
          </cell>
          <cell r="C896">
            <v>68253.25</v>
          </cell>
          <cell r="D896">
            <v>7.39</v>
          </cell>
          <cell r="E896">
            <v>10.8</v>
          </cell>
        </row>
        <row r="897">
          <cell r="A897">
            <v>45700</v>
          </cell>
          <cell r="B897">
            <v>318</v>
          </cell>
          <cell r="C897">
            <v>71498.04999999702</v>
          </cell>
          <cell r="D897">
            <v>7.68</v>
          </cell>
          <cell r="E897">
            <v>10.5</v>
          </cell>
        </row>
        <row r="898">
          <cell r="A898">
            <v>45701</v>
          </cell>
          <cell r="B898">
            <v>319</v>
          </cell>
          <cell r="C898">
            <v>65650.649999991059</v>
          </cell>
          <cell r="D898">
            <v>7.05</v>
          </cell>
          <cell r="E898">
            <v>10.4</v>
          </cell>
        </row>
        <row r="899">
          <cell r="A899">
            <v>45702</v>
          </cell>
          <cell r="B899">
            <v>320</v>
          </cell>
          <cell r="C899">
            <v>65000</v>
          </cell>
          <cell r="D899">
            <v>6.93</v>
          </cell>
          <cell r="E899">
            <v>10.8</v>
          </cell>
        </row>
        <row r="900">
          <cell r="A900">
            <v>45703</v>
          </cell>
          <cell r="B900">
            <v>321</v>
          </cell>
          <cell r="C900">
            <v>63698.70000000298</v>
          </cell>
          <cell r="D900">
            <v>6.81</v>
          </cell>
          <cell r="E900">
            <v>10.199999999999999</v>
          </cell>
        </row>
        <row r="901">
          <cell r="A901">
            <v>45704</v>
          </cell>
          <cell r="B901">
            <v>322</v>
          </cell>
          <cell r="C901">
            <v>66951.95000000298</v>
          </cell>
          <cell r="D901">
            <v>7.08</v>
          </cell>
          <cell r="E901">
            <v>10.7</v>
          </cell>
        </row>
        <row r="902">
          <cell r="A902">
            <v>45705</v>
          </cell>
          <cell r="B902">
            <v>323</v>
          </cell>
          <cell r="C902">
            <v>66944.149999991059</v>
          </cell>
          <cell r="D902">
            <v>7.1</v>
          </cell>
          <cell r="E902">
            <v>10.9</v>
          </cell>
        </row>
        <row r="903">
          <cell r="A903">
            <v>45706</v>
          </cell>
          <cell r="B903">
            <v>324</v>
          </cell>
          <cell r="C903">
            <v>66301.29999999702</v>
          </cell>
          <cell r="D903">
            <v>7.08</v>
          </cell>
          <cell r="E903">
            <v>10.3</v>
          </cell>
        </row>
        <row r="904">
          <cell r="A904">
            <v>45707</v>
          </cell>
          <cell r="B904">
            <v>325</v>
          </cell>
          <cell r="C904">
            <v>65000</v>
          </cell>
          <cell r="D904">
            <v>6.92</v>
          </cell>
          <cell r="E904">
            <v>10.8</v>
          </cell>
        </row>
        <row r="905">
          <cell r="A905">
            <v>45708</v>
          </cell>
          <cell r="B905">
            <v>326</v>
          </cell>
          <cell r="C905">
            <v>63055.850000008941</v>
          </cell>
          <cell r="D905">
            <v>6.81</v>
          </cell>
          <cell r="E905">
            <v>10.4</v>
          </cell>
        </row>
        <row r="906">
          <cell r="A906">
            <v>45709</v>
          </cell>
          <cell r="B906">
            <v>327</v>
          </cell>
          <cell r="C906">
            <v>63698.70000000298</v>
          </cell>
          <cell r="D906">
            <v>6.71</v>
          </cell>
          <cell r="E906">
            <v>10.7</v>
          </cell>
        </row>
        <row r="907">
          <cell r="A907">
            <v>45710</v>
          </cell>
          <cell r="B907">
            <v>328</v>
          </cell>
          <cell r="C907">
            <v>60446.09999999404</v>
          </cell>
          <cell r="D907">
            <v>6.68</v>
          </cell>
          <cell r="E907">
            <v>10.5</v>
          </cell>
        </row>
        <row r="908">
          <cell r="A908">
            <v>45711</v>
          </cell>
          <cell r="B908">
            <v>329</v>
          </cell>
          <cell r="C908">
            <v>61103.899999991059</v>
          </cell>
          <cell r="D908">
            <v>6.38</v>
          </cell>
          <cell r="E908">
            <v>10.9</v>
          </cell>
        </row>
        <row r="909">
          <cell r="A909">
            <v>45712</v>
          </cell>
          <cell r="B909">
            <v>330</v>
          </cell>
          <cell r="C909">
            <v>69546.750000014901</v>
          </cell>
          <cell r="D909">
            <v>7.28</v>
          </cell>
          <cell r="E909">
            <v>10.4</v>
          </cell>
        </row>
        <row r="910">
          <cell r="A910">
            <v>45713</v>
          </cell>
          <cell r="B910">
            <v>331</v>
          </cell>
          <cell r="C910">
            <v>67601.95000000298</v>
          </cell>
          <cell r="D910">
            <v>7</v>
          </cell>
          <cell r="E910">
            <v>10.6</v>
          </cell>
        </row>
        <row r="911">
          <cell r="A911">
            <v>45714</v>
          </cell>
          <cell r="B911">
            <v>332</v>
          </cell>
          <cell r="C911">
            <v>66301.29999999702</v>
          </cell>
          <cell r="D911">
            <v>6.87</v>
          </cell>
          <cell r="E911">
            <v>10.199999999999999</v>
          </cell>
        </row>
        <row r="912">
          <cell r="A912">
            <v>45715</v>
          </cell>
          <cell r="B912">
            <v>333</v>
          </cell>
          <cell r="C912">
            <v>67594.79999999702</v>
          </cell>
          <cell r="D912">
            <v>7.07</v>
          </cell>
          <cell r="E912">
            <v>10.9</v>
          </cell>
        </row>
        <row r="913">
          <cell r="A913">
            <v>45716</v>
          </cell>
          <cell r="B913">
            <v>334</v>
          </cell>
          <cell r="C913">
            <v>63055.84999999404</v>
          </cell>
          <cell r="D913">
            <v>6.5</v>
          </cell>
          <cell r="E913">
            <v>10.8</v>
          </cell>
        </row>
        <row r="914">
          <cell r="A914">
            <v>45717</v>
          </cell>
          <cell r="B914">
            <v>335</v>
          </cell>
          <cell r="C914">
            <v>55899.34999999404</v>
          </cell>
          <cell r="D914">
            <v>5.85</v>
          </cell>
          <cell r="E914">
            <v>10.9</v>
          </cell>
        </row>
        <row r="915">
          <cell r="A915">
            <v>45718</v>
          </cell>
          <cell r="B915">
            <v>336</v>
          </cell>
          <cell r="C915">
            <v>63698.70000000298</v>
          </cell>
          <cell r="D915">
            <v>6.85</v>
          </cell>
          <cell r="E915">
            <v>10.6</v>
          </cell>
        </row>
        <row r="916">
          <cell r="A916">
            <v>45719</v>
          </cell>
          <cell r="B916">
            <v>337</v>
          </cell>
          <cell r="C916">
            <v>63698.700000017881</v>
          </cell>
          <cell r="D916">
            <v>6.67</v>
          </cell>
          <cell r="E916">
            <v>10.4</v>
          </cell>
        </row>
        <row r="917">
          <cell r="A917">
            <v>45720</v>
          </cell>
          <cell r="B917">
            <v>338</v>
          </cell>
          <cell r="C917">
            <v>54598.04999999702</v>
          </cell>
          <cell r="D917">
            <v>5.5</v>
          </cell>
          <cell r="E917">
            <v>10.199999999999999</v>
          </cell>
        </row>
        <row r="918">
          <cell r="A918">
            <v>45721</v>
          </cell>
          <cell r="B918">
            <v>339</v>
          </cell>
          <cell r="C918">
            <v>56549.34999999404</v>
          </cell>
          <cell r="D918">
            <v>5.85</v>
          </cell>
          <cell r="E918">
            <v>10.8</v>
          </cell>
        </row>
        <row r="919">
          <cell r="A919">
            <v>45722</v>
          </cell>
          <cell r="B919">
            <v>340</v>
          </cell>
          <cell r="C919">
            <v>57200.65000000596</v>
          </cell>
          <cell r="D919">
            <v>5.98</v>
          </cell>
          <cell r="E919">
            <v>10.7</v>
          </cell>
        </row>
        <row r="920">
          <cell r="A920">
            <v>45723</v>
          </cell>
          <cell r="B920">
            <v>341</v>
          </cell>
          <cell r="C920">
            <v>65650.649999991059</v>
          </cell>
          <cell r="D920">
            <v>7.01</v>
          </cell>
          <cell r="E920">
            <v>10.5</v>
          </cell>
        </row>
        <row r="921">
          <cell r="A921">
            <v>45724</v>
          </cell>
          <cell r="B921">
            <v>342</v>
          </cell>
          <cell r="C921">
            <v>60453.25</v>
          </cell>
          <cell r="D921">
            <v>6.34</v>
          </cell>
          <cell r="E921">
            <v>10.8</v>
          </cell>
        </row>
        <row r="922">
          <cell r="A922">
            <v>45725</v>
          </cell>
          <cell r="B922">
            <v>343</v>
          </cell>
          <cell r="C922">
            <v>63048.050000011921</v>
          </cell>
          <cell r="D922">
            <v>6.6</v>
          </cell>
          <cell r="E922">
            <v>10.6</v>
          </cell>
        </row>
        <row r="923">
          <cell r="A923">
            <v>45726</v>
          </cell>
          <cell r="B923">
            <v>344</v>
          </cell>
          <cell r="C923">
            <v>65650.649999991059</v>
          </cell>
          <cell r="D923">
            <v>6.9</v>
          </cell>
          <cell r="E923">
            <v>10.9</v>
          </cell>
        </row>
        <row r="924">
          <cell r="A924">
            <v>45727</v>
          </cell>
          <cell r="B924">
            <v>345</v>
          </cell>
          <cell r="C924">
            <v>61096.09999999404</v>
          </cell>
          <cell r="D924">
            <v>5.97</v>
          </cell>
          <cell r="E924">
            <v>10.5</v>
          </cell>
        </row>
        <row r="925">
          <cell r="A925">
            <v>45728</v>
          </cell>
          <cell r="B925">
            <v>346</v>
          </cell>
          <cell r="C925">
            <v>57200.65000000596</v>
          </cell>
          <cell r="D925">
            <v>6</v>
          </cell>
          <cell r="E925">
            <v>10.4</v>
          </cell>
        </row>
        <row r="926">
          <cell r="A926">
            <v>45729</v>
          </cell>
          <cell r="B926">
            <v>347</v>
          </cell>
          <cell r="C926">
            <v>66301.29999999702</v>
          </cell>
          <cell r="D926">
            <v>7.21</v>
          </cell>
          <cell r="E926">
            <v>10.8</v>
          </cell>
        </row>
        <row r="927">
          <cell r="A927">
            <v>45730</v>
          </cell>
          <cell r="B927">
            <v>348</v>
          </cell>
          <cell r="C927">
            <v>65650.65000000596</v>
          </cell>
          <cell r="D927">
            <v>6.98</v>
          </cell>
          <cell r="E927">
            <v>10.7</v>
          </cell>
        </row>
        <row r="928">
          <cell r="A928">
            <v>45731</v>
          </cell>
          <cell r="B928">
            <v>349</v>
          </cell>
          <cell r="C928">
            <v>67601.95000000298</v>
          </cell>
          <cell r="D928">
            <v>7.22</v>
          </cell>
          <cell r="E928">
            <v>10.3</v>
          </cell>
        </row>
        <row r="929">
          <cell r="A929">
            <v>45732</v>
          </cell>
          <cell r="B929">
            <v>350</v>
          </cell>
          <cell r="C929">
            <v>66301.29999999702</v>
          </cell>
          <cell r="D929">
            <v>7.09</v>
          </cell>
          <cell r="E929">
            <v>10.8</v>
          </cell>
        </row>
        <row r="930">
          <cell r="A930">
            <v>45733</v>
          </cell>
          <cell r="B930">
            <v>351</v>
          </cell>
          <cell r="C930">
            <v>61747.399999991059</v>
          </cell>
          <cell r="D930">
            <v>6.46</v>
          </cell>
          <cell r="E930">
            <v>10.7</v>
          </cell>
        </row>
        <row r="931">
          <cell r="A931">
            <v>45734</v>
          </cell>
          <cell r="B931">
            <v>352</v>
          </cell>
          <cell r="C931">
            <v>61103.90000000596</v>
          </cell>
          <cell r="D931">
            <v>6.64</v>
          </cell>
          <cell r="E931">
            <v>10.5</v>
          </cell>
        </row>
        <row r="932">
          <cell r="A932">
            <v>45735</v>
          </cell>
          <cell r="B932">
            <v>353</v>
          </cell>
          <cell r="C932">
            <v>65000</v>
          </cell>
          <cell r="D932">
            <v>6.92</v>
          </cell>
          <cell r="E932">
            <v>10.8</v>
          </cell>
        </row>
        <row r="933">
          <cell r="A933">
            <v>45736</v>
          </cell>
          <cell r="B933">
            <v>354</v>
          </cell>
          <cell r="C933">
            <v>66293.5</v>
          </cell>
          <cell r="D933">
            <v>7.06</v>
          </cell>
          <cell r="E933">
            <v>10.9</v>
          </cell>
        </row>
        <row r="934">
          <cell r="A934">
            <v>45737</v>
          </cell>
          <cell r="B934">
            <v>355</v>
          </cell>
          <cell r="C934">
            <v>59151.95000000298</v>
          </cell>
          <cell r="D934">
            <v>6.16</v>
          </cell>
          <cell r="E934">
            <v>10.7</v>
          </cell>
        </row>
        <row r="935">
          <cell r="A935">
            <v>45738</v>
          </cell>
          <cell r="B935">
            <v>356</v>
          </cell>
          <cell r="C935">
            <v>43552.59999999404</v>
          </cell>
          <cell r="D935">
            <v>4.34</v>
          </cell>
          <cell r="E935">
            <v>10.199999999999999</v>
          </cell>
        </row>
        <row r="936">
          <cell r="A936">
            <v>45739</v>
          </cell>
          <cell r="B936">
            <v>357</v>
          </cell>
          <cell r="C936">
            <v>47448.70000000298</v>
          </cell>
          <cell r="D936">
            <v>4.9000000000000004</v>
          </cell>
          <cell r="E936">
            <v>10.5</v>
          </cell>
        </row>
        <row r="937">
          <cell r="A937">
            <v>45740</v>
          </cell>
          <cell r="B937">
            <v>358</v>
          </cell>
          <cell r="C937">
            <v>55248.70000000298</v>
          </cell>
          <cell r="D937">
            <v>5.99</v>
          </cell>
          <cell r="E937">
            <v>10.3</v>
          </cell>
        </row>
        <row r="938">
          <cell r="A938">
            <v>45741</v>
          </cell>
          <cell r="B938">
            <v>359</v>
          </cell>
          <cell r="C938">
            <v>59151.95000000298</v>
          </cell>
          <cell r="D938">
            <v>6.3</v>
          </cell>
          <cell r="E938">
            <v>10.5</v>
          </cell>
        </row>
        <row r="939">
          <cell r="A939">
            <v>45742</v>
          </cell>
          <cell r="B939">
            <v>360</v>
          </cell>
          <cell r="C939">
            <v>59152.59999999404</v>
          </cell>
          <cell r="D939">
            <v>6.15</v>
          </cell>
          <cell r="E939">
            <v>10.4</v>
          </cell>
        </row>
        <row r="940">
          <cell r="A940">
            <v>45743</v>
          </cell>
          <cell r="B940">
            <v>361</v>
          </cell>
          <cell r="C940">
            <v>55248.04999999702</v>
          </cell>
          <cell r="D940">
            <v>6.25</v>
          </cell>
          <cell r="E940">
            <v>10.6</v>
          </cell>
        </row>
        <row r="941">
          <cell r="A941">
            <v>45744</v>
          </cell>
          <cell r="B941">
            <v>362</v>
          </cell>
          <cell r="C941">
            <v>54598.050000011921</v>
          </cell>
          <cell r="D941">
            <v>5.8</v>
          </cell>
          <cell r="E941">
            <v>10.8</v>
          </cell>
        </row>
        <row r="942">
          <cell r="A942">
            <v>45745</v>
          </cell>
          <cell r="B942">
            <v>363</v>
          </cell>
          <cell r="C942">
            <v>59802.59999999404</v>
          </cell>
          <cell r="D942">
            <v>6.31</v>
          </cell>
          <cell r="E942">
            <v>10.5</v>
          </cell>
        </row>
        <row r="943">
          <cell r="A943">
            <v>45746</v>
          </cell>
          <cell r="B943">
            <v>364</v>
          </cell>
          <cell r="C943">
            <v>57851.29999999702</v>
          </cell>
          <cell r="D943">
            <v>6.12</v>
          </cell>
          <cell r="E943">
            <v>10.8</v>
          </cell>
        </row>
        <row r="944">
          <cell r="A944">
            <v>45747</v>
          </cell>
          <cell r="B944">
            <v>365</v>
          </cell>
          <cell r="C944">
            <v>55248.04999999702</v>
          </cell>
          <cell r="D944">
            <v>5.8</v>
          </cell>
          <cell r="E944">
            <v>10.199999999999999</v>
          </cell>
        </row>
        <row r="945">
          <cell r="A945">
            <v>45748</v>
          </cell>
          <cell r="B945">
            <v>1</v>
          </cell>
          <cell r="C945">
            <v>50701.95000000298</v>
          </cell>
          <cell r="D945">
            <v>5.3</v>
          </cell>
          <cell r="E945">
            <v>10.1</v>
          </cell>
        </row>
        <row r="946">
          <cell r="A946">
            <v>45749</v>
          </cell>
          <cell r="B946">
            <v>2</v>
          </cell>
          <cell r="C946">
            <v>58494.15000000596</v>
          </cell>
          <cell r="D946">
            <v>6.09</v>
          </cell>
          <cell r="E946">
            <v>10</v>
          </cell>
        </row>
        <row r="947">
          <cell r="A947">
            <v>45750</v>
          </cell>
          <cell r="B947">
            <v>3</v>
          </cell>
          <cell r="C947">
            <v>29905.20000000298</v>
          </cell>
          <cell r="D947">
            <v>2.65</v>
          </cell>
          <cell r="E947">
            <v>9.9</v>
          </cell>
        </row>
        <row r="948">
          <cell r="A948">
            <v>45751</v>
          </cell>
          <cell r="B948">
            <v>4</v>
          </cell>
          <cell r="C948">
            <v>43544.799999982119</v>
          </cell>
          <cell r="D948">
            <v>4.45</v>
          </cell>
          <cell r="E948">
            <v>10.5</v>
          </cell>
        </row>
        <row r="949">
          <cell r="A949">
            <v>45752</v>
          </cell>
          <cell r="B949">
            <v>5</v>
          </cell>
          <cell r="C949">
            <v>53304.54999999702</v>
          </cell>
          <cell r="D949">
            <v>5.45</v>
          </cell>
          <cell r="E949">
            <v>10.3</v>
          </cell>
        </row>
        <row r="950">
          <cell r="A950">
            <v>45753</v>
          </cell>
          <cell r="B950">
            <v>6</v>
          </cell>
          <cell r="C950">
            <v>51344.800000011921</v>
          </cell>
          <cell r="D950">
            <v>5.2</v>
          </cell>
          <cell r="E950">
            <v>9.9</v>
          </cell>
        </row>
        <row r="951">
          <cell r="A951">
            <v>45754</v>
          </cell>
          <cell r="B951">
            <v>7</v>
          </cell>
          <cell r="C951">
            <v>56549.34999999404</v>
          </cell>
          <cell r="D951">
            <v>5.9</v>
          </cell>
          <cell r="E951">
            <v>10.1</v>
          </cell>
        </row>
        <row r="952">
          <cell r="A952">
            <v>45755</v>
          </cell>
          <cell r="B952">
            <v>8</v>
          </cell>
          <cell r="C952">
            <v>58501.95000000298</v>
          </cell>
          <cell r="D952">
            <v>6.06</v>
          </cell>
          <cell r="E952">
            <v>10.8</v>
          </cell>
        </row>
        <row r="953">
          <cell r="A953">
            <v>45756</v>
          </cell>
          <cell r="B953">
            <v>9</v>
          </cell>
          <cell r="C953">
            <v>59802.59999999404</v>
          </cell>
          <cell r="D953">
            <v>6.16</v>
          </cell>
          <cell r="E953">
            <v>10.7</v>
          </cell>
        </row>
        <row r="954">
          <cell r="A954">
            <v>45757</v>
          </cell>
          <cell r="B954">
            <v>10</v>
          </cell>
          <cell r="C954">
            <v>52646.100000008941</v>
          </cell>
          <cell r="D954">
            <v>5.41</v>
          </cell>
          <cell r="E954">
            <v>10.9</v>
          </cell>
        </row>
        <row r="955">
          <cell r="A955">
            <v>45758</v>
          </cell>
          <cell r="B955">
            <v>11</v>
          </cell>
          <cell r="C955">
            <v>46155.199999988079</v>
          </cell>
          <cell r="D955">
            <v>4.16</v>
          </cell>
          <cell r="E955">
            <v>10.8</v>
          </cell>
        </row>
        <row r="956">
          <cell r="A956">
            <v>45759</v>
          </cell>
          <cell r="B956">
            <v>12</v>
          </cell>
          <cell r="C956">
            <v>57850.65000000596</v>
          </cell>
          <cell r="D956">
            <v>6.05</v>
          </cell>
          <cell r="E956">
            <v>10.199999999999999</v>
          </cell>
        </row>
        <row r="957">
          <cell r="A957">
            <v>45760</v>
          </cell>
          <cell r="B957">
            <v>13</v>
          </cell>
          <cell r="C957">
            <v>51344.79999999702</v>
          </cell>
          <cell r="D957">
            <v>5.23</v>
          </cell>
          <cell r="E957">
            <v>10</v>
          </cell>
        </row>
        <row r="958">
          <cell r="A958">
            <v>45761</v>
          </cell>
          <cell r="B958">
            <v>14</v>
          </cell>
          <cell r="C958">
            <v>51352.600000008941</v>
          </cell>
          <cell r="D958">
            <v>5.41</v>
          </cell>
          <cell r="E958">
            <v>10.1</v>
          </cell>
        </row>
        <row r="959">
          <cell r="A959">
            <v>45762</v>
          </cell>
          <cell r="B959">
            <v>15</v>
          </cell>
          <cell r="C959">
            <v>53296.75</v>
          </cell>
          <cell r="D959">
            <v>5.5</v>
          </cell>
          <cell r="E959">
            <v>10.5</v>
          </cell>
        </row>
        <row r="960">
          <cell r="A960">
            <v>45763</v>
          </cell>
          <cell r="B960">
            <v>16</v>
          </cell>
          <cell r="C960">
            <v>46805.850000008941</v>
          </cell>
          <cell r="D960">
            <v>4.87</v>
          </cell>
          <cell r="E960">
            <v>10</v>
          </cell>
        </row>
        <row r="961">
          <cell r="A961">
            <v>45764</v>
          </cell>
          <cell r="B961">
            <v>17</v>
          </cell>
          <cell r="C961">
            <v>51995.449999988079</v>
          </cell>
          <cell r="D961">
            <v>5.29</v>
          </cell>
          <cell r="E961">
            <v>10.4</v>
          </cell>
        </row>
        <row r="962">
          <cell r="A962">
            <v>45765</v>
          </cell>
          <cell r="B962">
            <v>18</v>
          </cell>
          <cell r="C962">
            <v>40299.34999999404</v>
          </cell>
          <cell r="D962">
            <v>4.17</v>
          </cell>
          <cell r="E962">
            <v>10.3</v>
          </cell>
        </row>
        <row r="963">
          <cell r="A963">
            <v>45766</v>
          </cell>
          <cell r="B963">
            <v>19</v>
          </cell>
          <cell r="C963">
            <v>50051.300000011921</v>
          </cell>
          <cell r="D963">
            <v>5.13</v>
          </cell>
          <cell r="E963">
            <v>10.199999999999999</v>
          </cell>
        </row>
        <row r="964">
          <cell r="A964">
            <v>45767</v>
          </cell>
          <cell r="B964">
            <v>20</v>
          </cell>
          <cell r="C964">
            <v>39649.34999999404</v>
          </cell>
          <cell r="D964">
            <v>4.03</v>
          </cell>
          <cell r="E964">
            <v>10.5</v>
          </cell>
        </row>
        <row r="965">
          <cell r="A965">
            <v>45768</v>
          </cell>
          <cell r="B965">
            <v>21</v>
          </cell>
          <cell r="C965">
            <v>56549.34999999404</v>
          </cell>
          <cell r="D965">
            <v>5.82</v>
          </cell>
          <cell r="E965">
            <v>10.1</v>
          </cell>
        </row>
        <row r="966">
          <cell r="A966">
            <v>45769</v>
          </cell>
          <cell r="B966">
            <v>22</v>
          </cell>
          <cell r="C966">
            <v>58501.95000000298</v>
          </cell>
          <cell r="D966">
            <v>6.07</v>
          </cell>
          <cell r="E966">
            <v>10.9</v>
          </cell>
        </row>
        <row r="967">
          <cell r="A967">
            <v>45770</v>
          </cell>
          <cell r="B967">
            <v>23</v>
          </cell>
          <cell r="C967">
            <v>55248.04999999702</v>
          </cell>
          <cell r="D967">
            <v>5.73</v>
          </cell>
          <cell r="E967">
            <v>10.199999999999999</v>
          </cell>
        </row>
        <row r="968">
          <cell r="A968">
            <v>45771</v>
          </cell>
          <cell r="B968">
            <v>24</v>
          </cell>
          <cell r="C968">
            <v>57200.65000000596</v>
          </cell>
          <cell r="D968">
            <v>5.89</v>
          </cell>
          <cell r="E968">
            <v>10</v>
          </cell>
        </row>
        <row r="969">
          <cell r="A969">
            <v>45772</v>
          </cell>
          <cell r="B969">
            <v>25</v>
          </cell>
          <cell r="C969">
            <v>55898.70000000298</v>
          </cell>
          <cell r="D969">
            <v>5.78</v>
          </cell>
          <cell r="E969">
            <v>11</v>
          </cell>
        </row>
        <row r="970">
          <cell r="A970">
            <v>45773</v>
          </cell>
          <cell r="B970">
            <v>26</v>
          </cell>
          <cell r="C970">
            <v>50701.95000000298</v>
          </cell>
          <cell r="D970">
            <v>5.1100000000000003</v>
          </cell>
          <cell r="E970">
            <v>11.1</v>
          </cell>
        </row>
        <row r="971">
          <cell r="A971">
            <v>45774</v>
          </cell>
          <cell r="B971">
            <v>27</v>
          </cell>
          <cell r="C971">
            <v>47448.699999988079</v>
          </cell>
          <cell r="D971">
            <v>4.6500000000000004</v>
          </cell>
          <cell r="E971">
            <v>10.3</v>
          </cell>
        </row>
        <row r="972">
          <cell r="A972">
            <v>45775</v>
          </cell>
          <cell r="B972">
            <v>28</v>
          </cell>
          <cell r="C972">
            <v>51352.600000008941</v>
          </cell>
          <cell r="D972">
            <v>5.13</v>
          </cell>
          <cell r="E972">
            <v>10.1</v>
          </cell>
        </row>
        <row r="973">
          <cell r="A973">
            <v>45776</v>
          </cell>
          <cell r="B973">
            <v>29</v>
          </cell>
          <cell r="C973">
            <v>52653.90000000596</v>
          </cell>
          <cell r="D973">
            <v>5.16</v>
          </cell>
          <cell r="E973">
            <v>10.4</v>
          </cell>
        </row>
        <row r="974">
          <cell r="A974">
            <v>45777</v>
          </cell>
          <cell r="B974">
            <v>30</v>
          </cell>
          <cell r="C974">
            <v>51995.449999988079</v>
          </cell>
          <cell r="D974">
            <v>5.08</v>
          </cell>
          <cell r="E974">
            <v>10.199999999999999</v>
          </cell>
        </row>
        <row r="975">
          <cell r="A975">
            <v>45778</v>
          </cell>
          <cell r="B975">
            <v>31</v>
          </cell>
          <cell r="C975">
            <v>46800.65000000596</v>
          </cell>
          <cell r="D975"/>
          <cell r="E975">
            <v>9.1999999999999993</v>
          </cell>
        </row>
        <row r="976">
          <cell r="A976">
            <v>45779</v>
          </cell>
          <cell r="B976">
            <v>32</v>
          </cell>
          <cell r="C976">
            <v>53950</v>
          </cell>
          <cell r="D976"/>
          <cell r="E976">
            <v>9.9</v>
          </cell>
        </row>
        <row r="977">
          <cell r="A977">
            <v>45780</v>
          </cell>
          <cell r="B977">
            <v>33</v>
          </cell>
          <cell r="C977">
            <v>54600</v>
          </cell>
          <cell r="D977"/>
          <cell r="E977">
            <v>10</v>
          </cell>
        </row>
        <row r="978">
          <cell r="A978">
            <v>45781</v>
          </cell>
          <cell r="B978">
            <v>34</v>
          </cell>
          <cell r="C978">
            <v>59800</v>
          </cell>
          <cell r="D978"/>
          <cell r="E978">
            <v>10.6</v>
          </cell>
        </row>
        <row r="979">
          <cell r="A979">
            <v>45782</v>
          </cell>
          <cell r="B979">
            <v>35</v>
          </cell>
          <cell r="C979">
            <v>52650</v>
          </cell>
          <cell r="D979"/>
          <cell r="E979">
            <v>9.5</v>
          </cell>
        </row>
        <row r="980">
          <cell r="A980">
            <v>45783</v>
          </cell>
          <cell r="B980">
            <v>36</v>
          </cell>
          <cell r="C980">
            <v>57200</v>
          </cell>
          <cell r="D980"/>
          <cell r="E980">
            <v>9.8000000000000007</v>
          </cell>
        </row>
        <row r="981">
          <cell r="A981">
            <v>45784</v>
          </cell>
          <cell r="B981">
            <v>37</v>
          </cell>
          <cell r="C981">
            <v>57850</v>
          </cell>
          <cell r="D981"/>
          <cell r="E981">
            <v>10.1</v>
          </cell>
        </row>
        <row r="982">
          <cell r="A982">
            <v>45785</v>
          </cell>
          <cell r="B982">
            <v>38</v>
          </cell>
          <cell r="C982">
            <v>46150</v>
          </cell>
          <cell r="D982"/>
          <cell r="E982">
            <v>10</v>
          </cell>
        </row>
        <row r="983">
          <cell r="A983">
            <v>45786</v>
          </cell>
          <cell r="B983">
            <v>39</v>
          </cell>
          <cell r="C983">
            <v>37700</v>
          </cell>
          <cell r="D983"/>
          <cell r="E983">
            <v>10.6</v>
          </cell>
        </row>
        <row r="984">
          <cell r="A984">
            <v>45787</v>
          </cell>
          <cell r="B984">
            <v>40</v>
          </cell>
          <cell r="C984">
            <v>52000</v>
          </cell>
          <cell r="D984"/>
          <cell r="E984">
            <v>10.3</v>
          </cell>
        </row>
        <row r="985">
          <cell r="A985">
            <v>45788</v>
          </cell>
          <cell r="B985">
            <v>41</v>
          </cell>
          <cell r="C985">
            <v>57200</v>
          </cell>
          <cell r="D985"/>
          <cell r="E985">
            <v>10.1</v>
          </cell>
        </row>
        <row r="986">
          <cell r="A986">
            <v>45789</v>
          </cell>
          <cell r="B986">
            <v>42</v>
          </cell>
          <cell r="C986">
            <v>60450</v>
          </cell>
          <cell r="D986"/>
          <cell r="E986">
            <v>10.7</v>
          </cell>
        </row>
        <row r="987">
          <cell r="A987">
            <v>45790</v>
          </cell>
          <cell r="B987">
            <v>43</v>
          </cell>
          <cell r="C987">
            <v>59150</v>
          </cell>
          <cell r="D987"/>
          <cell r="E987">
            <v>10.5</v>
          </cell>
        </row>
        <row r="988">
          <cell r="A988">
            <v>45791</v>
          </cell>
          <cell r="B988">
            <v>44</v>
          </cell>
          <cell r="C988">
            <v>61750</v>
          </cell>
          <cell r="D988"/>
          <cell r="E988">
            <v>10.7</v>
          </cell>
        </row>
        <row r="989">
          <cell r="A989">
            <v>45792</v>
          </cell>
          <cell r="B989">
            <v>45</v>
          </cell>
          <cell r="C989">
            <v>64350</v>
          </cell>
          <cell r="D989"/>
          <cell r="E989">
            <v>10.199999999999999</v>
          </cell>
        </row>
        <row r="990">
          <cell r="A990">
            <v>45793</v>
          </cell>
          <cell r="B990">
            <v>46</v>
          </cell>
          <cell r="C990">
            <v>61100</v>
          </cell>
          <cell r="D990"/>
          <cell r="E990">
            <v>10.199999999999999</v>
          </cell>
        </row>
        <row r="991">
          <cell r="A991">
            <v>45794</v>
          </cell>
          <cell r="B991">
            <v>47</v>
          </cell>
          <cell r="C991">
            <v>44200</v>
          </cell>
          <cell r="D991"/>
          <cell r="E991">
            <v>9.1999999999999993</v>
          </cell>
        </row>
        <row r="992">
          <cell r="A992">
            <v>45795</v>
          </cell>
          <cell r="B992">
            <v>48</v>
          </cell>
          <cell r="C992">
            <v>42250</v>
          </cell>
          <cell r="D992"/>
          <cell r="E992">
            <v>10</v>
          </cell>
        </row>
        <row r="993">
          <cell r="A993">
            <v>45796</v>
          </cell>
          <cell r="B993">
            <v>49</v>
          </cell>
          <cell r="C993">
            <v>40950</v>
          </cell>
          <cell r="D993"/>
          <cell r="E993">
            <v>10.5</v>
          </cell>
        </row>
        <row r="994">
          <cell r="A994">
            <v>45797</v>
          </cell>
          <cell r="B994">
            <v>50</v>
          </cell>
          <cell r="C994">
            <v>32500</v>
          </cell>
          <cell r="D994"/>
          <cell r="E994">
            <v>9.1</v>
          </cell>
        </row>
        <row r="995">
          <cell r="A995">
            <v>45798</v>
          </cell>
          <cell r="B995">
            <v>51</v>
          </cell>
          <cell r="C995">
            <v>37700</v>
          </cell>
          <cell r="D995"/>
          <cell r="E995">
            <v>10.199999999999999</v>
          </cell>
        </row>
        <row r="996">
          <cell r="A996">
            <v>45799</v>
          </cell>
          <cell r="B996">
            <v>52</v>
          </cell>
          <cell r="C996">
            <v>50050</v>
          </cell>
          <cell r="D996"/>
          <cell r="E996">
            <v>10.5</v>
          </cell>
        </row>
        <row r="997">
          <cell r="A997">
            <v>45800</v>
          </cell>
          <cell r="B997">
            <v>53</v>
          </cell>
          <cell r="C997">
            <v>50700</v>
          </cell>
          <cell r="D997"/>
          <cell r="E997">
            <v>8.9</v>
          </cell>
        </row>
        <row r="998">
          <cell r="A998">
            <v>45801</v>
          </cell>
          <cell r="B998">
            <v>54</v>
          </cell>
          <cell r="C998">
            <v>27950</v>
          </cell>
          <cell r="D998"/>
          <cell r="E998">
            <v>9.1999999999999993</v>
          </cell>
        </row>
        <row r="999">
          <cell r="A999">
            <v>45802</v>
          </cell>
          <cell r="B999">
            <v>55</v>
          </cell>
          <cell r="C999">
            <v>40300</v>
          </cell>
          <cell r="D999"/>
          <cell r="E999">
            <v>8.6</v>
          </cell>
        </row>
        <row r="1000">
          <cell r="A1000">
            <v>45803</v>
          </cell>
          <cell r="B1000">
            <v>56</v>
          </cell>
          <cell r="C1000">
            <v>37700</v>
          </cell>
          <cell r="D1000"/>
          <cell r="E1000">
            <v>8.1999999999999993</v>
          </cell>
        </row>
        <row r="1001">
          <cell r="A1001">
            <v>45804</v>
          </cell>
          <cell r="B1001">
            <v>57</v>
          </cell>
          <cell r="C1001">
            <v>35750</v>
          </cell>
          <cell r="D1001"/>
          <cell r="E1001">
            <v>7.2</v>
          </cell>
        </row>
        <row r="1002">
          <cell r="A1002">
            <v>45805</v>
          </cell>
          <cell r="B1002">
            <v>58</v>
          </cell>
          <cell r="C1002">
            <v>44200</v>
          </cell>
          <cell r="D1002"/>
          <cell r="E1002">
            <v>8.6</v>
          </cell>
        </row>
        <row r="1003">
          <cell r="A1003">
            <v>45806</v>
          </cell>
          <cell r="B1003">
            <v>59</v>
          </cell>
          <cell r="C1003">
            <v>36400</v>
          </cell>
          <cell r="D1003"/>
          <cell r="E1003">
            <v>8.9</v>
          </cell>
        </row>
        <row r="1004">
          <cell r="A1004">
            <v>45807</v>
          </cell>
          <cell r="B1004">
            <v>60</v>
          </cell>
          <cell r="C1004">
            <v>29250</v>
          </cell>
          <cell r="D1004"/>
          <cell r="E1004">
            <v>9.9</v>
          </cell>
        </row>
        <row r="1005">
          <cell r="A1005">
            <v>45808</v>
          </cell>
          <cell r="B1005">
            <v>61</v>
          </cell>
          <cell r="C1005">
            <v>59150</v>
          </cell>
          <cell r="D1005"/>
          <cell r="E1005">
            <v>10.6</v>
          </cell>
        </row>
        <row r="1006">
          <cell r="A1006">
            <v>45809</v>
          </cell>
          <cell r="B1006">
            <v>62</v>
          </cell>
          <cell r="C1006">
            <v>62400</v>
          </cell>
          <cell r="D1006"/>
          <cell r="E1006">
            <v>10.199999999999999</v>
          </cell>
        </row>
        <row r="1007">
          <cell r="A1007">
            <v>45810</v>
          </cell>
          <cell r="B1007">
            <v>63</v>
          </cell>
          <cell r="C1007">
            <v>52000</v>
          </cell>
          <cell r="D1007"/>
          <cell r="E1007">
            <v>10</v>
          </cell>
        </row>
        <row r="1008">
          <cell r="A1008">
            <v>45811</v>
          </cell>
          <cell r="B1008">
            <v>64</v>
          </cell>
          <cell r="C1008">
            <v>50050</v>
          </cell>
          <cell r="D1008"/>
          <cell r="E1008">
            <v>10.199999999999999</v>
          </cell>
        </row>
        <row r="1009">
          <cell r="A1009">
            <v>45812</v>
          </cell>
          <cell r="B1009">
            <v>65</v>
          </cell>
          <cell r="C1009">
            <v>59150</v>
          </cell>
          <cell r="D1009"/>
          <cell r="E1009">
            <v>10.1</v>
          </cell>
        </row>
        <row r="1010">
          <cell r="A1010">
            <v>45813</v>
          </cell>
          <cell r="B1010">
            <v>66</v>
          </cell>
          <cell r="C1010">
            <v>59800</v>
          </cell>
          <cell r="D1010"/>
          <cell r="E1010">
            <v>10.5</v>
          </cell>
        </row>
        <row r="1011">
          <cell r="A1011">
            <v>45814</v>
          </cell>
          <cell r="B1011">
            <v>67</v>
          </cell>
          <cell r="C1011">
            <v>50700</v>
          </cell>
          <cell r="D1011"/>
          <cell r="E1011">
            <v>10.1</v>
          </cell>
        </row>
        <row r="1012">
          <cell r="A1012">
            <v>45815</v>
          </cell>
          <cell r="B1012">
            <v>68</v>
          </cell>
          <cell r="C1012">
            <v>56550</v>
          </cell>
          <cell r="D1012"/>
          <cell r="E1012">
            <v>10.199999999999999</v>
          </cell>
        </row>
        <row r="1013">
          <cell r="A1013">
            <v>45816</v>
          </cell>
          <cell r="B1013">
            <v>69</v>
          </cell>
          <cell r="C1013">
            <v>60450</v>
          </cell>
          <cell r="D1013"/>
          <cell r="E1013">
            <v>10.4</v>
          </cell>
        </row>
        <row r="1014">
          <cell r="A1014">
            <v>45817</v>
          </cell>
          <cell r="B1014">
            <v>70</v>
          </cell>
          <cell r="C1014">
            <v>44200</v>
          </cell>
          <cell r="D1014"/>
          <cell r="E1014">
            <v>9.1999999999999993</v>
          </cell>
        </row>
        <row r="1015">
          <cell r="A1015">
            <v>45818</v>
          </cell>
          <cell r="B1015">
            <v>71</v>
          </cell>
          <cell r="C1015">
            <v>57200</v>
          </cell>
          <cell r="D1015"/>
          <cell r="E1015">
            <v>10.9</v>
          </cell>
        </row>
        <row r="1016">
          <cell r="A1016">
            <v>45819</v>
          </cell>
          <cell r="B1016">
            <v>72</v>
          </cell>
          <cell r="C1016">
            <v>39000</v>
          </cell>
          <cell r="D1016"/>
          <cell r="E1016">
            <v>9.1999999999999993</v>
          </cell>
        </row>
        <row r="1017">
          <cell r="A1017">
            <v>45820</v>
          </cell>
          <cell r="B1017">
            <v>73</v>
          </cell>
          <cell r="C1017">
            <v>46150</v>
          </cell>
          <cell r="D1017"/>
          <cell r="E1017">
            <v>10.199999999999999</v>
          </cell>
        </row>
        <row r="1018">
          <cell r="A1018">
            <v>45821</v>
          </cell>
          <cell r="B1018">
            <v>74</v>
          </cell>
          <cell r="C1018">
            <v>41600</v>
          </cell>
          <cell r="D1018"/>
          <cell r="E1018">
            <v>10.5</v>
          </cell>
        </row>
        <row r="1019">
          <cell r="A1019">
            <v>45822</v>
          </cell>
          <cell r="B1019">
            <v>75</v>
          </cell>
          <cell r="C1019">
            <v>46800</v>
          </cell>
          <cell r="D1019"/>
          <cell r="E1019">
            <v>10.7</v>
          </cell>
        </row>
        <row r="1020">
          <cell r="A1020">
            <v>45823</v>
          </cell>
          <cell r="B1020">
            <v>76</v>
          </cell>
          <cell r="C1020">
            <v>32500</v>
          </cell>
          <cell r="D1020"/>
          <cell r="E1020">
            <v>9.1</v>
          </cell>
        </row>
        <row r="1021">
          <cell r="A1021">
            <v>45824</v>
          </cell>
          <cell r="B1021">
            <v>77</v>
          </cell>
          <cell r="C1021">
            <v>42900</v>
          </cell>
          <cell r="D1021"/>
          <cell r="E1021">
            <v>9.3000000000000007</v>
          </cell>
        </row>
        <row r="1022">
          <cell r="A1022">
            <v>45825</v>
          </cell>
          <cell r="B1022">
            <v>78</v>
          </cell>
          <cell r="C1022">
            <v>42250</v>
          </cell>
          <cell r="D1022"/>
          <cell r="E1022">
            <v>8.9</v>
          </cell>
        </row>
        <row r="1023">
          <cell r="A1023">
            <v>45826</v>
          </cell>
          <cell r="B1023">
            <v>79</v>
          </cell>
          <cell r="C1023">
            <v>53300</v>
          </cell>
          <cell r="D1023"/>
          <cell r="E1023">
            <v>10.1</v>
          </cell>
        </row>
        <row r="1024">
          <cell r="A1024">
            <v>45827</v>
          </cell>
          <cell r="B1024">
            <v>80</v>
          </cell>
          <cell r="C1024">
            <v>50050</v>
          </cell>
          <cell r="D1024"/>
          <cell r="E1024">
            <v>10.4</v>
          </cell>
        </row>
        <row r="1025">
          <cell r="A1025">
            <v>45828</v>
          </cell>
          <cell r="B1025">
            <v>81</v>
          </cell>
          <cell r="C1025">
            <v>55250</v>
          </cell>
          <cell r="D1025"/>
          <cell r="E1025">
            <v>9</v>
          </cell>
        </row>
        <row r="1026">
          <cell r="A1026">
            <v>45829</v>
          </cell>
          <cell r="B1026">
            <v>82</v>
          </cell>
          <cell r="C1026">
            <v>51350</v>
          </cell>
          <cell r="D1026"/>
          <cell r="E1026">
            <v>10.3</v>
          </cell>
        </row>
        <row r="1027">
          <cell r="A1027">
            <v>45830</v>
          </cell>
          <cell r="B1027">
            <v>83</v>
          </cell>
          <cell r="C1027">
            <v>39000</v>
          </cell>
          <cell r="D1027"/>
          <cell r="E1027">
            <v>9.9</v>
          </cell>
        </row>
        <row r="1028">
          <cell r="A1028">
            <v>45831</v>
          </cell>
          <cell r="B1028">
            <v>84</v>
          </cell>
          <cell r="C1028">
            <v>33800</v>
          </cell>
          <cell r="D1028"/>
          <cell r="E1028">
            <v>8.6999999999999993</v>
          </cell>
        </row>
        <row r="1029">
          <cell r="A1029">
            <v>45832</v>
          </cell>
          <cell r="B1029">
            <v>85</v>
          </cell>
          <cell r="C1029">
            <v>42250</v>
          </cell>
          <cell r="D1029"/>
          <cell r="E1029">
            <v>9.9</v>
          </cell>
        </row>
        <row r="1030">
          <cell r="A1030">
            <v>45833</v>
          </cell>
          <cell r="B1030">
            <v>86</v>
          </cell>
          <cell r="C1030">
            <v>34450</v>
          </cell>
          <cell r="D1030"/>
          <cell r="E1030">
            <v>9.1999999999999993</v>
          </cell>
        </row>
        <row r="1031">
          <cell r="A1031">
            <v>45834</v>
          </cell>
          <cell r="B1031">
            <v>87</v>
          </cell>
          <cell r="C1031">
            <v>33150</v>
          </cell>
          <cell r="D1031"/>
          <cell r="E1031">
            <v>8.8000000000000007</v>
          </cell>
        </row>
        <row r="1032">
          <cell r="A1032">
            <v>45835</v>
          </cell>
          <cell r="B1032">
            <v>88</v>
          </cell>
          <cell r="C1032">
            <v>53950</v>
          </cell>
          <cell r="D1032"/>
          <cell r="E1032">
            <v>10.1</v>
          </cell>
        </row>
        <row r="1033">
          <cell r="A1033">
            <v>45836</v>
          </cell>
          <cell r="B1033">
            <v>89</v>
          </cell>
          <cell r="C1033">
            <v>46800</v>
          </cell>
          <cell r="D1033"/>
          <cell r="E1033">
            <v>10.4</v>
          </cell>
        </row>
        <row r="1034">
          <cell r="A1034">
            <v>45837</v>
          </cell>
          <cell r="B1034">
            <v>90</v>
          </cell>
          <cell r="C1034">
            <v>57200</v>
          </cell>
          <cell r="D1034"/>
          <cell r="E1034">
            <v>10.1</v>
          </cell>
        </row>
        <row r="1035">
          <cell r="A1035">
            <v>45838</v>
          </cell>
          <cell r="B1035">
            <v>91</v>
          </cell>
          <cell r="C1035">
            <v>54600</v>
          </cell>
          <cell r="D1035"/>
          <cell r="E1035">
            <v>10.3</v>
          </cell>
        </row>
        <row r="1036">
          <cell r="A1036">
            <v>45839</v>
          </cell>
          <cell r="B1036">
            <v>92</v>
          </cell>
          <cell r="C1036">
            <v>29250</v>
          </cell>
          <cell r="D1036"/>
          <cell r="E1036">
            <v>8.4</v>
          </cell>
        </row>
        <row r="1037">
          <cell r="A1037">
            <v>45840</v>
          </cell>
          <cell r="B1037">
            <v>93</v>
          </cell>
          <cell r="C1037">
            <v>39650</v>
          </cell>
          <cell r="D1037"/>
          <cell r="E1037">
            <v>8.9</v>
          </cell>
        </row>
        <row r="1038">
          <cell r="A1038">
            <v>45841</v>
          </cell>
          <cell r="B1038">
            <v>94</v>
          </cell>
          <cell r="C1038">
            <v>40950</v>
          </cell>
          <cell r="D1038"/>
          <cell r="E1038">
            <v>9.1999999999999993</v>
          </cell>
        </row>
        <row r="1039">
          <cell r="A1039">
            <v>45842</v>
          </cell>
          <cell r="B1039">
            <v>95</v>
          </cell>
          <cell r="C1039">
            <v>40950</v>
          </cell>
          <cell r="D1039"/>
          <cell r="E1039">
            <v>10</v>
          </cell>
        </row>
        <row r="1040">
          <cell r="A1040">
            <v>45843</v>
          </cell>
          <cell r="B1040">
            <v>96</v>
          </cell>
          <cell r="C1040">
            <v>47450</v>
          </cell>
          <cell r="D1040"/>
          <cell r="E1040">
            <v>10.1</v>
          </cell>
        </row>
        <row r="1041">
          <cell r="A1041">
            <v>45844</v>
          </cell>
          <cell r="B1041">
            <v>97</v>
          </cell>
          <cell r="C1041">
            <v>49400</v>
          </cell>
          <cell r="D1041"/>
          <cell r="E1041">
            <v>10.199999999999999</v>
          </cell>
        </row>
        <row r="1042">
          <cell r="A1042">
            <v>45845</v>
          </cell>
          <cell r="B1042">
            <v>98</v>
          </cell>
          <cell r="C1042">
            <v>47450</v>
          </cell>
          <cell r="D1042"/>
          <cell r="E1042">
            <v>10.3</v>
          </cell>
        </row>
        <row r="1043">
          <cell r="A1043">
            <v>45846</v>
          </cell>
          <cell r="B1043">
            <v>99</v>
          </cell>
          <cell r="C1043">
            <v>50700</v>
          </cell>
          <cell r="D1043"/>
          <cell r="E1043">
            <v>10.1</v>
          </cell>
        </row>
        <row r="1044">
          <cell r="A1044">
            <v>45847</v>
          </cell>
          <cell r="B1044">
            <v>100</v>
          </cell>
          <cell r="C1044">
            <v>52000</v>
          </cell>
          <cell r="D1044"/>
          <cell r="E1044">
            <v>10</v>
          </cell>
        </row>
        <row r="1045">
          <cell r="A1045">
            <v>45848</v>
          </cell>
          <cell r="B1045">
            <v>101</v>
          </cell>
          <cell r="C1045">
            <v>52650</v>
          </cell>
          <cell r="D1045"/>
          <cell r="E1045">
            <v>10</v>
          </cell>
        </row>
        <row r="1046">
          <cell r="A1046">
            <v>45849</v>
          </cell>
          <cell r="B1046">
            <v>102</v>
          </cell>
          <cell r="C1046">
            <v>52000</v>
          </cell>
          <cell r="D1046"/>
          <cell r="E1046">
            <v>10.5</v>
          </cell>
        </row>
        <row r="1047">
          <cell r="A1047">
            <v>45850</v>
          </cell>
          <cell r="B1047">
            <v>103</v>
          </cell>
          <cell r="C1047">
            <v>51350</v>
          </cell>
          <cell r="D1047"/>
          <cell r="E1047">
            <v>10.4</v>
          </cell>
        </row>
        <row r="1048">
          <cell r="A1048">
            <v>45851</v>
          </cell>
          <cell r="B1048">
            <v>104</v>
          </cell>
          <cell r="C1048">
            <v>46150</v>
          </cell>
          <cell r="D1048"/>
          <cell r="E1048">
            <v>9</v>
          </cell>
        </row>
        <row r="1049">
          <cell r="A1049">
            <v>45852</v>
          </cell>
          <cell r="B1049">
            <v>105</v>
          </cell>
          <cell r="C1049">
            <v>51350</v>
          </cell>
          <cell r="D1049"/>
          <cell r="E1049">
            <v>10.199999999999999</v>
          </cell>
        </row>
        <row r="1050">
          <cell r="A1050">
            <v>45853</v>
          </cell>
          <cell r="B1050">
            <v>106</v>
          </cell>
          <cell r="C1050">
            <v>43550</v>
          </cell>
          <cell r="D1050"/>
          <cell r="E1050">
            <v>9.3000000000000007</v>
          </cell>
        </row>
        <row r="1051">
          <cell r="A1051">
            <v>45854</v>
          </cell>
          <cell r="B1051">
            <v>107</v>
          </cell>
          <cell r="C1051">
            <v>57850</v>
          </cell>
          <cell r="D1051"/>
          <cell r="E1051" t="str">
            <v>10..3</v>
          </cell>
        </row>
        <row r="1052">
          <cell r="A1052">
            <v>45855</v>
          </cell>
          <cell r="B1052">
            <v>108</v>
          </cell>
          <cell r="C1052">
            <v>51350</v>
          </cell>
          <cell r="D1052"/>
          <cell r="E1052">
            <v>10.4</v>
          </cell>
        </row>
        <row r="1053">
          <cell r="A1053">
            <v>45856</v>
          </cell>
          <cell r="B1053">
            <v>109</v>
          </cell>
          <cell r="C1053">
            <v>41600</v>
          </cell>
          <cell r="D1053"/>
          <cell r="E1053">
            <v>9.1999999999999993</v>
          </cell>
        </row>
        <row r="1054">
          <cell r="A1054">
            <v>45857</v>
          </cell>
          <cell r="B1054">
            <v>110</v>
          </cell>
          <cell r="C1054">
            <v>37050</v>
          </cell>
          <cell r="D1054"/>
          <cell r="E1054">
            <v>9.1</v>
          </cell>
        </row>
        <row r="1055">
          <cell r="A1055">
            <v>45858</v>
          </cell>
          <cell r="B1055">
            <v>111</v>
          </cell>
          <cell r="C1055">
            <v>43550</v>
          </cell>
          <cell r="D1055"/>
          <cell r="E1055">
            <v>8.9</v>
          </cell>
        </row>
        <row r="1056">
          <cell r="A1056">
            <v>45859</v>
          </cell>
          <cell r="B1056">
            <v>112</v>
          </cell>
          <cell r="C1056">
            <v>33150</v>
          </cell>
          <cell r="D1056"/>
          <cell r="E1056">
            <v>9.9</v>
          </cell>
        </row>
        <row r="1057">
          <cell r="A1057">
            <v>45860</v>
          </cell>
          <cell r="B1057">
            <v>113</v>
          </cell>
          <cell r="C1057">
            <v>37700</v>
          </cell>
          <cell r="D1057"/>
          <cell r="E1057">
            <v>9.1999999999999993</v>
          </cell>
        </row>
        <row r="1058">
          <cell r="A1058">
            <v>45861</v>
          </cell>
          <cell r="B1058">
            <v>114</v>
          </cell>
          <cell r="C1058">
            <v>44200</v>
          </cell>
          <cell r="D1058"/>
          <cell r="E1058">
            <v>8.5</v>
          </cell>
        </row>
        <row r="1059">
          <cell r="A1059">
            <v>45862</v>
          </cell>
          <cell r="B1059">
            <v>115</v>
          </cell>
          <cell r="C1059">
            <v>29900</v>
          </cell>
          <cell r="D1059"/>
          <cell r="E1059">
            <v>7.4</v>
          </cell>
        </row>
        <row r="1060">
          <cell r="A1060">
            <v>45863</v>
          </cell>
          <cell r="B1060">
            <v>116</v>
          </cell>
          <cell r="C1060">
            <v>34450</v>
          </cell>
          <cell r="D1060"/>
          <cell r="E1060">
            <v>7.8</v>
          </cell>
        </row>
        <row r="1061">
          <cell r="A1061">
            <v>45864</v>
          </cell>
          <cell r="B1061">
            <v>117</v>
          </cell>
          <cell r="C1061">
            <v>35750</v>
          </cell>
          <cell r="D1061"/>
          <cell r="E1061">
            <v>9.5</v>
          </cell>
        </row>
        <row r="1062">
          <cell r="A1062">
            <v>45865</v>
          </cell>
          <cell r="B1062">
            <v>118</v>
          </cell>
          <cell r="C1062">
            <v>33800</v>
          </cell>
          <cell r="D1062"/>
          <cell r="E1062">
            <v>8.6999999999999993</v>
          </cell>
        </row>
        <row r="1063">
          <cell r="A1063">
            <v>45866</v>
          </cell>
          <cell r="B1063">
            <v>119</v>
          </cell>
          <cell r="C1063">
            <v>34450</v>
          </cell>
          <cell r="D1063"/>
          <cell r="E1063">
            <v>8.9</v>
          </cell>
        </row>
        <row r="1064">
          <cell r="A1064">
            <v>45867</v>
          </cell>
          <cell r="B1064">
            <v>120</v>
          </cell>
          <cell r="C1064">
            <v>37700</v>
          </cell>
          <cell r="D1064"/>
          <cell r="E1064">
            <v>9.1</v>
          </cell>
        </row>
        <row r="1065">
          <cell r="A1065">
            <v>45868</v>
          </cell>
          <cell r="B1065">
            <v>121</v>
          </cell>
          <cell r="C1065">
            <v>51350</v>
          </cell>
          <cell r="D1065"/>
          <cell r="E1065">
            <v>10.1</v>
          </cell>
        </row>
        <row r="1066">
          <cell r="A1066">
            <v>45869</v>
          </cell>
          <cell r="B1066">
            <v>122</v>
          </cell>
          <cell r="C1066">
            <v>35100</v>
          </cell>
          <cell r="D1066"/>
          <cell r="E1066">
            <v>7.8</v>
          </cell>
        </row>
        <row r="1067">
          <cell r="A1067">
            <v>45870</v>
          </cell>
          <cell r="B1067">
            <v>123</v>
          </cell>
          <cell r="C1067">
            <v>56550</v>
          </cell>
          <cell r="D1067"/>
          <cell r="E1067">
            <v>10.1</v>
          </cell>
        </row>
        <row r="1068">
          <cell r="A1068">
            <v>45871</v>
          </cell>
          <cell r="B1068">
            <v>124</v>
          </cell>
          <cell r="C1068">
            <v>55250</v>
          </cell>
          <cell r="D1068"/>
          <cell r="E1068">
            <v>10</v>
          </cell>
        </row>
        <row r="1069">
          <cell r="A1069">
            <v>45872</v>
          </cell>
          <cell r="B1069">
            <v>125</v>
          </cell>
          <cell r="C1069">
            <v>38350</v>
          </cell>
          <cell r="D1069"/>
          <cell r="E1069">
            <v>9.9</v>
          </cell>
        </row>
        <row r="1070">
          <cell r="A1070">
            <v>45873</v>
          </cell>
          <cell r="B1070">
            <v>126</v>
          </cell>
          <cell r="C1070">
            <v>42250</v>
          </cell>
          <cell r="D1070"/>
          <cell r="E1070">
            <v>10.5</v>
          </cell>
        </row>
        <row r="1071">
          <cell r="A1071">
            <v>45874</v>
          </cell>
          <cell r="B1071">
            <v>127</v>
          </cell>
          <cell r="C1071">
            <v>44850</v>
          </cell>
          <cell r="D1071"/>
          <cell r="E1071">
            <v>10.3</v>
          </cell>
        </row>
        <row r="1072">
          <cell r="A1072">
            <v>45875</v>
          </cell>
          <cell r="B1072">
            <v>128</v>
          </cell>
          <cell r="C1072">
            <v>50050</v>
          </cell>
          <cell r="D1072"/>
          <cell r="E1072">
            <v>9.9</v>
          </cell>
        </row>
        <row r="1073">
          <cell r="A1073">
            <v>45876</v>
          </cell>
          <cell r="B1073">
            <v>129</v>
          </cell>
          <cell r="C1073">
            <v>50050</v>
          </cell>
          <cell r="D1073"/>
          <cell r="E1073">
            <v>8.5</v>
          </cell>
        </row>
        <row r="1074">
          <cell r="A1074">
            <v>45877</v>
          </cell>
          <cell r="B1074">
            <v>130</v>
          </cell>
          <cell r="C1074">
            <v>45500</v>
          </cell>
          <cell r="D1074"/>
          <cell r="E1074">
            <v>10.8</v>
          </cell>
        </row>
        <row r="1075">
          <cell r="A1075">
            <v>45878</v>
          </cell>
          <cell r="B1075">
            <v>131</v>
          </cell>
          <cell r="C1075">
            <v>40950</v>
          </cell>
          <cell r="D1075"/>
          <cell r="E1075">
            <v>10.7</v>
          </cell>
        </row>
        <row r="1076">
          <cell r="A1076">
            <v>45879</v>
          </cell>
          <cell r="B1076">
            <v>132</v>
          </cell>
          <cell r="C1076">
            <v>37700</v>
          </cell>
          <cell r="D1076"/>
          <cell r="E1076">
            <v>10.9</v>
          </cell>
        </row>
        <row r="1077">
          <cell r="A1077">
            <v>45880</v>
          </cell>
          <cell r="B1077">
            <v>133</v>
          </cell>
          <cell r="C1077">
            <v>40950</v>
          </cell>
          <cell r="D1077"/>
          <cell r="E1077">
            <v>10.8</v>
          </cell>
        </row>
        <row r="1078">
          <cell r="A1078">
            <v>45881</v>
          </cell>
          <cell r="B1078">
            <v>134</v>
          </cell>
          <cell r="C1078">
            <v>32500</v>
          </cell>
          <cell r="D1078"/>
          <cell r="E1078">
            <v>10.199999999999999</v>
          </cell>
        </row>
        <row r="1079">
          <cell r="A1079">
            <v>45882</v>
          </cell>
          <cell r="B1079">
            <v>135</v>
          </cell>
          <cell r="C1079">
            <v>27950</v>
          </cell>
          <cell r="D1079"/>
          <cell r="E1079">
            <v>10</v>
          </cell>
        </row>
        <row r="1080">
          <cell r="A1080">
            <v>45883</v>
          </cell>
          <cell r="B1080">
            <v>136</v>
          </cell>
          <cell r="C1080">
            <v>36400</v>
          </cell>
          <cell r="D1080"/>
          <cell r="E1080">
            <v>10.1</v>
          </cell>
        </row>
        <row r="1081">
          <cell r="A1081">
            <v>45884</v>
          </cell>
          <cell r="B1081">
            <v>137</v>
          </cell>
          <cell r="C1081">
            <v>41600</v>
          </cell>
          <cell r="D1081"/>
          <cell r="E1081">
            <v>10.5</v>
          </cell>
        </row>
        <row r="1082">
          <cell r="A1082">
            <v>45885</v>
          </cell>
          <cell r="B1082">
            <v>138</v>
          </cell>
          <cell r="C1082">
            <v>46150</v>
          </cell>
          <cell r="D1082"/>
          <cell r="E1082">
            <v>10</v>
          </cell>
        </row>
        <row r="1083">
          <cell r="A1083">
            <v>45886</v>
          </cell>
          <cell r="B1083">
            <v>139</v>
          </cell>
          <cell r="C1083">
            <v>29900</v>
          </cell>
          <cell r="D1083"/>
          <cell r="E1083">
            <v>9.9</v>
          </cell>
        </row>
        <row r="1084">
          <cell r="A1084">
            <v>45887</v>
          </cell>
          <cell r="B1084">
            <v>140</v>
          </cell>
          <cell r="C1084">
            <v>23400</v>
          </cell>
          <cell r="D1084"/>
          <cell r="E1084">
            <v>8.5</v>
          </cell>
        </row>
        <row r="1085">
          <cell r="A1085">
            <v>45888</v>
          </cell>
          <cell r="B1085">
            <v>141</v>
          </cell>
          <cell r="C1085">
            <v>31850</v>
          </cell>
          <cell r="D1085"/>
          <cell r="E1085">
            <v>8.9</v>
          </cell>
        </row>
        <row r="1086">
          <cell r="A1086">
            <v>45889</v>
          </cell>
          <cell r="B1086">
            <v>142</v>
          </cell>
          <cell r="C1086">
            <v>59150</v>
          </cell>
          <cell r="D1086"/>
          <cell r="E1086">
            <v>10.5</v>
          </cell>
        </row>
        <row r="1087">
          <cell r="A1087">
            <v>45890</v>
          </cell>
          <cell r="B1087">
            <v>143</v>
          </cell>
          <cell r="C1087">
            <v>53950</v>
          </cell>
          <cell r="D1087"/>
          <cell r="E1087">
            <v>10.1</v>
          </cell>
        </row>
        <row r="1088">
          <cell r="A1088">
            <v>45891</v>
          </cell>
          <cell r="B1088">
            <v>144</v>
          </cell>
          <cell r="C1088">
            <v>55250</v>
          </cell>
          <cell r="D1088"/>
          <cell r="E1088">
            <v>10.9</v>
          </cell>
        </row>
        <row r="1089">
          <cell r="A1089">
            <v>45892</v>
          </cell>
          <cell r="B1089">
            <v>145</v>
          </cell>
          <cell r="C1089">
            <v>50700</v>
          </cell>
          <cell r="D1089"/>
          <cell r="E1089">
            <v>10.199999999999999</v>
          </cell>
        </row>
        <row r="1090">
          <cell r="A1090">
            <v>45893</v>
          </cell>
          <cell r="B1090">
            <v>146</v>
          </cell>
          <cell r="C1090">
            <v>61100</v>
          </cell>
          <cell r="D1090"/>
          <cell r="E1090">
            <v>10</v>
          </cell>
        </row>
        <row r="1091">
          <cell r="A1091">
            <v>45894</v>
          </cell>
          <cell r="B1091">
            <v>147</v>
          </cell>
          <cell r="C1091">
            <v>52650</v>
          </cell>
          <cell r="D1091"/>
          <cell r="E1091">
            <v>9.8000000000000007</v>
          </cell>
        </row>
        <row r="1092">
          <cell r="A1092">
            <v>45895</v>
          </cell>
          <cell r="B1092">
            <v>148</v>
          </cell>
          <cell r="C1092">
            <v>46800</v>
          </cell>
          <cell r="D1092"/>
          <cell r="E1092">
            <v>11.1</v>
          </cell>
        </row>
        <row r="1093">
          <cell r="A1093">
            <v>45896</v>
          </cell>
          <cell r="B1093">
            <v>149</v>
          </cell>
          <cell r="C1093">
            <v>52000</v>
          </cell>
          <cell r="D1093"/>
          <cell r="E1093">
            <v>10.3</v>
          </cell>
        </row>
        <row r="1094">
          <cell r="A1094">
            <v>45897</v>
          </cell>
          <cell r="B1094">
            <v>150</v>
          </cell>
          <cell r="C1094">
            <v>55250</v>
          </cell>
          <cell r="D1094"/>
          <cell r="E1094">
            <v>8.9</v>
          </cell>
        </row>
        <row r="1095">
          <cell r="A1095">
            <v>45898</v>
          </cell>
          <cell r="B1095">
            <v>151</v>
          </cell>
          <cell r="C1095">
            <v>51350</v>
          </cell>
          <cell r="D1095"/>
          <cell r="E1095">
            <v>7.5</v>
          </cell>
        </row>
        <row r="1096">
          <cell r="A1096">
            <v>45899</v>
          </cell>
          <cell r="B1096">
            <v>152</v>
          </cell>
          <cell r="C1096">
            <v>53300</v>
          </cell>
          <cell r="D1096"/>
          <cell r="E1096">
            <v>7.9</v>
          </cell>
        </row>
        <row r="1097">
          <cell r="A1097">
            <v>45900</v>
          </cell>
          <cell r="B1097">
            <v>153</v>
          </cell>
          <cell r="C1097">
            <v>44850</v>
          </cell>
          <cell r="D1097"/>
          <cell r="E1097">
            <v>7.1</v>
          </cell>
        </row>
        <row r="1098">
          <cell r="A1098">
            <v>45901</v>
          </cell>
          <cell r="B1098">
            <v>154</v>
          </cell>
          <cell r="C1098">
            <v>44850</v>
          </cell>
          <cell r="D1098"/>
          <cell r="E1098">
            <v>10.1</v>
          </cell>
        </row>
        <row r="1099">
          <cell r="A1099">
            <v>45902</v>
          </cell>
          <cell r="B1099">
            <v>155</v>
          </cell>
          <cell r="C1099">
            <v>45500</v>
          </cell>
          <cell r="D1099"/>
          <cell r="E1099">
            <v>10.199999999999999</v>
          </cell>
        </row>
        <row r="1100">
          <cell r="A1100">
            <v>45903</v>
          </cell>
          <cell r="B1100">
            <v>156</v>
          </cell>
          <cell r="C1100">
            <v>50050</v>
          </cell>
          <cell r="D1100"/>
          <cell r="E1100">
            <v>9.5</v>
          </cell>
        </row>
        <row r="1101">
          <cell r="A1101">
            <v>45904</v>
          </cell>
          <cell r="B1101">
            <v>157</v>
          </cell>
          <cell r="C1101">
            <v>52650</v>
          </cell>
          <cell r="D1101"/>
          <cell r="E1101">
            <v>9.1</v>
          </cell>
        </row>
        <row r="1102">
          <cell r="A1102">
            <v>45905</v>
          </cell>
          <cell r="B1102">
            <v>158</v>
          </cell>
          <cell r="C1102">
            <v>55900</v>
          </cell>
          <cell r="D1102"/>
          <cell r="E1102">
            <v>10</v>
          </cell>
        </row>
        <row r="1103">
          <cell r="A1103">
            <v>45906</v>
          </cell>
          <cell r="B1103">
            <v>159</v>
          </cell>
          <cell r="C1103">
            <v>62400</v>
          </cell>
          <cell r="D1103"/>
          <cell r="E1103">
            <v>7.5</v>
          </cell>
        </row>
        <row r="1104">
          <cell r="A1104">
            <v>45907</v>
          </cell>
          <cell r="B1104">
            <v>160</v>
          </cell>
          <cell r="C1104">
            <v>51350</v>
          </cell>
          <cell r="D1104"/>
          <cell r="E1104">
            <v>6.5</v>
          </cell>
        </row>
        <row r="1105">
          <cell r="A1105">
            <v>45908</v>
          </cell>
          <cell r="B1105">
            <v>161</v>
          </cell>
          <cell r="C1105">
            <v>54600</v>
          </cell>
          <cell r="D1105"/>
          <cell r="E1105">
            <v>7.2</v>
          </cell>
        </row>
        <row r="1106">
          <cell r="A1106">
            <v>45909</v>
          </cell>
          <cell r="B1106">
            <v>162</v>
          </cell>
          <cell r="C1106">
            <v>50700</v>
          </cell>
          <cell r="D1106"/>
          <cell r="E1106">
            <v>8.5</v>
          </cell>
        </row>
        <row r="1107">
          <cell r="A1107">
            <v>45910</v>
          </cell>
          <cell r="B1107">
            <v>163</v>
          </cell>
          <cell r="C1107">
            <v>47450</v>
          </cell>
          <cell r="D1107"/>
          <cell r="E1107">
            <v>10.199999999999999</v>
          </cell>
        </row>
        <row r="1108">
          <cell r="A1108">
            <v>45911</v>
          </cell>
          <cell r="B1108">
            <v>164</v>
          </cell>
          <cell r="C1108">
            <v>39650</v>
          </cell>
          <cell r="D1108"/>
          <cell r="E1108">
            <v>10.4</v>
          </cell>
        </row>
        <row r="1109">
          <cell r="A1109">
            <v>45912</v>
          </cell>
          <cell r="B1109">
            <v>165</v>
          </cell>
          <cell r="C1109">
            <v>46150</v>
          </cell>
          <cell r="D1109"/>
          <cell r="E1109">
            <v>10.5</v>
          </cell>
        </row>
        <row r="1110">
          <cell r="A1110">
            <v>45913</v>
          </cell>
          <cell r="B1110">
            <v>166</v>
          </cell>
          <cell r="C1110">
            <v>39000</v>
          </cell>
          <cell r="D1110"/>
          <cell r="E1110">
            <v>10.199999999999999</v>
          </cell>
        </row>
        <row r="1111">
          <cell r="A1111">
            <v>45914</v>
          </cell>
          <cell r="B1111">
            <v>167</v>
          </cell>
          <cell r="C1111">
            <v>4550</v>
          </cell>
          <cell r="D1111"/>
          <cell r="E1111">
            <v>10.199999999999999</v>
          </cell>
        </row>
        <row r="1112">
          <cell r="A1112">
            <v>45915</v>
          </cell>
          <cell r="B1112">
            <v>168</v>
          </cell>
          <cell r="C1112">
            <v>49400</v>
          </cell>
          <cell r="D1112"/>
          <cell r="E1112">
            <v>10</v>
          </cell>
        </row>
        <row r="1113">
          <cell r="A1113">
            <v>45916</v>
          </cell>
          <cell r="B1113">
            <v>169</v>
          </cell>
          <cell r="C1113">
            <v>44850</v>
          </cell>
          <cell r="D1113"/>
          <cell r="E1113">
            <v>10.3</v>
          </cell>
        </row>
        <row r="1114">
          <cell r="A1114">
            <v>45917</v>
          </cell>
          <cell r="B1114">
            <v>170</v>
          </cell>
          <cell r="C1114">
            <v>43550</v>
          </cell>
          <cell r="D1114"/>
          <cell r="E1114">
            <v>10</v>
          </cell>
        </row>
        <row r="1115">
          <cell r="A1115">
            <v>45918</v>
          </cell>
          <cell r="B1115">
            <v>171</v>
          </cell>
          <cell r="C1115">
            <v>47450</v>
          </cell>
          <cell r="D1115"/>
          <cell r="E1115">
            <v>10.1</v>
          </cell>
        </row>
        <row r="1116">
          <cell r="A1116">
            <v>45919</v>
          </cell>
          <cell r="B1116">
            <v>172</v>
          </cell>
          <cell r="C1116">
            <v>41600</v>
          </cell>
          <cell r="D1116"/>
          <cell r="E1116">
            <v>10.199999999999999</v>
          </cell>
        </row>
        <row r="1117">
          <cell r="A1117">
            <v>45920</v>
          </cell>
          <cell r="B1117">
            <v>173</v>
          </cell>
          <cell r="C1117">
            <v>43550</v>
          </cell>
          <cell r="D1117"/>
          <cell r="E1117">
            <v>10.5</v>
          </cell>
        </row>
        <row r="1118">
          <cell r="A1118">
            <v>45921</v>
          </cell>
          <cell r="B1118">
            <v>174</v>
          </cell>
          <cell r="C1118">
            <v>48100</v>
          </cell>
          <cell r="D1118"/>
          <cell r="E1118">
            <v>10.7</v>
          </cell>
        </row>
        <row r="1119">
          <cell r="A1119">
            <v>45922</v>
          </cell>
          <cell r="B1119">
            <v>175</v>
          </cell>
          <cell r="C1119">
            <v>50050</v>
          </cell>
          <cell r="D1119"/>
          <cell r="E1119">
            <v>10.9</v>
          </cell>
        </row>
        <row r="1120">
          <cell r="A1120">
            <v>45923</v>
          </cell>
          <cell r="B1120">
            <v>176</v>
          </cell>
          <cell r="C1120">
            <v>45500</v>
          </cell>
          <cell r="D1120"/>
          <cell r="E1120">
            <v>10</v>
          </cell>
        </row>
        <row r="1121">
          <cell r="A1121">
            <v>45924</v>
          </cell>
          <cell r="B1121">
            <v>177</v>
          </cell>
          <cell r="C1121">
            <v>44200</v>
          </cell>
          <cell r="D1121"/>
          <cell r="E1121">
            <v>10.5</v>
          </cell>
        </row>
        <row r="1122">
          <cell r="A1122">
            <v>45925</v>
          </cell>
          <cell r="B1122">
            <v>178</v>
          </cell>
          <cell r="C1122">
            <v>52000</v>
          </cell>
          <cell r="D1122"/>
          <cell r="E1122">
            <v>10.4</v>
          </cell>
        </row>
        <row r="1123">
          <cell r="A1123">
            <v>45926</v>
          </cell>
          <cell r="B1123">
            <v>179</v>
          </cell>
          <cell r="C1123">
            <v>51350</v>
          </cell>
          <cell r="D1123"/>
          <cell r="E1123">
            <v>9.9</v>
          </cell>
        </row>
        <row r="1124">
          <cell r="A1124">
            <v>45927</v>
          </cell>
          <cell r="B1124">
            <v>180</v>
          </cell>
          <cell r="C1124">
            <v>43550</v>
          </cell>
          <cell r="D1124"/>
          <cell r="E1124">
            <v>9.6999999999999993</v>
          </cell>
        </row>
        <row r="1125">
          <cell r="A1125">
            <v>45928</v>
          </cell>
          <cell r="B1125">
            <v>181</v>
          </cell>
          <cell r="C1125">
            <v>48750</v>
          </cell>
          <cell r="D1125"/>
          <cell r="E1125">
            <v>9.9</v>
          </cell>
        </row>
        <row r="1126">
          <cell r="A1126">
            <v>45929</v>
          </cell>
          <cell r="B1126">
            <v>182</v>
          </cell>
          <cell r="C1126">
            <v>57850</v>
          </cell>
          <cell r="D1126"/>
          <cell r="E1126">
            <v>10.9</v>
          </cell>
        </row>
        <row r="1127">
          <cell r="A1127">
            <v>45930</v>
          </cell>
          <cell r="B1127">
            <v>183</v>
          </cell>
          <cell r="C1127">
            <v>53300</v>
          </cell>
          <cell r="D1127"/>
          <cell r="E1127">
            <v>10.199999999999999</v>
          </cell>
        </row>
        <row r="1128">
          <cell r="A1128">
            <v>45931</v>
          </cell>
          <cell r="B1128">
            <v>184</v>
          </cell>
          <cell r="C1128">
            <v>51350</v>
          </cell>
          <cell r="D1128"/>
          <cell r="E1128">
            <v>10.5</v>
          </cell>
        </row>
        <row r="1129">
          <cell r="A1129">
            <v>45932</v>
          </cell>
          <cell r="B1129">
            <v>185</v>
          </cell>
          <cell r="C1129">
            <v>55250</v>
          </cell>
          <cell r="D1129"/>
          <cell r="E1129">
            <v>10.8</v>
          </cell>
        </row>
        <row r="1130">
          <cell r="A1130">
            <v>45933</v>
          </cell>
          <cell r="B1130">
            <v>186</v>
          </cell>
          <cell r="C1130">
            <v>64350</v>
          </cell>
          <cell r="D1130"/>
          <cell r="E1130">
            <v>9.1999999999999993</v>
          </cell>
        </row>
        <row r="1131">
          <cell r="A1131">
            <v>45934</v>
          </cell>
          <cell r="B1131">
            <v>187</v>
          </cell>
          <cell r="C1131">
            <v>31200</v>
          </cell>
          <cell r="D1131"/>
          <cell r="E1131">
            <v>10.5</v>
          </cell>
        </row>
        <row r="1132">
          <cell r="A1132">
            <v>45935</v>
          </cell>
          <cell r="B1132">
            <v>188</v>
          </cell>
          <cell r="C1132">
            <v>57850</v>
          </cell>
          <cell r="D1132"/>
          <cell r="E1132">
            <v>10</v>
          </cell>
        </row>
        <row r="1133">
          <cell r="A1133">
            <v>45936</v>
          </cell>
          <cell r="B1133">
            <v>189</v>
          </cell>
          <cell r="C1133">
            <v>54600</v>
          </cell>
          <cell r="D1133"/>
          <cell r="E1133">
            <v>10.6</v>
          </cell>
        </row>
        <row r="1134">
          <cell r="A1134">
            <v>45937</v>
          </cell>
          <cell r="B1134">
            <v>190</v>
          </cell>
          <cell r="C1134">
            <v>59150</v>
          </cell>
          <cell r="D1134"/>
          <cell r="E1134">
            <v>10.1</v>
          </cell>
        </row>
        <row r="1135">
          <cell r="A1135">
            <v>45938</v>
          </cell>
          <cell r="B1135">
            <v>191</v>
          </cell>
          <cell r="C1135">
            <v>35750</v>
          </cell>
          <cell r="D1135"/>
          <cell r="E1135">
            <v>10.3</v>
          </cell>
        </row>
        <row r="1136">
          <cell r="A1136">
            <v>45939</v>
          </cell>
          <cell r="B1136">
            <v>192</v>
          </cell>
          <cell r="C1136">
            <v>39650</v>
          </cell>
          <cell r="D1136"/>
          <cell r="E1136">
            <v>10.199999999999999</v>
          </cell>
        </row>
        <row r="1137">
          <cell r="A1137">
            <v>45940</v>
          </cell>
          <cell r="B1137">
            <v>193</v>
          </cell>
          <cell r="C1137">
            <v>55900</v>
          </cell>
          <cell r="D1137"/>
          <cell r="E1137">
            <v>10.6</v>
          </cell>
        </row>
        <row r="1138">
          <cell r="A1138">
            <v>45941</v>
          </cell>
          <cell r="B1138">
            <v>194</v>
          </cell>
          <cell r="C1138">
            <v>51350</v>
          </cell>
          <cell r="D1138"/>
          <cell r="E1138">
            <v>10.3</v>
          </cell>
        </row>
        <row r="1139">
          <cell r="A1139">
            <v>45942</v>
          </cell>
          <cell r="B1139">
            <v>195</v>
          </cell>
          <cell r="C1139">
            <v>66300</v>
          </cell>
          <cell r="D1139"/>
          <cell r="E1139">
            <v>10.6</v>
          </cell>
        </row>
        <row r="1140">
          <cell r="A1140">
            <v>45943</v>
          </cell>
          <cell r="B1140">
            <v>196</v>
          </cell>
          <cell r="C1140">
            <v>61100</v>
          </cell>
          <cell r="D1140"/>
          <cell r="E1140">
            <v>9.8000000000000007</v>
          </cell>
        </row>
        <row r="1141">
          <cell r="A1141">
            <v>45944</v>
          </cell>
          <cell r="B1141">
            <v>197</v>
          </cell>
          <cell r="C1141">
            <v>49400</v>
          </cell>
          <cell r="D1141"/>
          <cell r="E1141">
            <v>10.1</v>
          </cell>
        </row>
        <row r="1142">
          <cell r="A1142">
            <v>45945</v>
          </cell>
          <cell r="B1142">
            <v>198</v>
          </cell>
          <cell r="C1142">
            <v>35750</v>
          </cell>
          <cell r="D1142"/>
          <cell r="E1142">
            <v>9.1999999999999993</v>
          </cell>
        </row>
        <row r="1143">
          <cell r="A1143">
            <v>45946</v>
          </cell>
          <cell r="B1143">
            <v>199</v>
          </cell>
          <cell r="C1143">
            <v>30000</v>
          </cell>
          <cell r="D1143"/>
          <cell r="E1143">
            <v>5</v>
          </cell>
        </row>
        <row r="1144">
          <cell r="A1144">
            <v>45947</v>
          </cell>
          <cell r="B1144">
            <v>200</v>
          </cell>
          <cell r="C1144">
            <v>40200</v>
          </cell>
          <cell r="D1144"/>
          <cell r="E1144">
            <v>3.61</v>
          </cell>
        </row>
        <row r="1145">
          <cell r="A1145">
            <v>45948</v>
          </cell>
          <cell r="B1145">
            <v>201</v>
          </cell>
          <cell r="C1145">
            <v>33000</v>
          </cell>
          <cell r="D1145"/>
          <cell r="E1145">
            <v>5.09</v>
          </cell>
        </row>
        <row r="1146">
          <cell r="A1146">
            <v>45949</v>
          </cell>
          <cell r="B1146">
            <v>202</v>
          </cell>
          <cell r="C1146">
            <v>49800</v>
          </cell>
          <cell r="D1146"/>
          <cell r="E1146">
            <v>9.89</v>
          </cell>
        </row>
        <row r="1147">
          <cell r="A1147">
            <v>45950</v>
          </cell>
          <cell r="B1147">
            <v>203</v>
          </cell>
          <cell r="C1147">
            <v>48000</v>
          </cell>
          <cell r="D1147"/>
          <cell r="E1147">
            <v>8.9499999999999993</v>
          </cell>
        </row>
        <row r="1148">
          <cell r="A1148">
            <v>45951</v>
          </cell>
          <cell r="B1148">
            <v>204</v>
          </cell>
          <cell r="C1148">
            <v>24000</v>
          </cell>
          <cell r="D1148"/>
          <cell r="E1148">
            <v>3.84</v>
          </cell>
        </row>
        <row r="1149">
          <cell r="A1149">
            <v>45952</v>
          </cell>
          <cell r="B1149">
            <v>205</v>
          </cell>
          <cell r="C1149">
            <v>25800</v>
          </cell>
          <cell r="D1149"/>
          <cell r="E1149">
            <v>6.46</v>
          </cell>
        </row>
        <row r="1150">
          <cell r="A1150">
            <v>45953</v>
          </cell>
          <cell r="B1150">
            <v>206</v>
          </cell>
          <cell r="C1150">
            <v>37800</v>
          </cell>
          <cell r="D1150"/>
          <cell r="E1150">
            <v>8.1199999999999992</v>
          </cell>
        </row>
        <row r="1151">
          <cell r="A1151">
            <v>45954</v>
          </cell>
          <cell r="B1151">
            <v>207</v>
          </cell>
          <cell r="C1151">
            <v>31800</v>
          </cell>
          <cell r="D1151"/>
          <cell r="E1151">
            <v>5.09</v>
          </cell>
        </row>
        <row r="1152">
          <cell r="A1152">
            <v>45955</v>
          </cell>
          <cell r="B1152">
            <v>208</v>
          </cell>
          <cell r="C1152">
            <v>51000</v>
          </cell>
          <cell r="D1152"/>
          <cell r="E1152">
            <v>7.62</v>
          </cell>
        </row>
        <row r="1153">
          <cell r="A1153">
            <v>45956</v>
          </cell>
          <cell r="B1153">
            <v>209</v>
          </cell>
          <cell r="C1153">
            <v>45000</v>
          </cell>
          <cell r="D1153"/>
          <cell r="E1153">
            <v>6.89</v>
          </cell>
        </row>
        <row r="1154">
          <cell r="A1154">
            <v>45957</v>
          </cell>
          <cell r="B1154">
            <v>210</v>
          </cell>
          <cell r="C1154">
            <v>23400</v>
          </cell>
          <cell r="D1154"/>
          <cell r="E1154">
            <v>4.67</v>
          </cell>
        </row>
        <row r="1155">
          <cell r="A1155">
            <v>45958</v>
          </cell>
          <cell r="B1155">
            <v>211</v>
          </cell>
          <cell r="C1155">
            <v>12000</v>
          </cell>
          <cell r="D1155"/>
          <cell r="E1155">
            <v>4.7300000000000004</v>
          </cell>
        </row>
        <row r="1156">
          <cell r="A1156">
            <v>45959</v>
          </cell>
          <cell r="B1156">
            <v>212</v>
          </cell>
          <cell r="C1156">
            <v>43200</v>
          </cell>
          <cell r="D1156"/>
          <cell r="E1156">
            <v>8.02</v>
          </cell>
        </row>
        <row r="1157">
          <cell r="A1157">
            <v>45960</v>
          </cell>
          <cell r="B1157">
            <v>213</v>
          </cell>
          <cell r="C1157">
            <v>61200</v>
          </cell>
          <cell r="D1157"/>
          <cell r="E1157">
            <v>9.26</v>
          </cell>
        </row>
        <row r="1158">
          <cell r="A1158">
            <v>45961</v>
          </cell>
          <cell r="B1158">
            <v>214</v>
          </cell>
          <cell r="C1158">
            <v>64800</v>
          </cell>
          <cell r="D1158"/>
          <cell r="E1158">
            <v>9.07</v>
          </cell>
        </row>
        <row r="1159">
          <cell r="A1159">
            <v>45962</v>
          </cell>
          <cell r="B1159">
            <v>215</v>
          </cell>
          <cell r="C1159">
            <v>50400</v>
          </cell>
          <cell r="D1159"/>
          <cell r="E1159">
            <v>9.15</v>
          </cell>
        </row>
        <row r="1160">
          <cell r="A1160">
            <v>45963</v>
          </cell>
          <cell r="B1160">
            <v>216</v>
          </cell>
          <cell r="C1160">
            <v>53800</v>
          </cell>
          <cell r="D1160"/>
          <cell r="E1160">
            <v>7.98</v>
          </cell>
        </row>
        <row r="1161">
          <cell r="A1161">
            <v>45964</v>
          </cell>
          <cell r="B1161">
            <v>217</v>
          </cell>
          <cell r="C1161">
            <v>51000</v>
          </cell>
          <cell r="D1161"/>
          <cell r="E1161">
            <v>8.48</v>
          </cell>
        </row>
        <row r="1162">
          <cell r="A1162">
            <v>45965</v>
          </cell>
          <cell r="B1162">
            <v>218</v>
          </cell>
          <cell r="C1162">
            <v>31200</v>
          </cell>
          <cell r="D1162"/>
          <cell r="E1162">
            <v>5.09</v>
          </cell>
        </row>
        <row r="1163">
          <cell r="A1163">
            <v>45966</v>
          </cell>
          <cell r="B1163">
            <v>219</v>
          </cell>
          <cell r="C1163">
            <v>48600</v>
          </cell>
          <cell r="D1163"/>
          <cell r="E1163">
            <v>7.58</v>
          </cell>
        </row>
        <row r="1164">
          <cell r="A1164">
            <v>45967</v>
          </cell>
          <cell r="B1164">
            <v>220</v>
          </cell>
          <cell r="C1164">
            <v>22200</v>
          </cell>
          <cell r="D1164"/>
          <cell r="E1164">
            <v>5.31</v>
          </cell>
        </row>
        <row r="1165">
          <cell r="A1165">
            <v>45968</v>
          </cell>
          <cell r="B1165">
            <v>221</v>
          </cell>
          <cell r="C1165">
            <v>51000</v>
          </cell>
          <cell r="D1165"/>
          <cell r="E1165">
            <v>8.7200000000000006</v>
          </cell>
        </row>
        <row r="1166">
          <cell r="A1166">
            <v>45969</v>
          </cell>
          <cell r="B1166">
            <v>222</v>
          </cell>
          <cell r="C1166">
            <v>42600</v>
          </cell>
          <cell r="D1166"/>
          <cell r="E1166">
            <v>6.9</v>
          </cell>
        </row>
        <row r="1167">
          <cell r="A1167">
            <v>45970</v>
          </cell>
          <cell r="B1167">
            <v>223</v>
          </cell>
          <cell r="C1167">
            <v>65400</v>
          </cell>
          <cell r="D1167"/>
          <cell r="E1167">
            <v>8.48</v>
          </cell>
        </row>
        <row r="1168">
          <cell r="A1168">
            <v>45971</v>
          </cell>
          <cell r="B1168">
            <v>224</v>
          </cell>
          <cell r="C1168">
            <v>65650</v>
          </cell>
          <cell r="D1168"/>
          <cell r="E1168">
            <v>9.25</v>
          </cell>
        </row>
        <row r="1169">
          <cell r="A1169">
            <v>45972</v>
          </cell>
          <cell r="B1169">
            <v>225</v>
          </cell>
          <cell r="C1169">
            <v>46800</v>
          </cell>
          <cell r="D1169"/>
          <cell r="E1169">
            <v>8.75</v>
          </cell>
        </row>
        <row r="1170">
          <cell r="A1170">
            <v>45973</v>
          </cell>
          <cell r="B1170">
            <v>226</v>
          </cell>
          <cell r="C1170">
            <v>50400</v>
          </cell>
          <cell r="D1170"/>
          <cell r="E1170">
            <v>9.39</v>
          </cell>
        </row>
        <row r="1171">
          <cell r="A1171">
            <v>45974</v>
          </cell>
          <cell r="B1171">
            <v>227</v>
          </cell>
          <cell r="C1171">
            <v>45000</v>
          </cell>
          <cell r="D1171"/>
          <cell r="E1171">
            <v>8.06</v>
          </cell>
        </row>
        <row r="1172">
          <cell r="A1172">
            <v>45975</v>
          </cell>
          <cell r="B1172">
            <v>228</v>
          </cell>
          <cell r="C1172">
            <v>42000</v>
          </cell>
          <cell r="D1172"/>
          <cell r="E1172">
            <v>4.68</v>
          </cell>
        </row>
        <row r="1173">
          <cell r="A1173">
            <v>45976</v>
          </cell>
          <cell r="B1173">
            <v>229</v>
          </cell>
          <cell r="C1173">
            <v>60000</v>
          </cell>
          <cell r="D1173"/>
          <cell r="E1173">
            <v>9.18</v>
          </cell>
        </row>
        <row r="1174">
          <cell r="A1174">
            <v>45977</v>
          </cell>
          <cell r="B1174">
            <v>230</v>
          </cell>
          <cell r="C1174">
            <v>33600</v>
          </cell>
          <cell r="D1174"/>
          <cell r="E1174">
            <v>7.14</v>
          </cell>
        </row>
        <row r="1175">
          <cell r="A1175">
            <v>45978</v>
          </cell>
          <cell r="B1175">
            <v>231</v>
          </cell>
          <cell r="C1175">
            <v>36000</v>
          </cell>
          <cell r="D1175"/>
          <cell r="E1175">
            <v>6.46</v>
          </cell>
        </row>
        <row r="1176">
          <cell r="A1176">
            <v>45979</v>
          </cell>
          <cell r="B1176">
            <v>232</v>
          </cell>
          <cell r="C1176">
            <v>17400</v>
          </cell>
          <cell r="D1176"/>
          <cell r="E1176">
            <v>3.51</v>
          </cell>
        </row>
        <row r="1177">
          <cell r="A1177">
            <v>45980</v>
          </cell>
          <cell r="B1177">
            <v>233</v>
          </cell>
          <cell r="C1177">
            <v>42000</v>
          </cell>
          <cell r="D1177"/>
          <cell r="E1177">
            <v>4.62</v>
          </cell>
        </row>
        <row r="1178">
          <cell r="A1178">
            <v>45981</v>
          </cell>
          <cell r="B1178">
            <v>234</v>
          </cell>
          <cell r="C1178">
            <v>53400</v>
          </cell>
          <cell r="D1178"/>
          <cell r="E1178">
            <v>6.86</v>
          </cell>
        </row>
        <row r="1179">
          <cell r="A1179">
            <v>45982</v>
          </cell>
          <cell r="B1179">
            <v>235</v>
          </cell>
          <cell r="C1179">
            <v>34200</v>
          </cell>
          <cell r="D1179"/>
          <cell r="E1179">
            <v>8.2100000000000009</v>
          </cell>
        </row>
        <row r="1180">
          <cell r="A1180">
            <v>45983</v>
          </cell>
          <cell r="B1180">
            <v>236</v>
          </cell>
          <cell r="C1180">
            <v>37800</v>
          </cell>
          <cell r="D1180"/>
          <cell r="E1180">
            <v>8.01</v>
          </cell>
        </row>
        <row r="1181">
          <cell r="A1181">
            <v>45984</v>
          </cell>
          <cell r="B1181">
            <v>237</v>
          </cell>
          <cell r="C1181">
            <v>30000</v>
          </cell>
          <cell r="D1181"/>
          <cell r="E1181">
            <v>4.32</v>
          </cell>
        </row>
        <row r="1182">
          <cell r="A1182">
            <v>45985</v>
          </cell>
          <cell r="B1182">
            <v>238</v>
          </cell>
          <cell r="C1182">
            <v>42600</v>
          </cell>
          <cell r="D1182"/>
          <cell r="E1182">
            <v>7.32</v>
          </cell>
        </row>
        <row r="1183">
          <cell r="A1183">
            <v>45986</v>
          </cell>
          <cell r="B1183">
            <v>239</v>
          </cell>
          <cell r="C1183">
            <v>40800</v>
          </cell>
          <cell r="D1183"/>
          <cell r="E1183">
            <v>6.94</v>
          </cell>
        </row>
        <row r="1184">
          <cell r="A1184">
            <v>45987</v>
          </cell>
          <cell r="B1184">
            <v>240</v>
          </cell>
          <cell r="C1184">
            <v>39600</v>
          </cell>
          <cell r="D1184"/>
          <cell r="E1184">
            <v>7.6</v>
          </cell>
        </row>
        <row r="1185">
          <cell r="A1185">
            <v>45988</v>
          </cell>
          <cell r="B1185">
            <v>241</v>
          </cell>
          <cell r="C1185">
            <v>33600</v>
          </cell>
          <cell r="D1185"/>
          <cell r="E1185">
            <v>8.1</v>
          </cell>
        </row>
        <row r="1186">
          <cell r="A1186">
            <v>45989</v>
          </cell>
          <cell r="B1186">
            <v>242</v>
          </cell>
          <cell r="C1186">
            <v>36600</v>
          </cell>
          <cell r="D1186"/>
          <cell r="E1186">
            <v>5.76</v>
          </cell>
        </row>
        <row r="1187">
          <cell r="A1187">
            <v>45990</v>
          </cell>
          <cell r="B1187">
            <v>243</v>
          </cell>
          <cell r="C1187">
            <v>12600</v>
          </cell>
          <cell r="D1187"/>
          <cell r="E1187">
            <v>1.6</v>
          </cell>
        </row>
        <row r="1188">
          <cell r="A1188">
            <v>45991</v>
          </cell>
          <cell r="B1188">
            <v>244</v>
          </cell>
          <cell r="C1188">
            <v>12600</v>
          </cell>
          <cell r="D1188"/>
          <cell r="E1188">
            <v>1.98</v>
          </cell>
        </row>
        <row r="1189">
          <cell r="A1189">
            <v>45992</v>
          </cell>
          <cell r="B1189">
            <v>245</v>
          </cell>
          <cell r="C1189">
            <v>13220</v>
          </cell>
          <cell r="D1189"/>
          <cell r="E1189">
            <v>1.83</v>
          </cell>
        </row>
        <row r="1190">
          <cell r="A1190">
            <v>45993</v>
          </cell>
          <cell r="B1190">
            <v>246</v>
          </cell>
          <cell r="C1190">
            <v>23400</v>
          </cell>
          <cell r="D1190"/>
          <cell r="E1190">
            <v>6.45</v>
          </cell>
        </row>
        <row r="1191">
          <cell r="A1191">
            <v>45994</v>
          </cell>
          <cell r="B1191">
            <v>247</v>
          </cell>
          <cell r="C1191">
            <v>27000</v>
          </cell>
          <cell r="D1191"/>
          <cell r="E1191">
            <v>5.65</v>
          </cell>
        </row>
        <row r="1192">
          <cell r="A1192">
            <v>45995</v>
          </cell>
          <cell r="B1192">
            <v>248</v>
          </cell>
          <cell r="C1192">
            <v>37800</v>
          </cell>
          <cell r="D1192"/>
          <cell r="E1192">
            <v>5.76</v>
          </cell>
        </row>
        <row r="1193">
          <cell r="A1193">
            <v>45996</v>
          </cell>
          <cell r="B1193">
            <v>249</v>
          </cell>
          <cell r="C1193">
            <v>16800</v>
          </cell>
          <cell r="D1193"/>
          <cell r="E1193">
            <v>6.88</v>
          </cell>
        </row>
        <row r="1194">
          <cell r="A1194">
            <v>45997</v>
          </cell>
          <cell r="B1194">
            <v>250</v>
          </cell>
          <cell r="C1194">
            <v>51000</v>
          </cell>
          <cell r="D1194"/>
          <cell r="E1194">
            <v>6.94</v>
          </cell>
        </row>
        <row r="1195">
          <cell r="A1195">
            <v>45998</v>
          </cell>
          <cell r="B1195">
            <v>251</v>
          </cell>
          <cell r="C1195">
            <v>39600</v>
          </cell>
          <cell r="D1195"/>
          <cell r="E1195">
            <v>5.43</v>
          </cell>
        </row>
        <row r="1196">
          <cell r="A1196">
            <v>45999</v>
          </cell>
          <cell r="B1196">
            <v>252</v>
          </cell>
          <cell r="C1196">
            <v>52200</v>
          </cell>
          <cell r="D1196"/>
          <cell r="E1196">
            <v>9.1199999999999992</v>
          </cell>
        </row>
        <row r="1197">
          <cell r="A1197">
            <v>46000</v>
          </cell>
          <cell r="B1197">
            <v>253</v>
          </cell>
          <cell r="C1197">
            <v>59400</v>
          </cell>
          <cell r="D1197"/>
          <cell r="E1197">
            <v>8.7100000000000009</v>
          </cell>
        </row>
        <row r="1198">
          <cell r="A1198">
            <v>46001</v>
          </cell>
          <cell r="B1198">
            <v>254</v>
          </cell>
          <cell r="C1198">
            <v>60000</v>
          </cell>
          <cell r="D1198"/>
          <cell r="E1198">
            <v>9.39</v>
          </cell>
        </row>
        <row r="1199">
          <cell r="A1199">
            <v>46002</v>
          </cell>
          <cell r="B1199">
            <v>255</v>
          </cell>
          <cell r="C1199">
            <v>63600</v>
          </cell>
          <cell r="D1199"/>
          <cell r="E1199">
            <v>8.7100000000000009</v>
          </cell>
        </row>
        <row r="1200">
          <cell r="A1200">
            <v>46003</v>
          </cell>
          <cell r="B1200">
            <v>256</v>
          </cell>
          <cell r="C1200">
            <v>59400</v>
          </cell>
          <cell r="D1200"/>
          <cell r="E1200">
            <v>10.43</v>
          </cell>
        </row>
        <row r="1201">
          <cell r="A1201">
            <v>46004</v>
          </cell>
          <cell r="B1201">
            <v>257</v>
          </cell>
          <cell r="C1201">
            <v>66000</v>
          </cell>
          <cell r="D1201"/>
          <cell r="E1201">
            <v>9.6300000000000008</v>
          </cell>
        </row>
        <row r="1202">
          <cell r="A1202">
            <v>46005</v>
          </cell>
          <cell r="B1202">
            <v>258</v>
          </cell>
          <cell r="C1202">
            <v>4800</v>
          </cell>
          <cell r="D1202"/>
          <cell r="E1202">
            <v>2.95</v>
          </cell>
        </row>
        <row r="1203">
          <cell r="A1203">
            <v>46006</v>
          </cell>
          <cell r="B1203">
            <v>259</v>
          </cell>
          <cell r="C1203">
            <v>63000</v>
          </cell>
          <cell r="D1203"/>
          <cell r="E1203">
            <v>9.69</v>
          </cell>
        </row>
        <row r="1204">
          <cell r="A1204">
            <v>46007</v>
          </cell>
          <cell r="B1204">
            <v>260</v>
          </cell>
          <cell r="C1204">
            <v>16200</v>
          </cell>
          <cell r="D1204"/>
          <cell r="E1204">
            <v>3.07</v>
          </cell>
        </row>
        <row r="1205">
          <cell r="A1205">
            <v>46008</v>
          </cell>
          <cell r="B1205">
            <v>261</v>
          </cell>
          <cell r="C1205">
            <v>53400</v>
          </cell>
          <cell r="D1205"/>
          <cell r="E1205">
            <v>9.16</v>
          </cell>
        </row>
        <row r="1206">
          <cell r="A1206">
            <v>46009</v>
          </cell>
          <cell r="B1206">
            <v>262</v>
          </cell>
          <cell r="C1206">
            <v>61800</v>
          </cell>
          <cell r="D1206"/>
          <cell r="E1206">
            <v>9.17</v>
          </cell>
        </row>
        <row r="1207">
          <cell r="A1207">
            <v>46010</v>
          </cell>
          <cell r="B1207">
            <v>263</v>
          </cell>
          <cell r="C1207">
            <v>57600</v>
          </cell>
          <cell r="D1207"/>
          <cell r="E1207">
            <v>8.0299999999999994</v>
          </cell>
        </row>
        <row r="1208">
          <cell r="A1208">
            <v>46011</v>
          </cell>
          <cell r="B1208">
            <v>264</v>
          </cell>
          <cell r="C1208">
            <v>57000</v>
          </cell>
          <cell r="D1208"/>
          <cell r="E1208">
            <v>8.94</v>
          </cell>
        </row>
        <row r="1209">
          <cell r="A1209">
            <v>46012</v>
          </cell>
          <cell r="B1209">
            <v>265</v>
          </cell>
          <cell r="C1209">
            <v>58800</v>
          </cell>
          <cell r="D1209"/>
          <cell r="E1209">
            <v>9.16</v>
          </cell>
        </row>
        <row r="1210">
          <cell r="A1210">
            <v>46013</v>
          </cell>
          <cell r="B1210">
            <v>266</v>
          </cell>
          <cell r="C1210">
            <v>43800</v>
          </cell>
          <cell r="D1210"/>
          <cell r="E1210">
            <v>7.75</v>
          </cell>
        </row>
        <row r="1211">
          <cell r="A1211">
            <v>46014</v>
          </cell>
          <cell r="B1211">
            <v>267</v>
          </cell>
          <cell r="C1211">
            <v>58200</v>
          </cell>
          <cell r="D1211"/>
          <cell r="E1211">
            <v>8.7100000000000009</v>
          </cell>
        </row>
        <row r="1212">
          <cell r="A1212">
            <v>46015</v>
          </cell>
          <cell r="B1212">
            <v>268</v>
          </cell>
          <cell r="C1212">
            <v>60000</v>
          </cell>
          <cell r="D1212"/>
          <cell r="E1212">
            <v>8.75</v>
          </cell>
        </row>
        <row r="1213">
          <cell r="A1213">
            <v>46016</v>
          </cell>
          <cell r="B1213">
            <v>269</v>
          </cell>
          <cell r="C1213">
            <v>64200</v>
          </cell>
          <cell r="D1213"/>
          <cell r="E1213">
            <v>9.23</v>
          </cell>
        </row>
        <row r="1214">
          <cell r="A1214">
            <v>46017</v>
          </cell>
          <cell r="B1214">
            <v>270</v>
          </cell>
          <cell r="C1214">
            <v>55200</v>
          </cell>
          <cell r="D1214"/>
          <cell r="E1214">
            <v>9.1999999999999993</v>
          </cell>
        </row>
        <row r="1215">
          <cell r="A1215">
            <v>46018</v>
          </cell>
          <cell r="B1215">
            <v>271</v>
          </cell>
          <cell r="C1215">
            <v>62400</v>
          </cell>
          <cell r="D1215"/>
          <cell r="E1215">
            <v>9.68</v>
          </cell>
        </row>
        <row r="1216">
          <cell r="A1216">
            <v>46019</v>
          </cell>
          <cell r="B1216">
            <v>272</v>
          </cell>
          <cell r="C1216">
            <v>50400</v>
          </cell>
          <cell r="D1216"/>
          <cell r="E1216">
            <v>8.98</v>
          </cell>
        </row>
        <row r="1217">
          <cell r="A1217">
            <v>46020</v>
          </cell>
          <cell r="B1217">
            <v>273</v>
          </cell>
          <cell r="C1217">
            <v>59400</v>
          </cell>
          <cell r="D1217"/>
          <cell r="E1217">
            <v>8.3699999999999992</v>
          </cell>
        </row>
        <row r="1218">
          <cell r="A1218">
            <v>46021</v>
          </cell>
          <cell r="B1218">
            <v>274</v>
          </cell>
          <cell r="C1218">
            <v>54000</v>
          </cell>
          <cell r="D1218"/>
          <cell r="E1218">
            <v>9.39</v>
          </cell>
        </row>
        <row r="1219">
          <cell r="A1219">
            <v>46022</v>
          </cell>
          <cell r="B1219">
            <v>275</v>
          </cell>
          <cell r="C1219">
            <v>46800</v>
          </cell>
          <cell r="D1219"/>
          <cell r="E1219">
            <v>8.7200000000000006</v>
          </cell>
        </row>
        <row r="1220">
          <cell r="A1220">
            <v>46023</v>
          </cell>
          <cell r="B1220">
            <v>276</v>
          </cell>
          <cell r="C1220">
            <v>29739</v>
          </cell>
          <cell r="D1220"/>
          <cell r="E1220">
            <v>3.6</v>
          </cell>
        </row>
        <row r="1221">
          <cell r="A1221">
            <v>46024</v>
          </cell>
          <cell r="B1221">
            <v>277</v>
          </cell>
          <cell r="C1221">
            <v>43800</v>
          </cell>
          <cell r="D1221"/>
          <cell r="E1221">
            <v>5.33</v>
          </cell>
        </row>
        <row r="1222">
          <cell r="A1222">
            <v>46025</v>
          </cell>
          <cell r="B1222">
            <v>278</v>
          </cell>
          <cell r="C1222">
            <v>52800</v>
          </cell>
          <cell r="D1222"/>
          <cell r="E1222">
            <v>9.2100000000000009</v>
          </cell>
        </row>
        <row r="1223">
          <cell r="A1223">
            <v>46026</v>
          </cell>
          <cell r="B1223">
            <v>279</v>
          </cell>
          <cell r="C1223">
            <v>57000</v>
          </cell>
          <cell r="D1223"/>
          <cell r="E1223">
            <v>9.77</v>
          </cell>
        </row>
        <row r="1224">
          <cell r="A1224">
            <v>46027</v>
          </cell>
          <cell r="B1224">
            <v>280</v>
          </cell>
          <cell r="C1224">
            <v>62400</v>
          </cell>
          <cell r="D1224"/>
          <cell r="E1224">
            <v>8.98</v>
          </cell>
        </row>
        <row r="1225">
          <cell r="A1225">
            <v>46028</v>
          </cell>
          <cell r="B1225">
            <v>281</v>
          </cell>
          <cell r="C1225">
            <v>42000</v>
          </cell>
          <cell r="D1225"/>
          <cell r="E1225">
            <v>8.02</v>
          </cell>
        </row>
        <row r="1226">
          <cell r="A1226">
            <v>46029</v>
          </cell>
          <cell r="B1226">
            <v>282</v>
          </cell>
          <cell r="C1226">
            <v>60600</v>
          </cell>
          <cell r="D1226"/>
          <cell r="E1226">
            <v>9.3800000000000008</v>
          </cell>
        </row>
        <row r="1227">
          <cell r="A1227">
            <v>46030</v>
          </cell>
          <cell r="B1227">
            <v>283</v>
          </cell>
          <cell r="C1227">
            <v>61800</v>
          </cell>
          <cell r="D1227"/>
          <cell r="E1227">
            <v>9.6199999999999992</v>
          </cell>
        </row>
        <row r="1228">
          <cell r="A1228">
            <v>46031</v>
          </cell>
          <cell r="B1228">
            <v>284</v>
          </cell>
          <cell r="C1228">
            <v>47400</v>
          </cell>
          <cell r="D1228"/>
          <cell r="E1228">
            <v>8.02</v>
          </cell>
        </row>
        <row r="1229">
          <cell r="A1229">
            <v>46032</v>
          </cell>
          <cell r="B1229">
            <v>285</v>
          </cell>
          <cell r="C1229">
            <v>21600</v>
          </cell>
          <cell r="D1229"/>
          <cell r="E1229">
            <v>3.05</v>
          </cell>
        </row>
        <row r="1230">
          <cell r="A1230">
            <v>46033</v>
          </cell>
          <cell r="B1230">
            <v>286</v>
          </cell>
          <cell r="C1230">
            <v>24600</v>
          </cell>
          <cell r="D1230"/>
          <cell r="E1230">
            <v>2.4500000000000002</v>
          </cell>
        </row>
        <row r="1231">
          <cell r="A1231">
            <v>46034</v>
          </cell>
          <cell r="B1231">
            <v>287</v>
          </cell>
          <cell r="C1231">
            <v>18000</v>
          </cell>
          <cell r="D1231"/>
          <cell r="E1231">
            <v>2.82</v>
          </cell>
        </row>
        <row r="1232">
          <cell r="A1232">
            <v>46035</v>
          </cell>
          <cell r="B1232">
            <v>288</v>
          </cell>
          <cell r="C1232">
            <v>43200</v>
          </cell>
          <cell r="D1232"/>
          <cell r="E1232">
            <v>7.58</v>
          </cell>
        </row>
        <row r="1233">
          <cell r="A1233">
            <v>46036</v>
          </cell>
          <cell r="B1233">
            <v>289</v>
          </cell>
          <cell r="C1233">
            <v>57000</v>
          </cell>
          <cell r="D1233"/>
          <cell r="E1233">
            <v>9.2100000000000009</v>
          </cell>
        </row>
        <row r="1234">
          <cell r="A1234">
            <v>46037</v>
          </cell>
          <cell r="B1234">
            <v>290</v>
          </cell>
          <cell r="C1234">
            <v>58800</v>
          </cell>
          <cell r="D1234"/>
          <cell r="E1234">
            <v>9.31</v>
          </cell>
        </row>
        <row r="1235">
          <cell r="A1235">
            <v>46038</v>
          </cell>
          <cell r="B1235">
            <v>291</v>
          </cell>
          <cell r="C1235">
            <v>55800</v>
          </cell>
          <cell r="D1235"/>
          <cell r="E1235">
            <v>9.1999999999999993</v>
          </cell>
        </row>
        <row r="1236">
          <cell r="A1236">
            <v>46039</v>
          </cell>
          <cell r="B1236">
            <v>292</v>
          </cell>
          <cell r="C1236">
            <v>47400</v>
          </cell>
          <cell r="D1236"/>
          <cell r="E1236">
            <v>8.02</v>
          </cell>
        </row>
        <row r="1237">
          <cell r="A1237">
            <v>46040</v>
          </cell>
          <cell r="B1237">
            <v>293</v>
          </cell>
          <cell r="C1237">
            <v>66600</v>
          </cell>
          <cell r="D1237"/>
          <cell r="E1237">
            <v>9.9499999999999993</v>
          </cell>
        </row>
        <row r="1238">
          <cell r="A1238">
            <v>46041</v>
          </cell>
          <cell r="B1238">
            <v>294</v>
          </cell>
          <cell r="C1238">
            <v>63000</v>
          </cell>
          <cell r="D1238"/>
          <cell r="E1238">
            <v>8.94</v>
          </cell>
        </row>
        <row r="1239">
          <cell r="A1239">
            <v>46042</v>
          </cell>
          <cell r="B1239">
            <v>295</v>
          </cell>
          <cell r="C1239">
            <v>66000</v>
          </cell>
          <cell r="D1239"/>
          <cell r="E1239">
            <v>9.9499999999999993</v>
          </cell>
        </row>
        <row r="1240">
          <cell r="A1240">
            <v>46043</v>
          </cell>
          <cell r="B1240">
            <v>296</v>
          </cell>
          <cell r="C1240">
            <v>63000</v>
          </cell>
          <cell r="D1240"/>
          <cell r="E1240">
            <v>9.34</v>
          </cell>
        </row>
        <row r="1241">
          <cell r="A1241">
            <v>46044</v>
          </cell>
          <cell r="B1241">
            <v>297</v>
          </cell>
          <cell r="C1241">
            <v>68400</v>
          </cell>
          <cell r="D1241"/>
          <cell r="E1241">
            <v>9.31</v>
          </cell>
        </row>
        <row r="1242">
          <cell r="A1242">
            <v>46045</v>
          </cell>
          <cell r="B1242">
            <v>298</v>
          </cell>
          <cell r="C1242">
            <v>66006</v>
          </cell>
          <cell r="D1242"/>
          <cell r="E1242">
            <v>9.85</v>
          </cell>
        </row>
        <row r="1243">
          <cell r="A1243">
            <v>46046</v>
          </cell>
          <cell r="B1243">
            <v>299</v>
          </cell>
          <cell r="C1243">
            <v>29400</v>
          </cell>
          <cell r="D1243"/>
          <cell r="E1243">
            <v>5.31</v>
          </cell>
        </row>
        <row r="1244">
          <cell r="A1244">
            <v>46047</v>
          </cell>
          <cell r="B1244">
            <v>300</v>
          </cell>
          <cell r="C1244">
            <v>21600</v>
          </cell>
          <cell r="D1244"/>
          <cell r="E1244">
            <v>2.46</v>
          </cell>
        </row>
        <row r="1245">
          <cell r="A1245">
            <v>46048</v>
          </cell>
          <cell r="B1245">
            <v>301</v>
          </cell>
          <cell r="C1245">
            <v>21000</v>
          </cell>
          <cell r="D1245"/>
          <cell r="E1245">
            <v>2.71</v>
          </cell>
        </row>
        <row r="1246">
          <cell r="A1246">
            <v>46049</v>
          </cell>
          <cell r="B1246">
            <v>302</v>
          </cell>
          <cell r="C1246">
            <v>62400</v>
          </cell>
          <cell r="D1246"/>
          <cell r="E1246">
            <v>9.61</v>
          </cell>
        </row>
        <row r="1247">
          <cell r="A1247">
            <v>46050</v>
          </cell>
          <cell r="B1247">
            <v>303</v>
          </cell>
          <cell r="C1247">
            <v>61200</v>
          </cell>
          <cell r="D1247"/>
          <cell r="E1247">
            <v>9.1999999999999993</v>
          </cell>
        </row>
        <row r="1248">
          <cell r="A1248">
            <v>46051</v>
          </cell>
          <cell r="B1248">
            <v>304</v>
          </cell>
          <cell r="C1248">
            <v>58200</v>
          </cell>
          <cell r="D1248"/>
          <cell r="E1248">
            <v>8.7100000000000009</v>
          </cell>
        </row>
        <row r="1249">
          <cell r="A1249">
            <v>46052</v>
          </cell>
          <cell r="B1249">
            <v>305</v>
          </cell>
          <cell r="C1249">
            <v>64800</v>
          </cell>
          <cell r="D1249"/>
          <cell r="E1249">
            <v>9.61</v>
          </cell>
        </row>
        <row r="1250">
          <cell r="A1250">
            <v>46053</v>
          </cell>
          <cell r="B1250">
            <v>306</v>
          </cell>
          <cell r="C1250">
            <v>69000</v>
          </cell>
          <cell r="D1250"/>
          <cell r="E1250">
            <v>9.56</v>
          </cell>
        </row>
        <row r="1251">
          <cell r="A1251">
            <v>46054</v>
          </cell>
          <cell r="B1251">
            <v>307</v>
          </cell>
          <cell r="C1251">
            <v>61800</v>
          </cell>
          <cell r="D1251"/>
          <cell r="E1251">
            <v>9.4</v>
          </cell>
        </row>
        <row r="1252">
          <cell r="A1252">
            <v>46055</v>
          </cell>
          <cell r="B1252">
            <v>308</v>
          </cell>
          <cell r="C1252">
            <v>63000</v>
          </cell>
          <cell r="D1252"/>
          <cell r="E1252">
            <v>9.26</v>
          </cell>
        </row>
        <row r="1253">
          <cell r="A1253">
            <v>46056</v>
          </cell>
          <cell r="B1253">
            <v>309</v>
          </cell>
          <cell r="C1253">
            <v>56400</v>
          </cell>
          <cell r="D1253"/>
          <cell r="E1253">
            <v>9.61</v>
          </cell>
        </row>
        <row r="1254">
          <cell r="A1254">
            <v>46057</v>
          </cell>
          <cell r="B1254">
            <v>310</v>
          </cell>
          <cell r="C1254">
            <v>69000</v>
          </cell>
          <cell r="D1254"/>
          <cell r="E1254">
            <v>9.61</v>
          </cell>
        </row>
        <row r="1255">
          <cell r="A1255">
            <v>46058</v>
          </cell>
          <cell r="B1255">
            <v>311</v>
          </cell>
          <cell r="C1255">
            <v>68400</v>
          </cell>
          <cell r="D1255"/>
          <cell r="E1255">
            <v>9.15</v>
          </cell>
        </row>
        <row r="1256">
          <cell r="A1256">
            <v>46059</v>
          </cell>
          <cell r="B1256">
            <v>312</v>
          </cell>
          <cell r="C1256"/>
          <cell r="D1256"/>
          <cell r="E1256"/>
        </row>
        <row r="1257">
          <cell r="A1257">
            <v>46060</v>
          </cell>
          <cell r="B1257">
            <v>313</v>
          </cell>
          <cell r="C1257"/>
          <cell r="D1257"/>
          <cell r="E1257"/>
        </row>
        <row r="1258">
          <cell r="A1258">
            <v>46061</v>
          </cell>
          <cell r="B1258">
            <v>314</v>
          </cell>
          <cell r="C1258"/>
          <cell r="D1258"/>
          <cell r="E1258"/>
        </row>
        <row r="1259">
          <cell r="A1259">
            <v>46062</v>
          </cell>
          <cell r="B1259">
            <v>315</v>
          </cell>
          <cell r="C1259"/>
          <cell r="D1259"/>
          <cell r="E1259"/>
        </row>
        <row r="1260">
          <cell r="A1260">
            <v>46063</v>
          </cell>
          <cell r="B1260">
            <v>316</v>
          </cell>
          <cell r="C1260"/>
          <cell r="D1260"/>
          <cell r="E1260"/>
        </row>
        <row r="1261">
          <cell r="A1261">
            <v>46064</v>
          </cell>
          <cell r="B1261">
            <v>317</v>
          </cell>
          <cell r="C1261"/>
          <cell r="D1261"/>
          <cell r="E1261"/>
        </row>
        <row r="1262">
          <cell r="A1262">
            <v>46065</v>
          </cell>
          <cell r="B1262">
            <v>318</v>
          </cell>
          <cell r="C1262"/>
          <cell r="D1262"/>
          <cell r="E1262"/>
        </row>
        <row r="1263">
          <cell r="A1263">
            <v>46066</v>
          </cell>
          <cell r="B1263">
            <v>319</v>
          </cell>
          <cell r="C1263"/>
          <cell r="D1263"/>
          <cell r="E1263"/>
        </row>
        <row r="1264">
          <cell r="A1264">
            <v>46067</v>
          </cell>
          <cell r="B1264">
            <v>320</v>
          </cell>
          <cell r="C1264"/>
          <cell r="D1264"/>
          <cell r="E1264"/>
        </row>
        <row r="1265">
          <cell r="A1265">
            <v>46068</v>
          </cell>
          <cell r="B1265">
            <v>321</v>
          </cell>
          <cell r="C1265"/>
          <cell r="D1265"/>
          <cell r="E1265"/>
        </row>
        <row r="1266">
          <cell r="A1266">
            <v>46069</v>
          </cell>
          <cell r="B1266">
            <v>322</v>
          </cell>
          <cell r="C1266"/>
          <cell r="D1266"/>
          <cell r="E1266"/>
        </row>
        <row r="1267">
          <cell r="A1267">
            <v>46070</v>
          </cell>
          <cell r="B1267">
            <v>323</v>
          </cell>
          <cell r="C1267"/>
          <cell r="D1267"/>
          <cell r="E1267"/>
        </row>
        <row r="1268">
          <cell r="A1268">
            <v>46071</v>
          </cell>
          <cell r="B1268">
            <v>324</v>
          </cell>
          <cell r="C1268"/>
          <cell r="D1268"/>
          <cell r="E1268"/>
        </row>
        <row r="1269">
          <cell r="A1269">
            <v>46072</v>
          </cell>
          <cell r="B1269">
            <v>325</v>
          </cell>
          <cell r="C1269"/>
          <cell r="D1269"/>
          <cell r="E1269"/>
        </row>
        <row r="1270">
          <cell r="A1270">
            <v>46073</v>
          </cell>
          <cell r="B1270">
            <v>326</v>
          </cell>
          <cell r="C1270"/>
          <cell r="D1270"/>
          <cell r="E1270"/>
        </row>
        <row r="1271">
          <cell r="A1271">
            <v>46074</v>
          </cell>
          <cell r="B1271">
            <v>327</v>
          </cell>
          <cell r="C1271"/>
          <cell r="D1271"/>
          <cell r="E1271"/>
        </row>
        <row r="1272">
          <cell r="A1272">
            <v>46075</v>
          </cell>
          <cell r="B1272">
            <v>328</v>
          </cell>
          <cell r="C1272"/>
          <cell r="D1272"/>
          <cell r="E1272"/>
        </row>
        <row r="1273">
          <cell r="A1273">
            <v>46076</v>
          </cell>
          <cell r="B1273">
            <v>329</v>
          </cell>
          <cell r="C1273"/>
          <cell r="D1273"/>
          <cell r="E1273"/>
        </row>
        <row r="1274">
          <cell r="A1274">
            <v>46077</v>
          </cell>
          <cell r="B1274">
            <v>330</v>
          </cell>
          <cell r="C1274"/>
          <cell r="D1274"/>
          <cell r="E1274"/>
        </row>
        <row r="1275">
          <cell r="A1275">
            <v>46078</v>
          </cell>
          <cell r="B1275">
            <v>331</v>
          </cell>
          <cell r="C1275"/>
          <cell r="D1275"/>
          <cell r="E1275"/>
        </row>
        <row r="1276">
          <cell r="A1276">
            <v>46079</v>
          </cell>
          <cell r="B1276">
            <v>332</v>
          </cell>
          <cell r="C1276"/>
          <cell r="D1276"/>
          <cell r="E1276"/>
        </row>
        <row r="1277">
          <cell r="A1277">
            <v>46080</v>
          </cell>
          <cell r="B1277">
            <v>333</v>
          </cell>
          <cell r="C1277"/>
          <cell r="D1277"/>
          <cell r="E1277"/>
        </row>
        <row r="1278">
          <cell r="A1278">
            <v>46081</v>
          </cell>
          <cell r="B1278">
            <v>334</v>
          </cell>
          <cell r="C1278"/>
          <cell r="D1278"/>
          <cell r="E1278"/>
        </row>
        <row r="1279">
          <cell r="A1279">
            <v>46082</v>
          </cell>
          <cell r="B1279">
            <v>335</v>
          </cell>
          <cell r="C1279"/>
          <cell r="D1279"/>
          <cell r="E1279"/>
        </row>
        <row r="1280">
          <cell r="A1280">
            <v>46083</v>
          </cell>
          <cell r="B1280">
            <v>336</v>
          </cell>
          <cell r="C1280"/>
          <cell r="D1280"/>
          <cell r="E1280"/>
        </row>
        <row r="1281">
          <cell r="A1281">
            <v>46084</v>
          </cell>
          <cell r="B1281">
            <v>337</v>
          </cell>
          <cell r="C1281"/>
          <cell r="D1281"/>
          <cell r="E1281"/>
        </row>
        <row r="1282">
          <cell r="A1282">
            <v>46085</v>
          </cell>
          <cell r="B1282">
            <v>338</v>
          </cell>
          <cell r="C1282"/>
          <cell r="D1282"/>
          <cell r="E1282"/>
        </row>
        <row r="1283">
          <cell r="A1283">
            <v>46086</v>
          </cell>
          <cell r="B1283">
            <v>339</v>
          </cell>
          <cell r="C1283"/>
          <cell r="D1283"/>
          <cell r="E1283"/>
        </row>
        <row r="1284">
          <cell r="A1284">
            <v>46087</v>
          </cell>
          <cell r="B1284">
            <v>340</v>
          </cell>
          <cell r="C1284"/>
          <cell r="D1284"/>
          <cell r="E1284"/>
        </row>
        <row r="1285">
          <cell r="A1285">
            <v>46088</v>
          </cell>
          <cell r="B1285">
            <v>341</v>
          </cell>
          <cell r="C1285"/>
          <cell r="D1285"/>
          <cell r="E1285"/>
        </row>
        <row r="1286">
          <cell r="A1286">
            <v>46089</v>
          </cell>
          <cell r="B1286">
            <v>342</v>
          </cell>
          <cell r="C1286"/>
          <cell r="D1286"/>
          <cell r="E1286"/>
        </row>
        <row r="1287">
          <cell r="A1287">
            <v>46090</v>
          </cell>
          <cell r="B1287">
            <v>343</v>
          </cell>
          <cell r="C1287"/>
          <cell r="D1287"/>
          <cell r="E1287"/>
        </row>
        <row r="1288">
          <cell r="A1288">
            <v>46091</v>
          </cell>
          <cell r="B1288">
            <v>344</v>
          </cell>
          <cell r="C1288"/>
          <cell r="D1288"/>
          <cell r="E1288"/>
        </row>
        <row r="1289">
          <cell r="A1289">
            <v>46092</v>
          </cell>
          <cell r="B1289">
            <v>345</v>
          </cell>
          <cell r="C1289"/>
          <cell r="D1289"/>
          <cell r="E1289"/>
        </row>
        <row r="1290">
          <cell r="A1290">
            <v>46093</v>
          </cell>
          <cell r="B1290">
            <v>346</v>
          </cell>
          <cell r="C1290"/>
          <cell r="D1290"/>
          <cell r="E1290"/>
        </row>
        <row r="1291">
          <cell r="A1291">
            <v>46094</v>
          </cell>
          <cell r="B1291">
            <v>347</v>
          </cell>
          <cell r="C1291"/>
          <cell r="D1291"/>
          <cell r="E1291"/>
        </row>
        <row r="1292">
          <cell r="A1292">
            <v>46095</v>
          </cell>
          <cell r="B1292">
            <v>348</v>
          </cell>
          <cell r="C1292"/>
          <cell r="D1292"/>
          <cell r="E1292"/>
        </row>
        <row r="1293">
          <cell r="A1293">
            <v>46096</v>
          </cell>
          <cell r="B1293">
            <v>349</v>
          </cell>
          <cell r="C1293"/>
          <cell r="D1293"/>
          <cell r="E1293"/>
        </row>
        <row r="1294">
          <cell r="A1294">
            <v>46097</v>
          </cell>
          <cell r="B1294">
            <v>350</v>
          </cell>
          <cell r="C1294"/>
          <cell r="D1294"/>
          <cell r="E1294"/>
        </row>
        <row r="1295">
          <cell r="A1295">
            <v>46098</v>
          </cell>
          <cell r="B1295">
            <v>351</v>
          </cell>
          <cell r="C1295"/>
          <cell r="D1295"/>
          <cell r="E1295"/>
        </row>
        <row r="1296">
          <cell r="A1296">
            <v>46099</v>
          </cell>
          <cell r="B1296">
            <v>352</v>
          </cell>
          <cell r="C1296"/>
          <cell r="D1296"/>
          <cell r="E1296"/>
        </row>
        <row r="1297">
          <cell r="A1297">
            <v>46100</v>
          </cell>
          <cell r="B1297">
            <v>353</v>
          </cell>
          <cell r="C1297"/>
          <cell r="D1297"/>
          <cell r="E1297"/>
        </row>
        <row r="1298">
          <cell r="A1298">
            <v>46101</v>
          </cell>
          <cell r="B1298">
            <v>354</v>
          </cell>
          <cell r="C1298"/>
          <cell r="D1298"/>
          <cell r="E1298"/>
        </row>
        <row r="1299">
          <cell r="A1299">
            <v>46102</v>
          </cell>
          <cell r="B1299">
            <v>355</v>
          </cell>
          <cell r="C1299"/>
          <cell r="D1299"/>
          <cell r="E1299"/>
        </row>
        <row r="1300">
          <cell r="A1300">
            <v>46103</v>
          </cell>
          <cell r="B1300">
            <v>356</v>
          </cell>
          <cell r="C1300"/>
          <cell r="D1300"/>
          <cell r="E1300"/>
        </row>
        <row r="1301">
          <cell r="A1301">
            <v>46104</v>
          </cell>
          <cell r="B1301">
            <v>357</v>
          </cell>
          <cell r="C1301"/>
          <cell r="D1301"/>
          <cell r="E1301"/>
        </row>
        <row r="1302">
          <cell r="A1302">
            <v>46105</v>
          </cell>
          <cell r="B1302">
            <v>358</v>
          </cell>
          <cell r="C1302"/>
          <cell r="D1302"/>
          <cell r="E1302"/>
        </row>
        <row r="1303">
          <cell r="A1303">
            <v>46106</v>
          </cell>
          <cell r="B1303">
            <v>359</v>
          </cell>
          <cell r="C1303"/>
          <cell r="D1303"/>
          <cell r="E1303"/>
        </row>
        <row r="1304">
          <cell r="A1304">
            <v>46107</v>
          </cell>
          <cell r="B1304">
            <v>360</v>
          </cell>
          <cell r="C1304"/>
          <cell r="D1304"/>
          <cell r="E1304"/>
        </row>
        <row r="1305">
          <cell r="A1305">
            <v>46108</v>
          </cell>
          <cell r="B1305">
            <v>361</v>
          </cell>
          <cell r="C1305"/>
          <cell r="D1305"/>
          <cell r="E1305"/>
        </row>
        <row r="1306">
          <cell r="A1306">
            <v>46109</v>
          </cell>
          <cell r="B1306">
            <v>362</v>
          </cell>
          <cell r="C1306"/>
          <cell r="D1306"/>
          <cell r="E1306"/>
        </row>
        <row r="1307">
          <cell r="A1307">
            <v>46110</v>
          </cell>
          <cell r="B1307">
            <v>363</v>
          </cell>
          <cell r="C1307"/>
          <cell r="D1307"/>
          <cell r="E1307"/>
        </row>
        <row r="1308">
          <cell r="A1308">
            <v>46111</v>
          </cell>
          <cell r="B1308">
            <v>364</v>
          </cell>
          <cell r="C1308"/>
          <cell r="D1308"/>
          <cell r="E1308"/>
        </row>
        <row r="1309">
          <cell r="A1309">
            <v>46112</v>
          </cell>
          <cell r="B1309">
            <v>365</v>
          </cell>
          <cell r="C1309"/>
          <cell r="D1309"/>
          <cell r="E1309"/>
        </row>
        <row r="1310">
          <cell r="A1310">
            <v>46113</v>
          </cell>
          <cell r="B1310">
            <v>1</v>
          </cell>
          <cell r="C1310"/>
          <cell r="D1310"/>
          <cell r="E1310"/>
        </row>
        <row r="1311">
          <cell r="A1311">
            <v>46114</v>
          </cell>
          <cell r="B1311">
            <v>2</v>
          </cell>
          <cell r="C1311"/>
          <cell r="D1311"/>
          <cell r="E1311"/>
        </row>
        <row r="1312">
          <cell r="A1312">
            <v>46115</v>
          </cell>
          <cell r="B1312">
            <v>3</v>
          </cell>
          <cell r="C1312"/>
          <cell r="D1312"/>
          <cell r="E1312"/>
        </row>
        <row r="1313">
          <cell r="A1313">
            <v>46116</v>
          </cell>
          <cell r="B1313">
            <v>4</v>
          </cell>
          <cell r="C1313"/>
          <cell r="D1313"/>
          <cell r="E1313"/>
        </row>
        <row r="1314">
          <cell r="A1314">
            <v>46117</v>
          </cell>
          <cell r="B1314">
            <v>5</v>
          </cell>
          <cell r="C1314"/>
          <cell r="D1314"/>
          <cell r="E1314"/>
        </row>
        <row r="1315">
          <cell r="A1315">
            <v>46118</v>
          </cell>
          <cell r="B1315">
            <v>6</v>
          </cell>
          <cell r="C1315"/>
          <cell r="D1315"/>
          <cell r="E1315"/>
        </row>
        <row r="1316">
          <cell r="A1316">
            <v>46119</v>
          </cell>
          <cell r="B1316">
            <v>7</v>
          </cell>
          <cell r="C1316"/>
          <cell r="D1316"/>
          <cell r="E1316"/>
        </row>
        <row r="1317">
          <cell r="A1317">
            <v>46120</v>
          </cell>
          <cell r="B1317">
            <v>8</v>
          </cell>
          <cell r="C1317"/>
          <cell r="D1317"/>
          <cell r="E1317"/>
        </row>
        <row r="1318">
          <cell r="A1318">
            <v>46121</v>
          </cell>
          <cell r="B1318">
            <v>9</v>
          </cell>
          <cell r="C1318"/>
          <cell r="D1318"/>
          <cell r="E1318"/>
        </row>
        <row r="1319">
          <cell r="A1319">
            <v>46122</v>
          </cell>
          <cell r="B1319">
            <v>10</v>
          </cell>
          <cell r="C1319"/>
          <cell r="D1319"/>
          <cell r="E1319"/>
        </row>
        <row r="1320">
          <cell r="A1320">
            <v>46123</v>
          </cell>
          <cell r="B1320">
            <v>11</v>
          </cell>
          <cell r="C1320"/>
          <cell r="D1320"/>
          <cell r="E1320"/>
        </row>
        <row r="1321">
          <cell r="A1321">
            <v>46124</v>
          </cell>
          <cell r="B1321">
            <v>12</v>
          </cell>
          <cell r="C1321"/>
          <cell r="D1321"/>
          <cell r="E1321"/>
        </row>
        <row r="1322">
          <cell r="A1322">
            <v>46125</v>
          </cell>
          <cell r="B1322">
            <v>13</v>
          </cell>
          <cell r="C1322"/>
          <cell r="D1322"/>
          <cell r="E1322"/>
        </row>
        <row r="1323">
          <cell r="A1323">
            <v>46126</v>
          </cell>
          <cell r="B1323">
            <v>14</v>
          </cell>
          <cell r="C1323"/>
          <cell r="D1323"/>
          <cell r="E1323"/>
        </row>
        <row r="1324">
          <cell r="A1324">
            <v>46127</v>
          </cell>
          <cell r="B1324">
            <v>15</v>
          </cell>
          <cell r="C1324"/>
          <cell r="D1324"/>
          <cell r="E1324"/>
        </row>
        <row r="1325">
          <cell r="A1325">
            <v>46128</v>
          </cell>
          <cell r="B1325">
            <v>16</v>
          </cell>
          <cell r="C1325"/>
          <cell r="D1325"/>
          <cell r="E1325"/>
        </row>
        <row r="1326">
          <cell r="A1326">
            <v>46129</v>
          </cell>
          <cell r="B1326">
            <v>17</v>
          </cell>
          <cell r="C1326"/>
          <cell r="D1326"/>
          <cell r="E1326"/>
        </row>
        <row r="1327">
          <cell r="A1327">
            <v>46130</v>
          </cell>
          <cell r="B1327">
            <v>18</v>
          </cell>
          <cell r="C1327"/>
          <cell r="D1327"/>
          <cell r="E1327"/>
        </row>
        <row r="1328">
          <cell r="A1328">
            <v>46131</v>
          </cell>
          <cell r="B1328">
            <v>19</v>
          </cell>
          <cell r="C1328"/>
          <cell r="D1328"/>
          <cell r="E1328"/>
        </row>
        <row r="1329">
          <cell r="A1329">
            <v>46132</v>
          </cell>
          <cell r="B1329">
            <v>20</v>
          </cell>
          <cell r="C1329"/>
          <cell r="D1329"/>
          <cell r="E1329"/>
        </row>
        <row r="1330">
          <cell r="A1330">
            <v>46133</v>
          </cell>
          <cell r="B1330">
            <v>21</v>
          </cell>
          <cell r="C1330"/>
          <cell r="D1330"/>
          <cell r="E1330"/>
        </row>
        <row r="1331">
          <cell r="A1331">
            <v>46134</v>
          </cell>
          <cell r="B1331">
            <v>22</v>
          </cell>
          <cell r="C1331"/>
          <cell r="D1331"/>
          <cell r="E1331"/>
        </row>
        <row r="1332">
          <cell r="A1332">
            <v>46135</v>
          </cell>
          <cell r="B1332">
            <v>23</v>
          </cell>
          <cell r="C1332"/>
          <cell r="D1332"/>
          <cell r="E1332"/>
        </row>
        <row r="1333">
          <cell r="A1333">
            <v>46136</v>
          </cell>
          <cell r="B1333">
            <v>24</v>
          </cell>
          <cell r="C1333"/>
          <cell r="D1333"/>
          <cell r="E1333"/>
        </row>
        <row r="1334">
          <cell r="A1334">
            <v>46137</v>
          </cell>
          <cell r="B1334">
            <v>25</v>
          </cell>
          <cell r="C1334"/>
          <cell r="D1334"/>
          <cell r="E1334"/>
        </row>
        <row r="1335">
          <cell r="A1335">
            <v>46138</v>
          </cell>
          <cell r="B1335">
            <v>26</v>
          </cell>
          <cell r="C1335"/>
          <cell r="D1335"/>
          <cell r="E1335"/>
        </row>
        <row r="1336">
          <cell r="A1336">
            <v>46139</v>
          </cell>
          <cell r="B1336">
            <v>27</v>
          </cell>
          <cell r="C1336"/>
          <cell r="D1336"/>
          <cell r="E1336"/>
        </row>
        <row r="1337">
          <cell r="A1337">
            <v>46140</v>
          </cell>
          <cell r="B1337">
            <v>28</v>
          </cell>
          <cell r="C1337"/>
          <cell r="D1337"/>
          <cell r="E1337"/>
        </row>
        <row r="1338">
          <cell r="A1338">
            <v>46141</v>
          </cell>
          <cell r="B1338">
            <v>29</v>
          </cell>
          <cell r="C1338"/>
          <cell r="D1338"/>
          <cell r="E1338"/>
        </row>
        <row r="1339">
          <cell r="A1339">
            <v>46142</v>
          </cell>
          <cell r="B1339">
            <v>30</v>
          </cell>
          <cell r="C1339"/>
          <cell r="D1339"/>
          <cell r="E1339"/>
        </row>
        <row r="1340">
          <cell r="A1340">
            <v>46143</v>
          </cell>
          <cell r="B1340">
            <v>31</v>
          </cell>
          <cell r="C1340"/>
          <cell r="D1340"/>
          <cell r="E1340"/>
        </row>
        <row r="1341">
          <cell r="A1341">
            <v>46144</v>
          </cell>
          <cell r="B1341">
            <v>32</v>
          </cell>
          <cell r="C1341"/>
          <cell r="D1341"/>
          <cell r="E1341"/>
        </row>
        <row r="1342">
          <cell r="A1342">
            <v>46145</v>
          </cell>
          <cell r="B1342">
            <v>33</v>
          </cell>
          <cell r="C1342"/>
          <cell r="D1342"/>
          <cell r="E1342"/>
        </row>
        <row r="1343">
          <cell r="A1343">
            <v>46146</v>
          </cell>
          <cell r="B1343">
            <v>34</v>
          </cell>
          <cell r="C1343"/>
          <cell r="D1343"/>
          <cell r="E1343"/>
        </row>
        <row r="1344">
          <cell r="A1344">
            <v>46147</v>
          </cell>
          <cell r="B1344">
            <v>35</v>
          </cell>
          <cell r="C1344"/>
          <cell r="D1344"/>
          <cell r="E1344"/>
        </row>
        <row r="1345">
          <cell r="A1345">
            <v>46148</v>
          </cell>
          <cell r="B1345">
            <v>36</v>
          </cell>
          <cell r="C1345"/>
          <cell r="D1345"/>
          <cell r="E1345"/>
        </row>
        <row r="1346">
          <cell r="A1346">
            <v>46149</v>
          </cell>
          <cell r="B1346">
            <v>37</v>
          </cell>
          <cell r="C1346"/>
          <cell r="D1346"/>
          <cell r="E1346"/>
        </row>
        <row r="1347">
          <cell r="A1347">
            <v>46150</v>
          </cell>
          <cell r="B1347">
            <v>38</v>
          </cell>
          <cell r="C1347"/>
          <cell r="D1347"/>
          <cell r="E1347"/>
        </row>
        <row r="1348">
          <cell r="A1348">
            <v>46151</v>
          </cell>
          <cell r="B1348">
            <v>39</v>
          </cell>
          <cell r="C1348"/>
          <cell r="D1348"/>
          <cell r="E1348"/>
        </row>
        <row r="1349">
          <cell r="A1349">
            <v>46152</v>
          </cell>
          <cell r="B1349">
            <v>40</v>
          </cell>
          <cell r="C1349"/>
          <cell r="D1349"/>
          <cell r="E1349"/>
        </row>
        <row r="1350">
          <cell r="A1350">
            <v>46153</v>
          </cell>
          <cell r="B1350">
            <v>41</v>
          </cell>
          <cell r="C1350"/>
          <cell r="D1350"/>
          <cell r="E1350"/>
        </row>
        <row r="1351">
          <cell r="A1351">
            <v>46154</v>
          </cell>
          <cell r="B1351">
            <v>42</v>
          </cell>
          <cell r="C1351"/>
          <cell r="D1351"/>
          <cell r="E1351"/>
        </row>
        <row r="1352">
          <cell r="A1352">
            <v>46155</v>
          </cell>
          <cell r="B1352">
            <v>43</v>
          </cell>
          <cell r="C1352"/>
          <cell r="D1352"/>
          <cell r="E1352"/>
        </row>
        <row r="1353">
          <cell r="A1353">
            <v>46156</v>
          </cell>
          <cell r="B1353">
            <v>44</v>
          </cell>
          <cell r="C1353"/>
          <cell r="D1353"/>
          <cell r="E1353"/>
        </row>
        <row r="1354">
          <cell r="A1354">
            <v>46157</v>
          </cell>
          <cell r="B1354">
            <v>45</v>
          </cell>
          <cell r="C1354"/>
          <cell r="D1354"/>
          <cell r="E1354"/>
        </row>
        <row r="1355">
          <cell r="A1355">
            <v>46158</v>
          </cell>
          <cell r="B1355">
            <v>46</v>
          </cell>
          <cell r="C1355"/>
          <cell r="D1355"/>
          <cell r="E1355"/>
        </row>
        <row r="1356">
          <cell r="A1356">
            <v>46159</v>
          </cell>
          <cell r="B1356">
            <v>47</v>
          </cell>
          <cell r="C1356"/>
          <cell r="D1356"/>
          <cell r="E1356"/>
        </row>
        <row r="1357">
          <cell r="A1357">
            <v>46160</v>
          </cell>
          <cell r="B1357">
            <v>48</v>
          </cell>
          <cell r="C1357"/>
          <cell r="D1357"/>
          <cell r="E1357"/>
        </row>
        <row r="1358">
          <cell r="A1358">
            <v>46161</v>
          </cell>
          <cell r="B1358">
            <v>49</v>
          </cell>
          <cell r="C1358"/>
          <cell r="D1358"/>
          <cell r="E1358"/>
        </row>
        <row r="1359">
          <cell r="A1359">
            <v>46162</v>
          </cell>
          <cell r="B1359">
            <v>50</v>
          </cell>
          <cell r="C1359"/>
          <cell r="D1359"/>
          <cell r="E1359"/>
        </row>
        <row r="1360">
          <cell r="A1360">
            <v>46163</v>
          </cell>
          <cell r="B1360">
            <v>51</v>
          </cell>
          <cell r="C1360"/>
          <cell r="D1360"/>
          <cell r="E1360"/>
        </row>
        <row r="1361">
          <cell r="A1361">
            <v>46164</v>
          </cell>
          <cell r="B1361">
            <v>52</v>
          </cell>
          <cell r="C1361"/>
          <cell r="D1361"/>
          <cell r="E1361"/>
        </row>
        <row r="1362">
          <cell r="A1362">
            <v>46165</v>
          </cell>
          <cell r="B1362">
            <v>53</v>
          </cell>
          <cell r="C1362"/>
          <cell r="D1362"/>
          <cell r="E1362"/>
        </row>
        <row r="1363">
          <cell r="A1363">
            <v>46166</v>
          </cell>
          <cell r="B1363">
            <v>54</v>
          </cell>
          <cell r="C1363"/>
          <cell r="D1363"/>
          <cell r="E1363"/>
        </row>
        <row r="1364">
          <cell r="A1364">
            <v>46167</v>
          </cell>
          <cell r="B1364">
            <v>55</v>
          </cell>
          <cell r="C1364"/>
          <cell r="D1364"/>
          <cell r="E1364"/>
        </row>
        <row r="1365">
          <cell r="A1365">
            <v>46168</v>
          </cell>
          <cell r="B1365">
            <v>56</v>
          </cell>
          <cell r="C1365"/>
          <cell r="D1365"/>
          <cell r="E1365"/>
        </row>
        <row r="1366">
          <cell r="A1366">
            <v>46169</v>
          </cell>
          <cell r="B1366">
            <v>57</v>
          </cell>
          <cell r="C1366"/>
          <cell r="D1366"/>
          <cell r="E1366"/>
        </row>
        <row r="1367">
          <cell r="A1367">
            <v>46170</v>
          </cell>
          <cell r="B1367">
            <v>58</v>
          </cell>
          <cell r="C1367"/>
          <cell r="D1367"/>
          <cell r="E1367"/>
        </row>
        <row r="1368">
          <cell r="A1368">
            <v>46171</v>
          </cell>
          <cell r="B1368">
            <v>59</v>
          </cell>
          <cell r="C1368"/>
          <cell r="D1368"/>
          <cell r="E1368"/>
        </row>
        <row r="1369">
          <cell r="A1369">
            <v>46172</v>
          </cell>
          <cell r="B1369">
            <v>60</v>
          </cell>
          <cell r="C1369"/>
          <cell r="D1369"/>
          <cell r="E1369"/>
        </row>
        <row r="1370">
          <cell r="A1370">
            <v>46173</v>
          </cell>
          <cell r="B1370">
            <v>61</v>
          </cell>
          <cell r="C1370"/>
          <cell r="D1370"/>
          <cell r="E1370"/>
        </row>
        <row r="1371">
          <cell r="A1371">
            <v>46174</v>
          </cell>
          <cell r="B1371">
            <v>62</v>
          </cell>
          <cell r="C1371"/>
          <cell r="D1371"/>
          <cell r="E1371"/>
        </row>
        <row r="1372">
          <cell r="A1372">
            <v>46175</v>
          </cell>
          <cell r="B1372">
            <v>63</v>
          </cell>
          <cell r="C1372"/>
          <cell r="D1372"/>
          <cell r="E1372"/>
        </row>
        <row r="1373">
          <cell r="A1373">
            <v>46176</v>
          </cell>
          <cell r="B1373">
            <v>64</v>
          </cell>
          <cell r="C1373"/>
          <cell r="D1373"/>
          <cell r="E1373"/>
        </row>
        <row r="1374">
          <cell r="A1374">
            <v>46177</v>
          </cell>
          <cell r="B1374">
            <v>65</v>
          </cell>
          <cell r="C1374"/>
          <cell r="D1374"/>
          <cell r="E1374"/>
        </row>
        <row r="1375">
          <cell r="A1375">
            <v>46178</v>
          </cell>
          <cell r="B1375">
            <v>66</v>
          </cell>
          <cell r="C1375"/>
          <cell r="D1375"/>
          <cell r="E1375"/>
        </row>
        <row r="1376">
          <cell r="A1376">
            <v>46179</v>
          </cell>
          <cell r="B1376">
            <v>67</v>
          </cell>
          <cell r="C1376"/>
          <cell r="D1376"/>
          <cell r="E1376"/>
        </row>
        <row r="1377">
          <cell r="A1377">
            <v>46180</v>
          </cell>
          <cell r="B1377">
            <v>68</v>
          </cell>
          <cell r="C1377"/>
          <cell r="D1377"/>
          <cell r="E1377"/>
        </row>
        <row r="1378">
          <cell r="A1378">
            <v>46181</v>
          </cell>
          <cell r="B1378">
            <v>69</v>
          </cell>
          <cell r="C1378"/>
          <cell r="D1378"/>
          <cell r="E1378"/>
        </row>
        <row r="1379">
          <cell r="A1379">
            <v>46182</v>
          </cell>
          <cell r="B1379">
            <v>70</v>
          </cell>
          <cell r="C1379"/>
          <cell r="D1379"/>
          <cell r="E1379"/>
        </row>
        <row r="1380">
          <cell r="A1380">
            <v>46183</v>
          </cell>
          <cell r="B1380">
            <v>71</v>
          </cell>
          <cell r="C1380"/>
          <cell r="D1380"/>
          <cell r="E1380"/>
        </row>
        <row r="1381">
          <cell r="A1381">
            <v>46184</v>
          </cell>
          <cell r="B1381">
            <v>72</v>
          </cell>
          <cell r="C1381"/>
          <cell r="D1381"/>
          <cell r="E1381"/>
        </row>
        <row r="1382">
          <cell r="A1382">
            <v>46185</v>
          </cell>
          <cell r="B1382">
            <v>73</v>
          </cell>
          <cell r="C1382"/>
          <cell r="D1382"/>
          <cell r="E1382"/>
        </row>
        <row r="1383">
          <cell r="A1383">
            <v>46186</v>
          </cell>
          <cell r="B1383">
            <v>74</v>
          </cell>
          <cell r="C1383"/>
          <cell r="D1383"/>
          <cell r="E1383"/>
        </row>
        <row r="1384">
          <cell r="A1384">
            <v>46187</v>
          </cell>
          <cell r="B1384">
            <v>75</v>
          </cell>
          <cell r="C1384"/>
          <cell r="D1384"/>
          <cell r="E1384"/>
        </row>
        <row r="1385">
          <cell r="A1385">
            <v>46188</v>
          </cell>
          <cell r="B1385">
            <v>76</v>
          </cell>
          <cell r="C1385"/>
          <cell r="D1385"/>
          <cell r="E1385"/>
        </row>
        <row r="1386">
          <cell r="A1386">
            <v>46189</v>
          </cell>
          <cell r="B1386">
            <v>77</v>
          </cell>
          <cell r="C1386"/>
          <cell r="D1386"/>
          <cell r="E1386"/>
        </row>
        <row r="1387">
          <cell r="A1387">
            <v>46190</v>
          </cell>
          <cell r="B1387">
            <v>78</v>
          </cell>
          <cell r="C1387"/>
          <cell r="D1387"/>
          <cell r="E1387"/>
        </row>
        <row r="1388">
          <cell r="A1388">
            <v>46191</v>
          </cell>
          <cell r="B1388">
            <v>79</v>
          </cell>
          <cell r="C1388"/>
          <cell r="D1388"/>
          <cell r="E1388"/>
        </row>
        <row r="1389">
          <cell r="A1389">
            <v>46192</v>
          </cell>
          <cell r="B1389">
            <v>80</v>
          </cell>
          <cell r="C1389"/>
          <cell r="D1389"/>
          <cell r="E1389"/>
        </row>
        <row r="1390">
          <cell r="A1390">
            <v>46193</v>
          </cell>
          <cell r="B1390">
            <v>81</v>
          </cell>
          <cell r="C1390"/>
          <cell r="D1390"/>
          <cell r="E1390"/>
        </row>
        <row r="1391">
          <cell r="A1391">
            <v>46194</v>
          </cell>
          <cell r="B1391">
            <v>82</v>
          </cell>
          <cell r="C1391"/>
          <cell r="D1391"/>
          <cell r="E1391"/>
        </row>
        <row r="1392">
          <cell r="A1392">
            <v>46195</v>
          </cell>
          <cell r="B1392">
            <v>83</v>
          </cell>
          <cell r="C1392"/>
          <cell r="D1392"/>
          <cell r="E1392"/>
        </row>
        <row r="1393">
          <cell r="A1393">
            <v>46196</v>
          </cell>
          <cell r="B1393">
            <v>84</v>
          </cell>
          <cell r="C1393"/>
          <cell r="D1393"/>
          <cell r="E1393"/>
        </row>
        <row r="1394">
          <cell r="A1394">
            <v>46197</v>
          </cell>
          <cell r="B1394">
            <v>85</v>
          </cell>
          <cell r="C1394"/>
          <cell r="D1394"/>
          <cell r="E1394"/>
        </row>
        <row r="1395">
          <cell r="A1395">
            <v>46198</v>
          </cell>
          <cell r="B1395">
            <v>86</v>
          </cell>
          <cell r="C1395"/>
          <cell r="D1395"/>
          <cell r="E1395"/>
        </row>
        <row r="1396">
          <cell r="A1396">
            <v>46199</v>
          </cell>
          <cell r="B1396">
            <v>87</v>
          </cell>
          <cell r="C1396"/>
          <cell r="D1396"/>
          <cell r="E1396"/>
        </row>
        <row r="1397">
          <cell r="A1397">
            <v>46200</v>
          </cell>
          <cell r="B1397">
            <v>88</v>
          </cell>
          <cell r="C1397"/>
          <cell r="D1397"/>
          <cell r="E1397"/>
        </row>
        <row r="1398">
          <cell r="A1398">
            <v>46201</v>
          </cell>
          <cell r="B1398">
            <v>89</v>
          </cell>
          <cell r="C1398"/>
          <cell r="D1398"/>
          <cell r="E1398"/>
        </row>
        <row r="1399">
          <cell r="A1399">
            <v>46202</v>
          </cell>
          <cell r="B1399">
            <v>90</v>
          </cell>
          <cell r="C1399"/>
          <cell r="D1399"/>
          <cell r="E1399"/>
        </row>
        <row r="1400">
          <cell r="A1400">
            <v>46203</v>
          </cell>
          <cell r="B1400">
            <v>91</v>
          </cell>
          <cell r="C1400"/>
          <cell r="D1400"/>
          <cell r="E1400"/>
        </row>
        <row r="1401">
          <cell r="A1401">
            <v>46204</v>
          </cell>
          <cell r="B1401">
            <v>92</v>
          </cell>
          <cell r="C1401"/>
          <cell r="D1401"/>
          <cell r="E1401"/>
        </row>
        <row r="1402">
          <cell r="A1402">
            <v>46205</v>
          </cell>
          <cell r="B1402">
            <v>93</v>
          </cell>
          <cell r="C1402"/>
          <cell r="D1402"/>
          <cell r="E1402"/>
        </row>
        <row r="1403">
          <cell r="A1403">
            <v>46206</v>
          </cell>
          <cell r="B1403">
            <v>94</v>
          </cell>
          <cell r="C1403"/>
          <cell r="D1403"/>
          <cell r="E1403"/>
        </row>
        <row r="1404">
          <cell r="A1404">
            <v>46207</v>
          </cell>
          <cell r="B1404">
            <v>95</v>
          </cell>
          <cell r="C1404"/>
          <cell r="D1404"/>
          <cell r="E1404"/>
        </row>
        <row r="1405">
          <cell r="A1405"/>
          <cell r="B1405" t="e">
            <v>#N/A</v>
          </cell>
          <cell r="C1405"/>
          <cell r="D1405"/>
          <cell r="E1405"/>
        </row>
        <row r="1406">
          <cell r="A1406"/>
          <cell r="B1406" t="e">
            <v>#N/A</v>
          </cell>
          <cell r="C1406"/>
          <cell r="D1406"/>
          <cell r="E1406"/>
        </row>
        <row r="1407">
          <cell r="A1407"/>
          <cell r="B1407" t="e">
            <v>#N/A</v>
          </cell>
          <cell r="C1407"/>
          <cell r="D1407"/>
          <cell r="E1407"/>
        </row>
        <row r="1408">
          <cell r="A1408"/>
          <cell r="B1408" t="e">
            <v>#N/A</v>
          </cell>
          <cell r="C1408"/>
          <cell r="D1408"/>
          <cell r="E1408"/>
        </row>
        <row r="1409">
          <cell r="A1409"/>
          <cell r="B1409" t="e">
            <v>#N/A</v>
          </cell>
          <cell r="C1409"/>
          <cell r="D1409"/>
          <cell r="E1409"/>
        </row>
        <row r="1410">
          <cell r="A1410"/>
          <cell r="B1410" t="e">
            <v>#N/A</v>
          </cell>
          <cell r="C1410"/>
          <cell r="D1410"/>
          <cell r="E1410"/>
        </row>
        <row r="1411">
          <cell r="A1411"/>
          <cell r="B1411" t="e">
            <v>#N/A</v>
          </cell>
          <cell r="C1411"/>
          <cell r="D1411"/>
          <cell r="E1411"/>
        </row>
        <row r="1412">
          <cell r="A1412"/>
          <cell r="B1412" t="e">
            <v>#N/A</v>
          </cell>
          <cell r="C1412"/>
          <cell r="D1412"/>
          <cell r="E1412"/>
        </row>
        <row r="1413">
          <cell r="A1413"/>
          <cell r="B1413" t="e">
            <v>#N/A</v>
          </cell>
          <cell r="C1413"/>
          <cell r="D1413"/>
          <cell r="E1413"/>
        </row>
        <row r="1414">
          <cell r="A1414"/>
          <cell r="B1414" t="e">
            <v>#N/A</v>
          </cell>
          <cell r="C1414"/>
          <cell r="D1414"/>
          <cell r="E1414"/>
        </row>
        <row r="1415">
          <cell r="A1415"/>
          <cell r="B1415" t="e">
            <v>#N/A</v>
          </cell>
          <cell r="C1415"/>
          <cell r="D1415"/>
          <cell r="E1415"/>
        </row>
        <row r="1416">
          <cell r="A1416"/>
          <cell r="B1416" t="e">
            <v>#N/A</v>
          </cell>
          <cell r="C1416"/>
          <cell r="D1416"/>
          <cell r="E1416"/>
        </row>
        <row r="1417">
          <cell r="A1417"/>
          <cell r="B1417" t="e">
            <v>#N/A</v>
          </cell>
          <cell r="C1417"/>
          <cell r="D1417"/>
          <cell r="E1417"/>
        </row>
        <row r="1418">
          <cell r="A1418"/>
          <cell r="B1418" t="e">
            <v>#N/A</v>
          </cell>
          <cell r="C1418"/>
          <cell r="D1418"/>
          <cell r="E1418"/>
        </row>
        <row r="1419">
          <cell r="A1419"/>
          <cell r="B1419" t="e">
            <v>#N/A</v>
          </cell>
          <cell r="C1419"/>
          <cell r="D1419"/>
          <cell r="E1419"/>
        </row>
        <row r="1420">
          <cell r="A1420"/>
          <cell r="B1420" t="e">
            <v>#N/A</v>
          </cell>
          <cell r="C1420"/>
          <cell r="D1420"/>
          <cell r="E1420"/>
        </row>
        <row r="1421">
          <cell r="A1421"/>
          <cell r="B1421" t="e">
            <v>#N/A</v>
          </cell>
          <cell r="C1421"/>
          <cell r="D1421"/>
          <cell r="E1421"/>
        </row>
        <row r="1422">
          <cell r="A1422"/>
          <cell r="B1422" t="e">
            <v>#N/A</v>
          </cell>
          <cell r="C1422"/>
          <cell r="D1422"/>
          <cell r="E1422"/>
        </row>
        <row r="1423">
          <cell r="A1423"/>
          <cell r="B1423" t="e">
            <v>#N/A</v>
          </cell>
          <cell r="C1423"/>
          <cell r="D1423"/>
          <cell r="E1423"/>
        </row>
        <row r="1424">
          <cell r="A1424"/>
          <cell r="B1424" t="e">
            <v>#N/A</v>
          </cell>
          <cell r="C1424"/>
          <cell r="D1424"/>
          <cell r="E1424"/>
        </row>
        <row r="1425">
          <cell r="A1425"/>
          <cell r="B1425" t="e">
            <v>#N/A</v>
          </cell>
          <cell r="C1425"/>
          <cell r="D1425"/>
          <cell r="E1425"/>
        </row>
        <row r="1426">
          <cell r="A1426"/>
          <cell r="B1426" t="e">
            <v>#N/A</v>
          </cell>
          <cell r="C1426"/>
          <cell r="D1426"/>
          <cell r="E1426"/>
        </row>
        <row r="1427">
          <cell r="A1427"/>
          <cell r="B1427" t="e">
            <v>#N/A</v>
          </cell>
          <cell r="C1427"/>
          <cell r="D1427"/>
          <cell r="E1427"/>
        </row>
        <row r="1428">
          <cell r="A1428"/>
          <cell r="B1428" t="e">
            <v>#N/A</v>
          </cell>
          <cell r="C1428"/>
          <cell r="D1428"/>
          <cell r="E1428"/>
        </row>
        <row r="1429">
          <cell r="A1429"/>
          <cell r="B1429" t="e">
            <v>#N/A</v>
          </cell>
          <cell r="C1429"/>
          <cell r="D1429"/>
          <cell r="E1429"/>
        </row>
        <row r="1430">
          <cell r="A1430"/>
          <cell r="B1430" t="e">
            <v>#N/A</v>
          </cell>
          <cell r="C1430"/>
          <cell r="D1430"/>
          <cell r="E1430"/>
        </row>
        <row r="1431">
          <cell r="A1431"/>
          <cell r="B1431" t="e">
            <v>#N/A</v>
          </cell>
          <cell r="C1431"/>
          <cell r="D1431"/>
          <cell r="E1431"/>
        </row>
        <row r="1432">
          <cell r="A1432"/>
          <cell r="B1432" t="e">
            <v>#N/A</v>
          </cell>
          <cell r="C1432"/>
          <cell r="D1432"/>
          <cell r="E1432"/>
        </row>
        <row r="1433">
          <cell r="A1433"/>
          <cell r="B1433" t="e">
            <v>#N/A</v>
          </cell>
          <cell r="C1433"/>
          <cell r="D1433"/>
          <cell r="E1433"/>
        </row>
        <row r="1434">
          <cell r="A1434"/>
          <cell r="B1434" t="e">
            <v>#N/A</v>
          </cell>
          <cell r="C1434"/>
          <cell r="D1434"/>
          <cell r="E1434"/>
        </row>
        <row r="1435">
          <cell r="A1435"/>
          <cell r="B1435" t="e">
            <v>#N/A</v>
          </cell>
          <cell r="C1435"/>
          <cell r="D1435"/>
          <cell r="E1435"/>
        </row>
        <row r="1436">
          <cell r="A1436"/>
          <cell r="B1436" t="e">
            <v>#N/A</v>
          </cell>
          <cell r="C1436"/>
          <cell r="D1436"/>
          <cell r="E1436"/>
        </row>
        <row r="1437">
          <cell r="A1437"/>
          <cell r="B1437" t="e">
            <v>#N/A</v>
          </cell>
          <cell r="C1437"/>
          <cell r="D1437"/>
          <cell r="E1437"/>
        </row>
        <row r="1438">
          <cell r="A1438"/>
          <cell r="B1438" t="e">
            <v>#N/A</v>
          </cell>
          <cell r="C1438"/>
          <cell r="D1438"/>
          <cell r="E1438"/>
        </row>
        <row r="1439">
          <cell r="A1439"/>
          <cell r="B1439" t="e">
            <v>#N/A</v>
          </cell>
          <cell r="C1439"/>
          <cell r="D1439"/>
          <cell r="E1439"/>
        </row>
        <row r="1440">
          <cell r="A1440"/>
          <cell r="B1440" t="e">
            <v>#N/A</v>
          </cell>
          <cell r="C1440"/>
          <cell r="D1440"/>
          <cell r="E1440"/>
        </row>
        <row r="1441">
          <cell r="A1441"/>
          <cell r="B1441" t="e">
            <v>#N/A</v>
          </cell>
          <cell r="C1441"/>
          <cell r="D1441"/>
          <cell r="E1441"/>
        </row>
        <row r="1442">
          <cell r="A1442"/>
          <cell r="B1442" t="e">
            <v>#N/A</v>
          </cell>
          <cell r="C1442"/>
          <cell r="D1442"/>
          <cell r="E1442"/>
        </row>
        <row r="1443">
          <cell r="A1443"/>
          <cell r="B1443" t="e">
            <v>#N/A</v>
          </cell>
          <cell r="C1443"/>
          <cell r="D1443"/>
          <cell r="E1443"/>
        </row>
        <row r="1444">
          <cell r="A1444"/>
          <cell r="B1444" t="e">
            <v>#N/A</v>
          </cell>
          <cell r="C1444"/>
          <cell r="D1444"/>
          <cell r="E1444"/>
        </row>
        <row r="1445">
          <cell r="A1445"/>
          <cell r="B1445" t="e">
            <v>#N/A</v>
          </cell>
          <cell r="C1445"/>
          <cell r="D1445"/>
          <cell r="E1445"/>
        </row>
        <row r="1446">
          <cell r="A1446"/>
          <cell r="B1446" t="e">
            <v>#N/A</v>
          </cell>
          <cell r="C1446"/>
          <cell r="D1446"/>
          <cell r="E1446"/>
        </row>
        <row r="1447">
          <cell r="A1447"/>
          <cell r="B1447" t="e">
            <v>#N/A</v>
          </cell>
          <cell r="C1447"/>
          <cell r="D1447"/>
          <cell r="E1447"/>
        </row>
        <row r="1448">
          <cell r="A1448"/>
          <cell r="B1448" t="e">
            <v>#N/A</v>
          </cell>
          <cell r="C1448"/>
          <cell r="D1448"/>
          <cell r="E1448"/>
        </row>
        <row r="1449">
          <cell r="A1449"/>
          <cell r="B1449" t="e">
            <v>#N/A</v>
          </cell>
          <cell r="C1449"/>
          <cell r="D1449"/>
          <cell r="E1449"/>
        </row>
        <row r="1450">
          <cell r="A1450"/>
          <cell r="B1450" t="e">
            <v>#N/A</v>
          </cell>
          <cell r="C1450"/>
          <cell r="D1450"/>
          <cell r="E1450"/>
        </row>
        <row r="1451">
          <cell r="A1451"/>
          <cell r="B1451" t="e">
            <v>#N/A</v>
          </cell>
          <cell r="C1451"/>
          <cell r="D1451"/>
          <cell r="E1451"/>
        </row>
        <row r="1452">
          <cell r="A1452"/>
          <cell r="B1452" t="e">
            <v>#N/A</v>
          </cell>
          <cell r="C1452"/>
          <cell r="D1452"/>
          <cell r="E1452"/>
        </row>
        <row r="1453">
          <cell r="A1453"/>
          <cell r="B1453" t="e">
            <v>#N/A</v>
          </cell>
          <cell r="C1453"/>
          <cell r="D1453"/>
          <cell r="E1453"/>
        </row>
        <row r="1454">
          <cell r="A1454"/>
          <cell r="B1454" t="e">
            <v>#N/A</v>
          </cell>
          <cell r="C1454"/>
          <cell r="D1454"/>
          <cell r="E1454"/>
        </row>
        <row r="1455">
          <cell r="A1455"/>
          <cell r="B1455" t="e">
            <v>#N/A</v>
          </cell>
          <cell r="C1455"/>
          <cell r="D1455"/>
          <cell r="E1455"/>
        </row>
        <row r="1456">
          <cell r="A1456"/>
          <cell r="B1456" t="e">
            <v>#N/A</v>
          </cell>
          <cell r="C1456"/>
          <cell r="D1456"/>
          <cell r="E1456"/>
        </row>
        <row r="1457">
          <cell r="A1457"/>
          <cell r="B1457" t="e">
            <v>#N/A</v>
          </cell>
          <cell r="C1457"/>
          <cell r="D1457"/>
          <cell r="E1457"/>
        </row>
        <row r="1458">
          <cell r="A1458"/>
          <cell r="B1458" t="e">
            <v>#N/A</v>
          </cell>
          <cell r="C1458"/>
          <cell r="D1458"/>
          <cell r="E1458"/>
        </row>
        <row r="1459">
          <cell r="A1459"/>
          <cell r="B1459" t="e">
            <v>#N/A</v>
          </cell>
          <cell r="C1459"/>
          <cell r="D1459"/>
          <cell r="E1459"/>
        </row>
        <row r="1460">
          <cell r="A1460"/>
          <cell r="B1460" t="e">
            <v>#N/A</v>
          </cell>
          <cell r="C1460"/>
          <cell r="D1460"/>
          <cell r="E1460"/>
        </row>
        <row r="1461">
          <cell r="A1461"/>
          <cell r="B1461" t="e">
            <v>#N/A</v>
          </cell>
          <cell r="C1461"/>
          <cell r="D1461"/>
          <cell r="E1461"/>
        </row>
        <row r="1462">
          <cell r="A1462"/>
          <cell r="B1462" t="e">
            <v>#N/A</v>
          </cell>
          <cell r="C1462"/>
          <cell r="D1462"/>
          <cell r="E1462"/>
        </row>
      </sheetData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date</v>
          </cell>
          <cell r="B1" t="str">
            <v>Days</v>
          </cell>
        </row>
        <row r="2">
          <cell r="A2">
            <v>42736</v>
          </cell>
          <cell r="B2">
            <v>1</v>
          </cell>
        </row>
        <row r="3">
          <cell r="A3">
            <v>42737</v>
          </cell>
          <cell r="B3">
            <v>2</v>
          </cell>
        </row>
        <row r="4">
          <cell r="A4">
            <v>42738</v>
          </cell>
          <cell r="B4">
            <v>3</v>
          </cell>
        </row>
        <row r="5">
          <cell r="A5">
            <v>42739</v>
          </cell>
          <cell r="B5">
            <v>4</v>
          </cell>
        </row>
        <row r="6">
          <cell r="A6">
            <v>42740</v>
          </cell>
          <cell r="B6">
            <v>5</v>
          </cell>
        </row>
        <row r="7">
          <cell r="A7">
            <v>42741</v>
          </cell>
          <cell r="B7">
            <v>6</v>
          </cell>
        </row>
        <row r="8">
          <cell r="A8">
            <v>42742</v>
          </cell>
          <cell r="B8">
            <v>7</v>
          </cell>
        </row>
        <row r="9">
          <cell r="A9">
            <v>42743</v>
          </cell>
          <cell r="B9">
            <v>8</v>
          </cell>
        </row>
        <row r="10">
          <cell r="A10">
            <v>42744</v>
          </cell>
          <cell r="B10">
            <v>9</v>
          </cell>
        </row>
        <row r="11">
          <cell r="A11">
            <v>42745</v>
          </cell>
          <cell r="B11">
            <v>10</v>
          </cell>
        </row>
        <row r="12">
          <cell r="A12">
            <v>42746</v>
          </cell>
          <cell r="B12">
            <v>11</v>
          </cell>
        </row>
        <row r="13">
          <cell r="A13">
            <v>42747</v>
          </cell>
          <cell r="B13">
            <v>12</v>
          </cell>
        </row>
        <row r="14">
          <cell r="A14">
            <v>42748</v>
          </cell>
          <cell r="B14">
            <v>13</v>
          </cell>
        </row>
        <row r="15">
          <cell r="A15">
            <v>42749</v>
          </cell>
          <cell r="B15">
            <v>14</v>
          </cell>
        </row>
        <row r="16">
          <cell r="A16">
            <v>42750</v>
          </cell>
          <cell r="B16">
            <v>15</v>
          </cell>
        </row>
        <row r="17">
          <cell r="A17">
            <v>42751</v>
          </cell>
          <cell r="B17">
            <v>16</v>
          </cell>
        </row>
        <row r="18">
          <cell r="A18">
            <v>42752</v>
          </cell>
          <cell r="B18">
            <v>17</v>
          </cell>
        </row>
        <row r="19">
          <cell r="A19">
            <v>42753</v>
          </cell>
          <cell r="B19">
            <v>18</v>
          </cell>
        </row>
        <row r="20">
          <cell r="A20">
            <v>42754</v>
          </cell>
          <cell r="B20">
            <v>19</v>
          </cell>
        </row>
        <row r="21">
          <cell r="A21">
            <v>42755</v>
          </cell>
          <cell r="B21">
            <v>20</v>
          </cell>
        </row>
        <row r="22">
          <cell r="A22">
            <v>42756</v>
          </cell>
          <cell r="B22">
            <v>21</v>
          </cell>
        </row>
        <row r="23">
          <cell r="A23">
            <v>42757</v>
          </cell>
          <cell r="B23">
            <v>22</v>
          </cell>
        </row>
        <row r="24">
          <cell r="A24">
            <v>42758</v>
          </cell>
          <cell r="B24">
            <v>23</v>
          </cell>
        </row>
        <row r="25">
          <cell r="A25">
            <v>42759</v>
          </cell>
          <cell r="B25">
            <v>24</v>
          </cell>
        </row>
        <row r="26">
          <cell r="A26">
            <v>42760</v>
          </cell>
          <cell r="B26">
            <v>25</v>
          </cell>
        </row>
        <row r="27">
          <cell r="A27">
            <v>42761</v>
          </cell>
          <cell r="B27">
            <v>26</v>
          </cell>
        </row>
        <row r="28">
          <cell r="A28">
            <v>42762</v>
          </cell>
          <cell r="B28">
            <v>27</v>
          </cell>
        </row>
        <row r="29">
          <cell r="A29">
            <v>42763</v>
          </cell>
          <cell r="B29">
            <v>28</v>
          </cell>
        </row>
        <row r="30">
          <cell r="A30">
            <v>42764</v>
          </cell>
          <cell r="B30">
            <v>29</v>
          </cell>
        </row>
        <row r="31">
          <cell r="A31">
            <v>42765</v>
          </cell>
          <cell r="B31">
            <v>30</v>
          </cell>
        </row>
        <row r="32">
          <cell r="A32">
            <v>42766</v>
          </cell>
          <cell r="B32">
            <v>31</v>
          </cell>
        </row>
        <row r="33">
          <cell r="A33">
            <v>42767</v>
          </cell>
          <cell r="B33">
            <v>32</v>
          </cell>
        </row>
        <row r="34">
          <cell r="A34">
            <v>42768</v>
          </cell>
          <cell r="B34">
            <v>33</v>
          </cell>
        </row>
        <row r="35">
          <cell r="A35">
            <v>42769</v>
          </cell>
          <cell r="B35">
            <v>34</v>
          </cell>
        </row>
        <row r="36">
          <cell r="A36">
            <v>42770</v>
          </cell>
          <cell r="B36">
            <v>35</v>
          </cell>
        </row>
        <row r="37">
          <cell r="A37">
            <v>42771</v>
          </cell>
          <cell r="B37">
            <v>36</v>
          </cell>
        </row>
        <row r="38">
          <cell r="A38">
            <v>42772</v>
          </cell>
          <cell r="B38">
            <v>37</v>
          </cell>
        </row>
        <row r="39">
          <cell r="A39">
            <v>42773</v>
          </cell>
          <cell r="B39">
            <v>38</v>
          </cell>
        </row>
        <row r="40">
          <cell r="A40">
            <v>42774</v>
          </cell>
          <cell r="B40">
            <v>39</v>
          </cell>
        </row>
        <row r="41">
          <cell r="A41">
            <v>42775</v>
          </cell>
          <cell r="B41">
            <v>40</v>
          </cell>
        </row>
        <row r="42">
          <cell r="A42">
            <v>42776</v>
          </cell>
          <cell r="B42">
            <v>41</v>
          </cell>
        </row>
        <row r="43">
          <cell r="A43">
            <v>42777</v>
          </cell>
          <cell r="B43">
            <v>42</v>
          </cell>
        </row>
        <row r="44">
          <cell r="A44">
            <v>42778</v>
          </cell>
          <cell r="B44">
            <v>43</v>
          </cell>
        </row>
        <row r="45">
          <cell r="A45">
            <v>42779</v>
          </cell>
          <cell r="B45">
            <v>44</v>
          </cell>
        </row>
        <row r="46">
          <cell r="A46">
            <v>42780</v>
          </cell>
          <cell r="B46">
            <v>45</v>
          </cell>
        </row>
        <row r="47">
          <cell r="A47">
            <v>42781</v>
          </cell>
          <cell r="B47">
            <v>46</v>
          </cell>
        </row>
        <row r="48">
          <cell r="A48">
            <v>42782</v>
          </cell>
          <cell r="B48">
            <v>47</v>
          </cell>
        </row>
        <row r="49">
          <cell r="A49">
            <v>42783</v>
          </cell>
          <cell r="B49">
            <v>48</v>
          </cell>
        </row>
        <row r="50">
          <cell r="A50">
            <v>42784</v>
          </cell>
          <cell r="B50">
            <v>49</v>
          </cell>
        </row>
        <row r="51">
          <cell r="A51">
            <v>42785</v>
          </cell>
          <cell r="B51">
            <v>50</v>
          </cell>
        </row>
        <row r="52">
          <cell r="A52">
            <v>42786</v>
          </cell>
          <cell r="B52">
            <v>51</v>
          </cell>
        </row>
        <row r="53">
          <cell r="A53">
            <v>42787</v>
          </cell>
          <cell r="B53">
            <v>52</v>
          </cell>
        </row>
        <row r="54">
          <cell r="A54">
            <v>42788</v>
          </cell>
          <cell r="B54">
            <v>53</v>
          </cell>
        </row>
        <row r="55">
          <cell r="A55">
            <v>42789</v>
          </cell>
          <cell r="B55">
            <v>54</v>
          </cell>
        </row>
        <row r="56">
          <cell r="A56">
            <v>42790</v>
          </cell>
          <cell r="B56">
            <v>55</v>
          </cell>
        </row>
        <row r="57">
          <cell r="A57">
            <v>42791</v>
          </cell>
          <cell r="B57">
            <v>56</v>
          </cell>
        </row>
        <row r="58">
          <cell r="A58">
            <v>42792</v>
          </cell>
          <cell r="B58">
            <v>57</v>
          </cell>
        </row>
        <row r="59">
          <cell r="A59">
            <v>42793</v>
          </cell>
          <cell r="B59">
            <v>58</v>
          </cell>
        </row>
        <row r="60">
          <cell r="A60">
            <v>42794</v>
          </cell>
          <cell r="B60">
            <v>59</v>
          </cell>
        </row>
        <row r="61">
          <cell r="A61">
            <v>42795</v>
          </cell>
          <cell r="B61">
            <v>60</v>
          </cell>
        </row>
        <row r="62">
          <cell r="A62">
            <v>42796</v>
          </cell>
          <cell r="B62">
            <v>61</v>
          </cell>
        </row>
        <row r="63">
          <cell r="A63">
            <v>42797</v>
          </cell>
          <cell r="B63">
            <v>62</v>
          </cell>
        </row>
        <row r="64">
          <cell r="A64">
            <v>42798</v>
          </cell>
          <cell r="B64">
            <v>63</v>
          </cell>
        </row>
        <row r="65">
          <cell r="A65">
            <v>42799</v>
          </cell>
          <cell r="B65">
            <v>64</v>
          </cell>
        </row>
        <row r="66">
          <cell r="A66">
            <v>42800</v>
          </cell>
          <cell r="B66">
            <v>65</v>
          </cell>
        </row>
        <row r="67">
          <cell r="A67">
            <v>42801</v>
          </cell>
          <cell r="B67">
            <v>66</v>
          </cell>
        </row>
        <row r="68">
          <cell r="A68">
            <v>42802</v>
          </cell>
          <cell r="B68">
            <v>67</v>
          </cell>
        </row>
        <row r="69">
          <cell r="A69">
            <v>42803</v>
          </cell>
          <cell r="B69">
            <v>68</v>
          </cell>
        </row>
        <row r="70">
          <cell r="A70">
            <v>42804</v>
          </cell>
          <cell r="B70">
            <v>69</v>
          </cell>
        </row>
        <row r="71">
          <cell r="A71">
            <v>42805</v>
          </cell>
          <cell r="B71">
            <v>70</v>
          </cell>
        </row>
        <row r="72">
          <cell r="A72">
            <v>42806</v>
          </cell>
          <cell r="B72">
            <v>71</v>
          </cell>
        </row>
        <row r="73">
          <cell r="A73">
            <v>42807</v>
          </cell>
          <cell r="B73">
            <v>72</v>
          </cell>
        </row>
        <row r="74">
          <cell r="A74">
            <v>42808</v>
          </cell>
          <cell r="B74">
            <v>73</v>
          </cell>
        </row>
        <row r="75">
          <cell r="A75">
            <v>42809</v>
          </cell>
          <cell r="B75">
            <v>74</v>
          </cell>
        </row>
        <row r="76">
          <cell r="A76">
            <v>42810</v>
          </cell>
          <cell r="B76">
            <v>75</v>
          </cell>
        </row>
        <row r="77">
          <cell r="A77">
            <v>42811</v>
          </cell>
          <cell r="B77">
            <v>76</v>
          </cell>
        </row>
        <row r="78">
          <cell r="A78">
            <v>42812</v>
          </cell>
          <cell r="B78">
            <v>77</v>
          </cell>
        </row>
        <row r="79">
          <cell r="A79">
            <v>42813</v>
          </cell>
          <cell r="B79">
            <v>78</v>
          </cell>
        </row>
        <row r="80">
          <cell r="A80">
            <v>42814</v>
          </cell>
          <cell r="B80">
            <v>79</v>
          </cell>
        </row>
        <row r="81">
          <cell r="A81">
            <v>42815</v>
          </cell>
          <cell r="B81">
            <v>80</v>
          </cell>
        </row>
        <row r="82">
          <cell r="A82">
            <v>42816</v>
          </cell>
          <cell r="B82">
            <v>81</v>
          </cell>
        </row>
        <row r="83">
          <cell r="A83">
            <v>42817</v>
          </cell>
          <cell r="B83">
            <v>82</v>
          </cell>
        </row>
        <row r="84">
          <cell r="A84">
            <v>42818</v>
          </cell>
          <cell r="B84">
            <v>83</v>
          </cell>
        </row>
        <row r="85">
          <cell r="A85">
            <v>42819</v>
          </cell>
          <cell r="B85">
            <v>84</v>
          </cell>
        </row>
        <row r="86">
          <cell r="A86">
            <v>42820</v>
          </cell>
          <cell r="B86">
            <v>85</v>
          </cell>
        </row>
        <row r="87">
          <cell r="A87">
            <v>42821</v>
          </cell>
          <cell r="B87">
            <v>86</v>
          </cell>
        </row>
        <row r="88">
          <cell r="A88">
            <v>42822</v>
          </cell>
          <cell r="B88">
            <v>87</v>
          </cell>
        </row>
        <row r="89">
          <cell r="A89">
            <v>42823</v>
          </cell>
          <cell r="B89">
            <v>88</v>
          </cell>
        </row>
        <row r="90">
          <cell r="A90">
            <v>42824</v>
          </cell>
          <cell r="B90">
            <v>89</v>
          </cell>
        </row>
        <row r="91">
          <cell r="A91">
            <v>42825</v>
          </cell>
          <cell r="B91">
            <v>90</v>
          </cell>
        </row>
        <row r="92">
          <cell r="A92">
            <v>42826</v>
          </cell>
          <cell r="B92">
            <v>1</v>
          </cell>
        </row>
        <row r="93">
          <cell r="A93">
            <v>42827</v>
          </cell>
          <cell r="B93">
            <v>2</v>
          </cell>
        </row>
        <row r="94">
          <cell r="A94">
            <v>42828</v>
          </cell>
          <cell r="B94">
            <v>3</v>
          </cell>
        </row>
        <row r="95">
          <cell r="A95">
            <v>42829</v>
          </cell>
          <cell r="B95">
            <v>4</v>
          </cell>
        </row>
        <row r="96">
          <cell r="A96">
            <v>42830</v>
          </cell>
          <cell r="B96">
            <v>5</v>
          </cell>
        </row>
        <row r="97">
          <cell r="A97">
            <v>42831</v>
          </cell>
          <cell r="B97">
            <v>6</v>
          </cell>
        </row>
        <row r="98">
          <cell r="A98">
            <v>42832</v>
          </cell>
          <cell r="B98">
            <v>7</v>
          </cell>
        </row>
        <row r="99">
          <cell r="A99">
            <v>42833</v>
          </cell>
          <cell r="B99">
            <v>8</v>
          </cell>
        </row>
        <row r="100">
          <cell r="A100">
            <v>42834</v>
          </cell>
          <cell r="B100">
            <v>9</v>
          </cell>
        </row>
        <row r="101">
          <cell r="A101">
            <v>42835</v>
          </cell>
          <cell r="B101">
            <v>10</v>
          </cell>
        </row>
        <row r="102">
          <cell r="A102">
            <v>42836</v>
          </cell>
          <cell r="B102">
            <v>11</v>
          </cell>
        </row>
        <row r="103">
          <cell r="A103">
            <v>42837</v>
          </cell>
          <cell r="B103">
            <v>12</v>
          </cell>
        </row>
        <row r="104">
          <cell r="A104">
            <v>42838</v>
          </cell>
          <cell r="B104">
            <v>13</v>
          </cell>
        </row>
        <row r="105">
          <cell r="A105">
            <v>42839</v>
          </cell>
          <cell r="B105">
            <v>14</v>
          </cell>
        </row>
        <row r="106">
          <cell r="A106">
            <v>42840</v>
          </cell>
          <cell r="B106">
            <v>15</v>
          </cell>
        </row>
        <row r="107">
          <cell r="A107">
            <v>42841</v>
          </cell>
          <cell r="B107">
            <v>16</v>
          </cell>
        </row>
        <row r="108">
          <cell r="A108">
            <v>42842</v>
          </cell>
          <cell r="B108">
            <v>17</v>
          </cell>
        </row>
        <row r="109">
          <cell r="A109">
            <v>42843</v>
          </cell>
          <cell r="B109">
            <v>18</v>
          </cell>
        </row>
        <row r="110">
          <cell r="A110">
            <v>42844</v>
          </cell>
          <cell r="B110">
            <v>19</v>
          </cell>
        </row>
        <row r="111">
          <cell r="A111">
            <v>42845</v>
          </cell>
          <cell r="B111">
            <v>20</v>
          </cell>
        </row>
        <row r="112">
          <cell r="A112">
            <v>42846</v>
          </cell>
          <cell r="B112">
            <v>21</v>
          </cell>
        </row>
        <row r="113">
          <cell r="A113">
            <v>42847</v>
          </cell>
          <cell r="B113">
            <v>22</v>
          </cell>
        </row>
        <row r="114">
          <cell r="A114">
            <v>42848</v>
          </cell>
          <cell r="B114">
            <v>23</v>
          </cell>
        </row>
        <row r="115">
          <cell r="A115">
            <v>42849</v>
          </cell>
          <cell r="B115">
            <v>24</v>
          </cell>
        </row>
        <row r="116">
          <cell r="A116">
            <v>42850</v>
          </cell>
          <cell r="B116">
            <v>25</v>
          </cell>
        </row>
        <row r="117">
          <cell r="A117">
            <v>42851</v>
          </cell>
          <cell r="B117">
            <v>26</v>
          </cell>
        </row>
        <row r="118">
          <cell r="A118">
            <v>42852</v>
          </cell>
          <cell r="B118">
            <v>27</v>
          </cell>
        </row>
        <row r="119">
          <cell r="A119">
            <v>42853</v>
          </cell>
          <cell r="B119">
            <v>28</v>
          </cell>
        </row>
        <row r="120">
          <cell r="A120">
            <v>42854</v>
          </cell>
          <cell r="B120">
            <v>29</v>
          </cell>
        </row>
        <row r="121">
          <cell r="A121">
            <v>42855</v>
          </cell>
          <cell r="B121">
            <v>30</v>
          </cell>
        </row>
        <row r="122">
          <cell r="A122">
            <v>42856</v>
          </cell>
          <cell r="B122">
            <v>31</v>
          </cell>
        </row>
        <row r="123">
          <cell r="A123">
            <v>42857</v>
          </cell>
          <cell r="B123">
            <v>32</v>
          </cell>
        </row>
        <row r="124">
          <cell r="A124">
            <v>42858</v>
          </cell>
          <cell r="B124">
            <v>33</v>
          </cell>
        </row>
        <row r="125">
          <cell r="A125">
            <v>42859</v>
          </cell>
          <cell r="B125">
            <v>34</v>
          </cell>
        </row>
        <row r="126">
          <cell r="A126">
            <v>42860</v>
          </cell>
          <cell r="B126">
            <v>35</v>
          </cell>
        </row>
        <row r="127">
          <cell r="A127">
            <v>42861</v>
          </cell>
          <cell r="B127">
            <v>36</v>
          </cell>
        </row>
        <row r="128">
          <cell r="A128">
            <v>42862</v>
          </cell>
          <cell r="B128">
            <v>37</v>
          </cell>
        </row>
        <row r="129">
          <cell r="A129">
            <v>42863</v>
          </cell>
          <cell r="B129">
            <v>38</v>
          </cell>
        </row>
        <row r="130">
          <cell r="A130">
            <v>42864</v>
          </cell>
          <cell r="B130">
            <v>39</v>
          </cell>
        </row>
        <row r="131">
          <cell r="A131">
            <v>42865</v>
          </cell>
          <cell r="B131">
            <v>40</v>
          </cell>
        </row>
        <row r="132">
          <cell r="A132">
            <v>42866</v>
          </cell>
          <cell r="B132">
            <v>41</v>
          </cell>
        </row>
        <row r="133">
          <cell r="A133">
            <v>42867</v>
          </cell>
          <cell r="B133">
            <v>42</v>
          </cell>
        </row>
        <row r="134">
          <cell r="A134">
            <v>42868</v>
          </cell>
          <cell r="B134">
            <v>43</v>
          </cell>
        </row>
        <row r="135">
          <cell r="A135">
            <v>42869</v>
          </cell>
          <cell r="B135">
            <v>44</v>
          </cell>
        </row>
        <row r="136">
          <cell r="A136">
            <v>42870</v>
          </cell>
          <cell r="B136">
            <v>45</v>
          </cell>
        </row>
        <row r="137">
          <cell r="A137">
            <v>42871</v>
          </cell>
          <cell r="B137">
            <v>46</v>
          </cell>
        </row>
        <row r="138">
          <cell r="A138">
            <v>42872</v>
          </cell>
          <cell r="B138">
            <v>47</v>
          </cell>
        </row>
        <row r="139">
          <cell r="A139">
            <v>42873</v>
          </cell>
          <cell r="B139">
            <v>48</v>
          </cell>
        </row>
        <row r="140">
          <cell r="A140">
            <v>42874</v>
          </cell>
          <cell r="B140">
            <v>49</v>
          </cell>
        </row>
        <row r="141">
          <cell r="A141">
            <v>42875</v>
          </cell>
          <cell r="B141">
            <v>50</v>
          </cell>
        </row>
        <row r="142">
          <cell r="A142">
            <v>42876</v>
          </cell>
          <cell r="B142">
            <v>51</v>
          </cell>
        </row>
        <row r="143">
          <cell r="A143">
            <v>42877</v>
          </cell>
          <cell r="B143">
            <v>52</v>
          </cell>
        </row>
        <row r="144">
          <cell r="A144">
            <v>42878</v>
          </cell>
          <cell r="B144">
            <v>53</v>
          </cell>
        </row>
        <row r="145">
          <cell r="A145">
            <v>42879</v>
          </cell>
          <cell r="B145">
            <v>54</v>
          </cell>
        </row>
        <row r="146">
          <cell r="A146">
            <v>42880</v>
          </cell>
          <cell r="B146">
            <v>55</v>
          </cell>
        </row>
        <row r="147">
          <cell r="A147">
            <v>42881</v>
          </cell>
          <cell r="B147">
            <v>56</v>
          </cell>
        </row>
        <row r="148">
          <cell r="A148">
            <v>42882</v>
          </cell>
          <cell r="B148">
            <v>57</v>
          </cell>
        </row>
        <row r="149">
          <cell r="A149">
            <v>42883</v>
          </cell>
          <cell r="B149">
            <v>58</v>
          </cell>
        </row>
        <row r="150">
          <cell r="A150">
            <v>42884</v>
          </cell>
          <cell r="B150">
            <v>59</v>
          </cell>
        </row>
        <row r="151">
          <cell r="A151">
            <v>42885</v>
          </cell>
          <cell r="B151">
            <v>60</v>
          </cell>
        </row>
        <row r="152">
          <cell r="A152">
            <v>42886</v>
          </cell>
          <cell r="B152">
            <v>61</v>
          </cell>
        </row>
        <row r="153">
          <cell r="A153">
            <v>42887</v>
          </cell>
          <cell r="B153">
            <v>62</v>
          </cell>
        </row>
        <row r="154">
          <cell r="A154">
            <v>42888</v>
          </cell>
          <cell r="B154">
            <v>63</v>
          </cell>
        </row>
        <row r="155">
          <cell r="A155">
            <v>42889</v>
          </cell>
          <cell r="B155">
            <v>64</v>
          </cell>
        </row>
        <row r="156">
          <cell r="A156">
            <v>42890</v>
          </cell>
          <cell r="B156">
            <v>65</v>
          </cell>
        </row>
        <row r="157">
          <cell r="A157">
            <v>42891</v>
          </cell>
          <cell r="B157">
            <v>66</v>
          </cell>
        </row>
        <row r="158">
          <cell r="A158">
            <v>42892</v>
          </cell>
          <cell r="B158">
            <v>67</v>
          </cell>
        </row>
        <row r="159">
          <cell r="A159">
            <v>42893</v>
          </cell>
          <cell r="B159">
            <v>68</v>
          </cell>
        </row>
        <row r="160">
          <cell r="A160">
            <v>42894</v>
          </cell>
          <cell r="B160">
            <v>69</v>
          </cell>
        </row>
        <row r="161">
          <cell r="A161">
            <v>42895</v>
          </cell>
          <cell r="B161">
            <v>70</v>
          </cell>
        </row>
        <row r="162">
          <cell r="A162">
            <v>42896</v>
          </cell>
          <cell r="B162">
            <v>71</v>
          </cell>
        </row>
        <row r="163">
          <cell r="A163">
            <v>42897</v>
          </cell>
          <cell r="B163">
            <v>72</v>
          </cell>
        </row>
        <row r="164">
          <cell r="A164">
            <v>42898</v>
          </cell>
          <cell r="B164">
            <v>73</v>
          </cell>
        </row>
        <row r="165">
          <cell r="A165">
            <v>42899</v>
          </cell>
          <cell r="B165">
            <v>74</v>
          </cell>
        </row>
        <row r="166">
          <cell r="A166">
            <v>42900</v>
          </cell>
          <cell r="B166">
            <v>75</v>
          </cell>
        </row>
        <row r="167">
          <cell r="A167">
            <v>42901</v>
          </cell>
          <cell r="B167">
            <v>76</v>
          </cell>
        </row>
        <row r="168">
          <cell r="A168">
            <v>42902</v>
          </cell>
          <cell r="B168">
            <v>77</v>
          </cell>
        </row>
        <row r="169">
          <cell r="A169">
            <v>42903</v>
          </cell>
          <cell r="B169">
            <v>78</v>
          </cell>
        </row>
        <row r="170">
          <cell r="A170">
            <v>42904</v>
          </cell>
          <cell r="B170">
            <v>79</v>
          </cell>
        </row>
        <row r="171">
          <cell r="A171">
            <v>42905</v>
          </cell>
          <cell r="B171">
            <v>80</v>
          </cell>
        </row>
        <row r="172">
          <cell r="A172">
            <v>42906</v>
          </cell>
          <cell r="B172">
            <v>81</v>
          </cell>
        </row>
        <row r="173">
          <cell r="A173">
            <v>42907</v>
          </cell>
          <cell r="B173">
            <v>82</v>
          </cell>
        </row>
        <row r="174">
          <cell r="A174">
            <v>42908</v>
          </cell>
          <cell r="B174">
            <v>83</v>
          </cell>
        </row>
        <row r="175">
          <cell r="A175">
            <v>42909</v>
          </cell>
          <cell r="B175">
            <v>84</v>
          </cell>
        </row>
        <row r="176">
          <cell r="A176">
            <v>42910</v>
          </cell>
          <cell r="B176">
            <v>85</v>
          </cell>
        </row>
        <row r="177">
          <cell r="A177">
            <v>42911</v>
          </cell>
          <cell r="B177">
            <v>86</v>
          </cell>
        </row>
        <row r="178">
          <cell r="A178">
            <v>42912</v>
          </cell>
          <cell r="B178">
            <v>87</v>
          </cell>
        </row>
        <row r="179">
          <cell r="A179">
            <v>42913</v>
          </cell>
          <cell r="B179">
            <v>88</v>
          </cell>
        </row>
        <row r="180">
          <cell r="A180">
            <v>42914</v>
          </cell>
          <cell r="B180">
            <v>89</v>
          </cell>
        </row>
        <row r="181">
          <cell r="A181">
            <v>42915</v>
          </cell>
          <cell r="B181">
            <v>90</v>
          </cell>
        </row>
        <row r="182">
          <cell r="A182">
            <v>42916</v>
          </cell>
          <cell r="B182">
            <v>91</v>
          </cell>
        </row>
        <row r="183">
          <cell r="A183">
            <v>42917</v>
          </cell>
          <cell r="B183">
            <v>92</v>
          </cell>
        </row>
        <row r="184">
          <cell r="A184">
            <v>42918</v>
          </cell>
          <cell r="B184">
            <v>93</v>
          </cell>
        </row>
        <row r="185">
          <cell r="A185">
            <v>42919</v>
          </cell>
          <cell r="B185">
            <v>94</v>
          </cell>
        </row>
        <row r="186">
          <cell r="A186">
            <v>42920</v>
          </cell>
          <cell r="B186">
            <v>95</v>
          </cell>
        </row>
        <row r="187">
          <cell r="A187">
            <v>42921</v>
          </cell>
          <cell r="B187">
            <v>96</v>
          </cell>
        </row>
        <row r="188">
          <cell r="A188">
            <v>42922</v>
          </cell>
          <cell r="B188">
            <v>97</v>
          </cell>
        </row>
        <row r="189">
          <cell r="A189">
            <v>42923</v>
          </cell>
          <cell r="B189">
            <v>98</v>
          </cell>
        </row>
        <row r="190">
          <cell r="A190">
            <v>42924</v>
          </cell>
          <cell r="B190">
            <v>99</v>
          </cell>
        </row>
        <row r="191">
          <cell r="A191">
            <v>42925</v>
          </cell>
          <cell r="B191">
            <v>100</v>
          </cell>
        </row>
        <row r="192">
          <cell r="A192">
            <v>42926</v>
          </cell>
          <cell r="B192">
            <v>101</v>
          </cell>
        </row>
        <row r="193">
          <cell r="A193">
            <v>42927</v>
          </cell>
          <cell r="B193">
            <v>102</v>
          </cell>
        </row>
        <row r="194">
          <cell r="A194">
            <v>42928</v>
          </cell>
          <cell r="B194">
            <v>103</v>
          </cell>
        </row>
        <row r="195">
          <cell r="A195">
            <v>42929</v>
          </cell>
          <cell r="B195">
            <v>104</v>
          </cell>
        </row>
        <row r="196">
          <cell r="A196">
            <v>42930</v>
          </cell>
          <cell r="B196">
            <v>105</v>
          </cell>
        </row>
        <row r="197">
          <cell r="A197">
            <v>42931</v>
          </cell>
          <cell r="B197">
            <v>106</v>
          </cell>
        </row>
        <row r="198">
          <cell r="A198">
            <v>42932</v>
          </cell>
          <cell r="B198">
            <v>107</v>
          </cell>
        </row>
        <row r="199">
          <cell r="A199">
            <v>42933</v>
          </cell>
          <cell r="B199">
            <v>108</v>
          </cell>
        </row>
        <row r="200">
          <cell r="A200">
            <v>42934</v>
          </cell>
          <cell r="B200">
            <v>109</v>
          </cell>
        </row>
        <row r="201">
          <cell r="A201">
            <v>42935</v>
          </cell>
          <cell r="B201">
            <v>110</v>
          </cell>
        </row>
        <row r="202">
          <cell r="A202">
            <v>42936</v>
          </cell>
          <cell r="B202">
            <v>111</v>
          </cell>
        </row>
        <row r="203">
          <cell r="A203">
            <v>42937</v>
          </cell>
          <cell r="B203">
            <v>112</v>
          </cell>
        </row>
        <row r="204">
          <cell r="A204">
            <v>42938</v>
          </cell>
          <cell r="B204">
            <v>113</v>
          </cell>
        </row>
        <row r="205">
          <cell r="A205">
            <v>42939</v>
          </cell>
          <cell r="B205">
            <v>114</v>
          </cell>
        </row>
        <row r="206">
          <cell r="A206">
            <v>42940</v>
          </cell>
          <cell r="B206">
            <v>115</v>
          </cell>
        </row>
        <row r="207">
          <cell r="A207">
            <v>42941</v>
          </cell>
          <cell r="B207">
            <v>116</v>
          </cell>
        </row>
        <row r="208">
          <cell r="A208">
            <v>42942</v>
          </cell>
          <cell r="B208">
            <v>117</v>
          </cell>
        </row>
        <row r="209">
          <cell r="A209">
            <v>42943</v>
          </cell>
          <cell r="B209">
            <v>118</v>
          </cell>
        </row>
        <row r="210">
          <cell r="A210">
            <v>42944</v>
          </cell>
          <cell r="B210">
            <v>119</v>
          </cell>
        </row>
        <row r="211">
          <cell r="A211">
            <v>42945</v>
          </cell>
          <cell r="B211">
            <v>120</v>
          </cell>
        </row>
        <row r="212">
          <cell r="A212">
            <v>42946</v>
          </cell>
          <cell r="B212">
            <v>121</v>
          </cell>
        </row>
        <row r="213">
          <cell r="A213">
            <v>42947</v>
          </cell>
          <cell r="B213">
            <v>122</v>
          </cell>
        </row>
        <row r="214">
          <cell r="A214">
            <v>42948</v>
          </cell>
          <cell r="B214">
            <v>123</v>
          </cell>
        </row>
        <row r="215">
          <cell r="A215">
            <v>42949</v>
          </cell>
          <cell r="B215">
            <v>124</v>
          </cell>
        </row>
        <row r="216">
          <cell r="A216">
            <v>42950</v>
          </cell>
          <cell r="B216">
            <v>125</v>
          </cell>
        </row>
        <row r="217">
          <cell r="A217">
            <v>42951</v>
          </cell>
          <cell r="B217">
            <v>126</v>
          </cell>
        </row>
        <row r="218">
          <cell r="A218">
            <v>42952</v>
          </cell>
          <cell r="B218">
            <v>127</v>
          </cell>
        </row>
        <row r="219">
          <cell r="A219">
            <v>42953</v>
          </cell>
          <cell r="B219">
            <v>128</v>
          </cell>
        </row>
        <row r="220">
          <cell r="A220">
            <v>42954</v>
          </cell>
          <cell r="B220">
            <v>129</v>
          </cell>
        </row>
        <row r="221">
          <cell r="A221">
            <v>42955</v>
          </cell>
          <cell r="B221">
            <v>130</v>
          </cell>
        </row>
        <row r="222">
          <cell r="A222">
            <v>42956</v>
          </cell>
          <cell r="B222">
            <v>131</v>
          </cell>
        </row>
        <row r="223">
          <cell r="A223">
            <v>42957</v>
          </cell>
          <cell r="B223">
            <v>132</v>
          </cell>
        </row>
        <row r="224">
          <cell r="A224">
            <v>42958</v>
          </cell>
          <cell r="B224">
            <v>133</v>
          </cell>
        </row>
        <row r="225">
          <cell r="A225">
            <v>42959</v>
          </cell>
          <cell r="B225">
            <v>134</v>
          </cell>
        </row>
        <row r="226">
          <cell r="A226">
            <v>42960</v>
          </cell>
          <cell r="B226">
            <v>135</v>
          </cell>
        </row>
        <row r="227">
          <cell r="A227">
            <v>42961</v>
          </cell>
          <cell r="B227">
            <v>136</v>
          </cell>
        </row>
        <row r="228">
          <cell r="A228">
            <v>42962</v>
          </cell>
          <cell r="B228">
            <v>137</v>
          </cell>
        </row>
        <row r="229">
          <cell r="A229">
            <v>42963</v>
          </cell>
          <cell r="B229">
            <v>138</v>
          </cell>
        </row>
        <row r="230">
          <cell r="A230">
            <v>42964</v>
          </cell>
          <cell r="B230">
            <v>139</v>
          </cell>
        </row>
        <row r="231">
          <cell r="A231">
            <v>42965</v>
          </cell>
          <cell r="B231">
            <v>140</v>
          </cell>
        </row>
        <row r="232">
          <cell r="A232">
            <v>42966</v>
          </cell>
          <cell r="B232">
            <v>141</v>
          </cell>
        </row>
        <row r="233">
          <cell r="A233">
            <v>42967</v>
          </cell>
          <cell r="B233">
            <v>142</v>
          </cell>
        </row>
        <row r="234">
          <cell r="A234">
            <v>42968</v>
          </cell>
          <cell r="B234">
            <v>143</v>
          </cell>
        </row>
        <row r="235">
          <cell r="A235">
            <v>42969</v>
          </cell>
          <cell r="B235">
            <v>144</v>
          </cell>
        </row>
        <row r="236">
          <cell r="A236">
            <v>42970</v>
          </cell>
          <cell r="B236">
            <v>145</v>
          </cell>
        </row>
        <row r="237">
          <cell r="A237">
            <v>42971</v>
          </cell>
          <cell r="B237">
            <v>146</v>
          </cell>
        </row>
        <row r="238">
          <cell r="A238">
            <v>42972</v>
          </cell>
          <cell r="B238">
            <v>147</v>
          </cell>
        </row>
        <row r="239">
          <cell r="A239">
            <v>42973</v>
          </cell>
          <cell r="B239">
            <v>148</v>
          </cell>
        </row>
        <row r="240">
          <cell r="A240">
            <v>42974</v>
          </cell>
          <cell r="B240">
            <v>149</v>
          </cell>
        </row>
        <row r="241">
          <cell r="A241">
            <v>42975</v>
          </cell>
          <cell r="B241">
            <v>150</v>
          </cell>
        </row>
        <row r="242">
          <cell r="A242">
            <v>42976</v>
          </cell>
          <cell r="B242">
            <v>151</v>
          </cell>
        </row>
        <row r="243">
          <cell r="A243">
            <v>42977</v>
          </cell>
          <cell r="B243">
            <v>152</v>
          </cell>
        </row>
        <row r="244">
          <cell r="A244">
            <v>42978</v>
          </cell>
          <cell r="B244">
            <v>153</v>
          </cell>
        </row>
        <row r="245">
          <cell r="A245">
            <v>42979</v>
          </cell>
          <cell r="B245">
            <v>154</v>
          </cell>
        </row>
        <row r="246">
          <cell r="A246">
            <v>42980</v>
          </cell>
          <cell r="B246">
            <v>155</v>
          </cell>
        </row>
        <row r="247">
          <cell r="A247">
            <v>42981</v>
          </cell>
          <cell r="B247">
            <v>156</v>
          </cell>
        </row>
        <row r="248">
          <cell r="A248">
            <v>42982</v>
          </cell>
          <cell r="B248">
            <v>157</v>
          </cell>
        </row>
        <row r="249">
          <cell r="A249">
            <v>42983</v>
          </cell>
          <cell r="B249">
            <v>158</v>
          </cell>
        </row>
        <row r="250">
          <cell r="A250">
            <v>42984</v>
          </cell>
          <cell r="B250">
            <v>159</v>
          </cell>
        </row>
        <row r="251">
          <cell r="A251">
            <v>42985</v>
          </cell>
          <cell r="B251">
            <v>160</v>
          </cell>
        </row>
        <row r="252">
          <cell r="A252">
            <v>42986</v>
          </cell>
          <cell r="B252">
            <v>161</v>
          </cell>
        </row>
        <row r="253">
          <cell r="A253">
            <v>42987</v>
          </cell>
          <cell r="B253">
            <v>162</v>
          </cell>
        </row>
        <row r="254">
          <cell r="A254">
            <v>42988</v>
          </cell>
          <cell r="B254">
            <v>163</v>
          </cell>
        </row>
        <row r="255">
          <cell r="A255">
            <v>42989</v>
          </cell>
          <cell r="B255">
            <v>164</v>
          </cell>
        </row>
        <row r="256">
          <cell r="A256">
            <v>42990</v>
          </cell>
          <cell r="B256">
            <v>165</v>
          </cell>
        </row>
        <row r="257">
          <cell r="A257">
            <v>42991</v>
          </cell>
          <cell r="B257">
            <v>166</v>
          </cell>
        </row>
        <row r="258">
          <cell r="A258">
            <v>42992</v>
          </cell>
          <cell r="B258">
            <v>167</v>
          </cell>
        </row>
        <row r="259">
          <cell r="A259">
            <v>42993</v>
          </cell>
          <cell r="B259">
            <v>168</v>
          </cell>
        </row>
        <row r="260">
          <cell r="A260">
            <v>42994</v>
          </cell>
          <cell r="B260">
            <v>169</v>
          </cell>
        </row>
        <row r="261">
          <cell r="A261">
            <v>42995</v>
          </cell>
          <cell r="B261">
            <v>170</v>
          </cell>
        </row>
        <row r="262">
          <cell r="A262">
            <v>42996</v>
          </cell>
          <cell r="B262">
            <v>171</v>
          </cell>
        </row>
        <row r="263">
          <cell r="A263">
            <v>42997</v>
          </cell>
          <cell r="B263">
            <v>172</v>
          </cell>
        </row>
        <row r="264">
          <cell r="A264">
            <v>42998</v>
          </cell>
          <cell r="B264">
            <v>173</v>
          </cell>
        </row>
        <row r="265">
          <cell r="A265">
            <v>42999</v>
          </cell>
          <cell r="B265">
            <v>174</v>
          </cell>
        </row>
        <row r="266">
          <cell r="A266">
            <v>43000</v>
          </cell>
          <cell r="B266">
            <v>175</v>
          </cell>
        </row>
        <row r="267">
          <cell r="A267">
            <v>43001</v>
          </cell>
          <cell r="B267">
            <v>176</v>
          </cell>
        </row>
        <row r="268">
          <cell r="A268">
            <v>43002</v>
          </cell>
          <cell r="B268">
            <v>177</v>
          </cell>
        </row>
        <row r="269">
          <cell r="A269">
            <v>43003</v>
          </cell>
          <cell r="B269">
            <v>178</v>
          </cell>
        </row>
        <row r="270">
          <cell r="A270">
            <v>43004</v>
          </cell>
          <cell r="B270">
            <v>179</v>
          </cell>
        </row>
        <row r="271">
          <cell r="A271">
            <v>43005</v>
          </cell>
          <cell r="B271">
            <v>180</v>
          </cell>
        </row>
        <row r="272">
          <cell r="A272">
            <v>43006</v>
          </cell>
          <cell r="B272">
            <v>181</v>
          </cell>
        </row>
        <row r="273">
          <cell r="A273">
            <v>43007</v>
          </cell>
          <cell r="B273">
            <v>182</v>
          </cell>
        </row>
        <row r="274">
          <cell r="A274">
            <v>43008</v>
          </cell>
          <cell r="B274">
            <v>183</v>
          </cell>
        </row>
        <row r="275">
          <cell r="A275">
            <v>43009</v>
          </cell>
          <cell r="B275">
            <v>184</v>
          </cell>
        </row>
        <row r="276">
          <cell r="A276">
            <v>43010</v>
          </cell>
          <cell r="B276">
            <v>185</v>
          </cell>
        </row>
        <row r="277">
          <cell r="A277">
            <v>43011</v>
          </cell>
          <cell r="B277">
            <v>186</v>
          </cell>
        </row>
        <row r="278">
          <cell r="A278">
            <v>43012</v>
          </cell>
          <cell r="B278">
            <v>187</v>
          </cell>
        </row>
        <row r="279">
          <cell r="A279">
            <v>43013</v>
          </cell>
          <cell r="B279">
            <v>188</v>
          </cell>
        </row>
        <row r="280">
          <cell r="A280">
            <v>43014</v>
          </cell>
          <cell r="B280">
            <v>189</v>
          </cell>
        </row>
        <row r="281">
          <cell r="A281">
            <v>43015</v>
          </cell>
          <cell r="B281">
            <v>190</v>
          </cell>
        </row>
        <row r="282">
          <cell r="A282">
            <v>43016</v>
          </cell>
          <cell r="B282">
            <v>191</v>
          </cell>
        </row>
        <row r="283">
          <cell r="A283">
            <v>43017</v>
          </cell>
          <cell r="B283">
            <v>192</v>
          </cell>
        </row>
        <row r="284">
          <cell r="A284">
            <v>43018</v>
          </cell>
          <cell r="B284">
            <v>193</v>
          </cell>
        </row>
        <row r="285">
          <cell r="A285">
            <v>43019</v>
          </cell>
          <cell r="B285">
            <v>194</v>
          </cell>
        </row>
        <row r="286">
          <cell r="A286">
            <v>43020</v>
          </cell>
          <cell r="B286">
            <v>195</v>
          </cell>
        </row>
        <row r="287">
          <cell r="A287">
            <v>43021</v>
          </cell>
          <cell r="B287">
            <v>196</v>
          </cell>
        </row>
        <row r="288">
          <cell r="A288">
            <v>43022</v>
          </cell>
          <cell r="B288">
            <v>197</v>
          </cell>
        </row>
        <row r="289">
          <cell r="A289">
            <v>43023</v>
          </cell>
          <cell r="B289">
            <v>198</v>
          </cell>
        </row>
        <row r="290">
          <cell r="A290">
            <v>43024</v>
          </cell>
          <cell r="B290">
            <v>199</v>
          </cell>
        </row>
        <row r="291">
          <cell r="A291">
            <v>43025</v>
          </cell>
          <cell r="B291">
            <v>200</v>
          </cell>
        </row>
        <row r="292">
          <cell r="A292">
            <v>43026</v>
          </cell>
          <cell r="B292">
            <v>201</v>
          </cell>
        </row>
        <row r="293">
          <cell r="A293">
            <v>43027</v>
          </cell>
          <cell r="B293">
            <v>202</v>
          </cell>
        </row>
        <row r="294">
          <cell r="A294">
            <v>43028</v>
          </cell>
          <cell r="B294">
            <v>203</v>
          </cell>
        </row>
        <row r="295">
          <cell r="A295">
            <v>43029</v>
          </cell>
          <cell r="B295">
            <v>204</v>
          </cell>
        </row>
        <row r="296">
          <cell r="A296">
            <v>43030</v>
          </cell>
          <cell r="B296">
            <v>205</v>
          </cell>
        </row>
        <row r="297">
          <cell r="A297">
            <v>43031</v>
          </cell>
          <cell r="B297">
            <v>206</v>
          </cell>
        </row>
        <row r="298">
          <cell r="A298">
            <v>43032</v>
          </cell>
          <cell r="B298">
            <v>207</v>
          </cell>
        </row>
        <row r="299">
          <cell r="A299">
            <v>43033</v>
          </cell>
          <cell r="B299">
            <v>208</v>
          </cell>
        </row>
        <row r="300">
          <cell r="A300">
            <v>43034</v>
          </cell>
          <cell r="B300">
            <v>209</v>
          </cell>
        </row>
        <row r="301">
          <cell r="A301">
            <v>43035</v>
          </cell>
          <cell r="B301">
            <v>210</v>
          </cell>
        </row>
        <row r="302">
          <cell r="A302">
            <v>43036</v>
          </cell>
          <cell r="B302">
            <v>211</v>
          </cell>
        </row>
        <row r="303">
          <cell r="A303">
            <v>43037</v>
          </cell>
          <cell r="B303">
            <v>212</v>
          </cell>
        </row>
        <row r="304">
          <cell r="A304">
            <v>43038</v>
          </cell>
          <cell r="B304">
            <v>213</v>
          </cell>
        </row>
        <row r="305">
          <cell r="A305">
            <v>43039</v>
          </cell>
          <cell r="B305">
            <v>214</v>
          </cell>
        </row>
        <row r="306">
          <cell r="A306">
            <v>43040</v>
          </cell>
          <cell r="B306">
            <v>215</v>
          </cell>
        </row>
        <row r="307">
          <cell r="A307">
            <v>43041</v>
          </cell>
          <cell r="B307">
            <v>216</v>
          </cell>
        </row>
        <row r="308">
          <cell r="A308">
            <v>43042</v>
          </cell>
          <cell r="B308">
            <v>217</v>
          </cell>
        </row>
        <row r="309">
          <cell r="A309">
            <v>43043</v>
          </cell>
          <cell r="B309">
            <v>218</v>
          </cell>
        </row>
        <row r="310">
          <cell r="A310">
            <v>43044</v>
          </cell>
          <cell r="B310">
            <v>219</v>
          </cell>
        </row>
        <row r="311">
          <cell r="A311">
            <v>43045</v>
          </cell>
          <cell r="B311">
            <v>220</v>
          </cell>
        </row>
        <row r="312">
          <cell r="A312">
            <v>43046</v>
          </cell>
          <cell r="B312">
            <v>221</v>
          </cell>
        </row>
        <row r="313">
          <cell r="A313">
            <v>43047</v>
          </cell>
          <cell r="B313">
            <v>222</v>
          </cell>
        </row>
        <row r="314">
          <cell r="A314">
            <v>43048</v>
          </cell>
          <cell r="B314">
            <v>223</v>
          </cell>
        </row>
        <row r="315">
          <cell r="A315">
            <v>43049</v>
          </cell>
          <cell r="B315">
            <v>224</v>
          </cell>
        </row>
        <row r="316">
          <cell r="A316">
            <v>43050</v>
          </cell>
          <cell r="B316">
            <v>225</v>
          </cell>
        </row>
        <row r="317">
          <cell r="A317">
            <v>43051</v>
          </cell>
          <cell r="B317">
            <v>226</v>
          </cell>
        </row>
        <row r="318">
          <cell r="A318">
            <v>43052</v>
          </cell>
          <cell r="B318">
            <v>227</v>
          </cell>
        </row>
        <row r="319">
          <cell r="A319">
            <v>43053</v>
          </cell>
          <cell r="B319">
            <v>228</v>
          </cell>
        </row>
        <row r="320">
          <cell r="A320">
            <v>43054</v>
          </cell>
          <cell r="B320">
            <v>229</v>
          </cell>
        </row>
        <row r="321">
          <cell r="A321">
            <v>43055</v>
          </cell>
          <cell r="B321">
            <v>230</v>
          </cell>
        </row>
        <row r="322">
          <cell r="A322">
            <v>43056</v>
          </cell>
          <cell r="B322">
            <v>231</v>
          </cell>
        </row>
        <row r="323">
          <cell r="A323">
            <v>43057</v>
          </cell>
          <cell r="B323">
            <v>232</v>
          </cell>
        </row>
        <row r="324">
          <cell r="A324">
            <v>43058</v>
          </cell>
          <cell r="B324">
            <v>233</v>
          </cell>
        </row>
        <row r="325">
          <cell r="A325">
            <v>43059</v>
          </cell>
          <cell r="B325">
            <v>234</v>
          </cell>
        </row>
        <row r="326">
          <cell r="A326">
            <v>43060</v>
          </cell>
          <cell r="B326">
            <v>235</v>
          </cell>
        </row>
        <row r="327">
          <cell r="A327">
            <v>43061</v>
          </cell>
          <cell r="B327">
            <v>236</v>
          </cell>
        </row>
        <row r="328">
          <cell r="A328">
            <v>43062</v>
          </cell>
          <cell r="B328">
            <v>237</v>
          </cell>
        </row>
        <row r="329">
          <cell r="A329">
            <v>43063</v>
          </cell>
          <cell r="B329">
            <v>238</v>
          </cell>
        </row>
        <row r="330">
          <cell r="A330">
            <v>43064</v>
          </cell>
          <cell r="B330">
            <v>239</v>
          </cell>
        </row>
        <row r="331">
          <cell r="A331">
            <v>43065</v>
          </cell>
          <cell r="B331">
            <v>240</v>
          </cell>
        </row>
        <row r="332">
          <cell r="A332">
            <v>43066</v>
          </cell>
          <cell r="B332">
            <v>241</v>
          </cell>
        </row>
        <row r="333">
          <cell r="A333">
            <v>43067</v>
          </cell>
          <cell r="B333">
            <v>242</v>
          </cell>
        </row>
        <row r="334">
          <cell r="A334">
            <v>43068</v>
          </cell>
          <cell r="B334">
            <v>243</v>
          </cell>
        </row>
        <row r="335">
          <cell r="A335">
            <v>43069</v>
          </cell>
          <cell r="B335">
            <v>244</v>
          </cell>
        </row>
        <row r="336">
          <cell r="A336">
            <v>43070</v>
          </cell>
          <cell r="B336">
            <v>245</v>
          </cell>
        </row>
        <row r="337">
          <cell r="A337">
            <v>43071</v>
          </cell>
          <cell r="B337">
            <v>246</v>
          </cell>
        </row>
        <row r="338">
          <cell r="A338">
            <v>43072</v>
          </cell>
          <cell r="B338">
            <v>247</v>
          </cell>
        </row>
        <row r="339">
          <cell r="A339">
            <v>43073</v>
          </cell>
          <cell r="B339">
            <v>248</v>
          </cell>
        </row>
        <row r="340">
          <cell r="A340">
            <v>43074</v>
          </cell>
          <cell r="B340">
            <v>249</v>
          </cell>
        </row>
        <row r="341">
          <cell r="A341">
            <v>43075</v>
          </cell>
          <cell r="B341">
            <v>250</v>
          </cell>
        </row>
        <row r="342">
          <cell r="A342">
            <v>43076</v>
          </cell>
          <cell r="B342">
            <v>251</v>
          </cell>
        </row>
        <row r="343">
          <cell r="A343">
            <v>43077</v>
          </cell>
          <cell r="B343">
            <v>252</v>
          </cell>
        </row>
        <row r="344">
          <cell r="A344">
            <v>43078</v>
          </cell>
          <cell r="B344">
            <v>253</v>
          </cell>
        </row>
        <row r="345">
          <cell r="A345">
            <v>43079</v>
          </cell>
          <cell r="B345">
            <v>254</v>
          </cell>
        </row>
        <row r="346">
          <cell r="A346">
            <v>43080</v>
          </cell>
          <cell r="B346">
            <v>255</v>
          </cell>
        </row>
        <row r="347">
          <cell r="A347">
            <v>43081</v>
          </cell>
          <cell r="B347">
            <v>256</v>
          </cell>
        </row>
        <row r="348">
          <cell r="A348">
            <v>43082</v>
          </cell>
          <cell r="B348">
            <v>257</v>
          </cell>
        </row>
        <row r="349">
          <cell r="A349">
            <v>43083</v>
          </cell>
          <cell r="B349">
            <v>258</v>
          </cell>
        </row>
        <row r="350">
          <cell r="A350">
            <v>43084</v>
          </cell>
          <cell r="B350">
            <v>259</v>
          </cell>
        </row>
        <row r="351">
          <cell r="A351">
            <v>43085</v>
          </cell>
          <cell r="B351">
            <v>260</v>
          </cell>
        </row>
        <row r="352">
          <cell r="A352">
            <v>43086</v>
          </cell>
          <cell r="B352">
            <v>261</v>
          </cell>
        </row>
        <row r="353">
          <cell r="A353">
            <v>43087</v>
          </cell>
          <cell r="B353">
            <v>262</v>
          </cell>
        </row>
        <row r="354">
          <cell r="A354">
            <v>43088</v>
          </cell>
          <cell r="B354">
            <v>263</v>
          </cell>
        </row>
        <row r="355">
          <cell r="A355">
            <v>43089</v>
          </cell>
          <cell r="B355">
            <v>264</v>
          </cell>
        </row>
        <row r="356">
          <cell r="A356">
            <v>43090</v>
          </cell>
          <cell r="B356">
            <v>265</v>
          </cell>
        </row>
        <row r="357">
          <cell r="A357">
            <v>43091</v>
          </cell>
          <cell r="B357">
            <v>266</v>
          </cell>
        </row>
        <row r="358">
          <cell r="A358">
            <v>43092</v>
          </cell>
          <cell r="B358">
            <v>267</v>
          </cell>
        </row>
        <row r="359">
          <cell r="A359">
            <v>43093</v>
          </cell>
          <cell r="B359">
            <v>268</v>
          </cell>
        </row>
        <row r="360">
          <cell r="A360">
            <v>43094</v>
          </cell>
          <cell r="B360">
            <v>269</v>
          </cell>
        </row>
        <row r="361">
          <cell r="A361">
            <v>43095</v>
          </cell>
          <cell r="B361">
            <v>270</v>
          </cell>
        </row>
        <row r="362">
          <cell r="A362">
            <v>43096</v>
          </cell>
          <cell r="B362">
            <v>271</v>
          </cell>
        </row>
        <row r="363">
          <cell r="A363">
            <v>43097</v>
          </cell>
          <cell r="B363">
            <v>272</v>
          </cell>
        </row>
        <row r="364">
          <cell r="A364">
            <v>43098</v>
          </cell>
          <cell r="B364">
            <v>273</v>
          </cell>
        </row>
        <row r="365">
          <cell r="A365">
            <v>43099</v>
          </cell>
          <cell r="B365">
            <v>274</v>
          </cell>
        </row>
        <row r="366">
          <cell r="A366">
            <v>43100</v>
          </cell>
          <cell r="B366">
            <v>275</v>
          </cell>
        </row>
        <row r="367">
          <cell r="A367">
            <v>43101</v>
          </cell>
          <cell r="B367">
            <v>276</v>
          </cell>
        </row>
        <row r="368">
          <cell r="A368">
            <v>43102</v>
          </cell>
          <cell r="B368">
            <v>277</v>
          </cell>
        </row>
        <row r="369">
          <cell r="A369">
            <v>43103</v>
          </cell>
          <cell r="B369">
            <v>278</v>
          </cell>
        </row>
        <row r="370">
          <cell r="A370">
            <v>43104</v>
          </cell>
          <cell r="B370">
            <v>279</v>
          </cell>
        </row>
        <row r="371">
          <cell r="A371">
            <v>43105</v>
          </cell>
          <cell r="B371">
            <v>280</v>
          </cell>
        </row>
        <row r="372">
          <cell r="A372">
            <v>43106</v>
          </cell>
          <cell r="B372">
            <v>281</v>
          </cell>
        </row>
        <row r="373">
          <cell r="A373">
            <v>43107</v>
          </cell>
          <cell r="B373">
            <v>282</v>
          </cell>
        </row>
        <row r="374">
          <cell r="A374">
            <v>43108</v>
          </cell>
          <cell r="B374">
            <v>283</v>
          </cell>
        </row>
        <row r="375">
          <cell r="A375">
            <v>43109</v>
          </cell>
          <cell r="B375">
            <v>284</v>
          </cell>
        </row>
        <row r="376">
          <cell r="A376">
            <v>43110</v>
          </cell>
          <cell r="B376">
            <v>285</v>
          </cell>
        </row>
        <row r="377">
          <cell r="A377">
            <v>43111</v>
          </cell>
          <cell r="B377">
            <v>286</v>
          </cell>
        </row>
        <row r="378">
          <cell r="A378">
            <v>43112</v>
          </cell>
          <cell r="B378">
            <v>287</v>
          </cell>
        </row>
        <row r="379">
          <cell r="A379">
            <v>43113</v>
          </cell>
          <cell r="B379">
            <v>288</v>
          </cell>
        </row>
        <row r="380">
          <cell r="A380">
            <v>43114</v>
          </cell>
          <cell r="B380">
            <v>289</v>
          </cell>
        </row>
        <row r="381">
          <cell r="A381">
            <v>43115</v>
          </cell>
          <cell r="B381">
            <v>290</v>
          </cell>
        </row>
        <row r="382">
          <cell r="A382">
            <v>43116</v>
          </cell>
          <cell r="B382">
            <v>291</v>
          </cell>
        </row>
        <row r="383">
          <cell r="A383">
            <v>43117</v>
          </cell>
          <cell r="B383">
            <v>292</v>
          </cell>
        </row>
        <row r="384">
          <cell r="A384">
            <v>43118</v>
          </cell>
          <cell r="B384">
            <v>293</v>
          </cell>
        </row>
        <row r="385">
          <cell r="A385">
            <v>43119</v>
          </cell>
          <cell r="B385">
            <v>294</v>
          </cell>
        </row>
        <row r="386">
          <cell r="A386">
            <v>43120</v>
          </cell>
          <cell r="B386">
            <v>295</v>
          </cell>
        </row>
        <row r="387">
          <cell r="A387">
            <v>43121</v>
          </cell>
          <cell r="B387">
            <v>296</v>
          </cell>
        </row>
        <row r="388">
          <cell r="A388">
            <v>43122</v>
          </cell>
          <cell r="B388">
            <v>297</v>
          </cell>
        </row>
        <row r="389">
          <cell r="A389">
            <v>43123</v>
          </cell>
          <cell r="B389">
            <v>298</v>
          </cell>
        </row>
        <row r="390">
          <cell r="A390">
            <v>43124</v>
          </cell>
          <cell r="B390">
            <v>299</v>
          </cell>
        </row>
        <row r="391">
          <cell r="A391">
            <v>43125</v>
          </cell>
          <cell r="B391">
            <v>300</v>
          </cell>
        </row>
        <row r="392">
          <cell r="A392">
            <v>43126</v>
          </cell>
          <cell r="B392">
            <v>301</v>
          </cell>
        </row>
        <row r="393">
          <cell r="A393">
            <v>43127</v>
          </cell>
          <cell r="B393">
            <v>302</v>
          </cell>
        </row>
        <row r="394">
          <cell r="A394">
            <v>43128</v>
          </cell>
          <cell r="B394">
            <v>303</v>
          </cell>
        </row>
        <row r="395">
          <cell r="A395">
            <v>43129</v>
          </cell>
          <cell r="B395">
            <v>304</v>
          </cell>
        </row>
        <row r="396">
          <cell r="A396">
            <v>43130</v>
          </cell>
          <cell r="B396">
            <v>305</v>
          </cell>
        </row>
        <row r="397">
          <cell r="A397">
            <v>43131</v>
          </cell>
          <cell r="B397">
            <v>306</v>
          </cell>
        </row>
        <row r="398">
          <cell r="A398">
            <v>43132</v>
          </cell>
          <cell r="B398">
            <v>307</v>
          </cell>
        </row>
        <row r="399">
          <cell r="A399">
            <v>43133</v>
          </cell>
          <cell r="B399">
            <v>308</v>
          </cell>
        </row>
        <row r="400">
          <cell r="A400">
            <v>43134</v>
          </cell>
          <cell r="B400">
            <v>309</v>
          </cell>
        </row>
        <row r="401">
          <cell r="A401">
            <v>43135</v>
          </cell>
          <cell r="B401">
            <v>310</v>
          </cell>
        </row>
        <row r="402">
          <cell r="A402">
            <v>43136</v>
          </cell>
          <cell r="B402">
            <v>311</v>
          </cell>
        </row>
        <row r="403">
          <cell r="A403">
            <v>43137</v>
          </cell>
          <cell r="B403">
            <v>312</v>
          </cell>
        </row>
        <row r="404">
          <cell r="A404">
            <v>43138</v>
          </cell>
          <cell r="B404">
            <v>313</v>
          </cell>
        </row>
        <row r="405">
          <cell r="A405">
            <v>43139</v>
          </cell>
          <cell r="B405">
            <v>314</v>
          </cell>
        </row>
        <row r="406">
          <cell r="A406">
            <v>43140</v>
          </cell>
          <cell r="B406">
            <v>315</v>
          </cell>
        </row>
        <row r="407">
          <cell r="A407">
            <v>43141</v>
          </cell>
          <cell r="B407">
            <v>316</v>
          </cell>
        </row>
        <row r="408">
          <cell r="A408">
            <v>43142</v>
          </cell>
          <cell r="B408">
            <v>317</v>
          </cell>
        </row>
        <row r="409">
          <cell r="A409">
            <v>43143</v>
          </cell>
          <cell r="B409">
            <v>318</v>
          </cell>
        </row>
        <row r="410">
          <cell r="A410">
            <v>43144</v>
          </cell>
          <cell r="B410">
            <v>319</v>
          </cell>
        </row>
        <row r="411">
          <cell r="A411">
            <v>43145</v>
          </cell>
          <cell r="B411">
            <v>320</v>
          </cell>
        </row>
        <row r="412">
          <cell r="A412">
            <v>43146</v>
          </cell>
          <cell r="B412">
            <v>321</v>
          </cell>
        </row>
        <row r="413">
          <cell r="A413">
            <v>43147</v>
          </cell>
          <cell r="B413">
            <v>322</v>
          </cell>
        </row>
        <row r="414">
          <cell r="A414">
            <v>43148</v>
          </cell>
          <cell r="B414">
            <v>323</v>
          </cell>
        </row>
        <row r="415">
          <cell r="A415">
            <v>43149</v>
          </cell>
          <cell r="B415">
            <v>324</v>
          </cell>
        </row>
        <row r="416">
          <cell r="A416">
            <v>43150</v>
          </cell>
          <cell r="B416">
            <v>325</v>
          </cell>
        </row>
        <row r="417">
          <cell r="A417">
            <v>43151</v>
          </cell>
          <cell r="B417">
            <v>326</v>
          </cell>
        </row>
        <row r="418">
          <cell r="A418">
            <v>43152</v>
          </cell>
          <cell r="B418">
            <v>327</v>
          </cell>
        </row>
        <row r="419">
          <cell r="A419">
            <v>43153</v>
          </cell>
          <cell r="B419">
            <v>328</v>
          </cell>
        </row>
        <row r="420">
          <cell r="A420">
            <v>43154</v>
          </cell>
          <cell r="B420">
            <v>329</v>
          </cell>
        </row>
        <row r="421">
          <cell r="A421">
            <v>43155</v>
          </cell>
          <cell r="B421">
            <v>330</v>
          </cell>
        </row>
        <row r="422">
          <cell r="A422">
            <v>43156</v>
          </cell>
          <cell r="B422">
            <v>331</v>
          </cell>
        </row>
        <row r="423">
          <cell r="A423">
            <v>43157</v>
          </cell>
          <cell r="B423">
            <v>332</v>
          </cell>
        </row>
        <row r="424">
          <cell r="A424">
            <v>43158</v>
          </cell>
          <cell r="B424">
            <v>333</v>
          </cell>
        </row>
        <row r="425">
          <cell r="A425">
            <v>43159</v>
          </cell>
          <cell r="B425">
            <v>334</v>
          </cell>
        </row>
        <row r="426">
          <cell r="A426">
            <v>43160</v>
          </cell>
          <cell r="B426">
            <v>335</v>
          </cell>
        </row>
        <row r="427">
          <cell r="A427">
            <v>43161</v>
          </cell>
          <cell r="B427">
            <v>336</v>
          </cell>
        </row>
        <row r="428">
          <cell r="A428">
            <v>43162</v>
          </cell>
          <cell r="B428">
            <v>337</v>
          </cell>
        </row>
        <row r="429">
          <cell r="A429">
            <v>43163</v>
          </cell>
          <cell r="B429">
            <v>338</v>
          </cell>
        </row>
        <row r="430">
          <cell r="A430">
            <v>43164</v>
          </cell>
          <cell r="B430">
            <v>339</v>
          </cell>
        </row>
        <row r="431">
          <cell r="A431">
            <v>43165</v>
          </cell>
          <cell r="B431">
            <v>340</v>
          </cell>
        </row>
        <row r="432">
          <cell r="A432">
            <v>43166</v>
          </cell>
          <cell r="B432">
            <v>341</v>
          </cell>
        </row>
        <row r="433">
          <cell r="A433">
            <v>43167</v>
          </cell>
          <cell r="B433">
            <v>342</v>
          </cell>
        </row>
        <row r="434">
          <cell r="A434">
            <v>43168</v>
          </cell>
          <cell r="B434">
            <v>343</v>
          </cell>
        </row>
        <row r="435">
          <cell r="A435">
            <v>43169</v>
          </cell>
          <cell r="B435">
            <v>344</v>
          </cell>
        </row>
        <row r="436">
          <cell r="A436">
            <v>43170</v>
          </cell>
          <cell r="B436">
            <v>345</v>
          </cell>
        </row>
        <row r="437">
          <cell r="A437">
            <v>43171</v>
          </cell>
          <cell r="B437">
            <v>346</v>
          </cell>
        </row>
        <row r="438">
          <cell r="A438">
            <v>43172</v>
          </cell>
          <cell r="B438">
            <v>347</v>
          </cell>
        </row>
        <row r="439">
          <cell r="A439">
            <v>43173</v>
          </cell>
          <cell r="B439">
            <v>348</v>
          </cell>
        </row>
        <row r="440">
          <cell r="A440">
            <v>43174</v>
          </cell>
          <cell r="B440">
            <v>349</v>
          </cell>
        </row>
        <row r="441">
          <cell r="A441">
            <v>43175</v>
          </cell>
          <cell r="B441">
            <v>350</v>
          </cell>
        </row>
        <row r="442">
          <cell r="A442">
            <v>43176</v>
          </cell>
          <cell r="B442">
            <v>351</v>
          </cell>
        </row>
        <row r="443">
          <cell r="A443">
            <v>43177</v>
          </cell>
          <cell r="B443">
            <v>352</v>
          </cell>
        </row>
        <row r="444">
          <cell r="A444">
            <v>43178</v>
          </cell>
          <cell r="B444">
            <v>353</v>
          </cell>
        </row>
        <row r="445">
          <cell r="A445">
            <v>43179</v>
          </cell>
          <cell r="B445">
            <v>354</v>
          </cell>
        </row>
        <row r="446">
          <cell r="A446">
            <v>43180</v>
          </cell>
          <cell r="B446">
            <v>355</v>
          </cell>
        </row>
        <row r="447">
          <cell r="A447">
            <v>43181</v>
          </cell>
          <cell r="B447">
            <v>356</v>
          </cell>
        </row>
        <row r="448">
          <cell r="A448">
            <v>43182</v>
          </cell>
          <cell r="B448">
            <v>357</v>
          </cell>
        </row>
        <row r="449">
          <cell r="A449">
            <v>43183</v>
          </cell>
          <cell r="B449">
            <v>358</v>
          </cell>
        </row>
        <row r="450">
          <cell r="A450">
            <v>43184</v>
          </cell>
          <cell r="B450">
            <v>359</v>
          </cell>
        </row>
        <row r="451">
          <cell r="A451">
            <v>43185</v>
          </cell>
          <cell r="B451">
            <v>360</v>
          </cell>
        </row>
        <row r="452">
          <cell r="A452">
            <v>43186</v>
          </cell>
          <cell r="B452">
            <v>361</v>
          </cell>
        </row>
        <row r="453">
          <cell r="A453">
            <v>43187</v>
          </cell>
          <cell r="B453">
            <v>362</v>
          </cell>
        </row>
        <row r="454">
          <cell r="A454">
            <v>43188</v>
          </cell>
          <cell r="B454">
            <v>363</v>
          </cell>
        </row>
        <row r="455">
          <cell r="A455">
            <v>43189</v>
          </cell>
          <cell r="B455">
            <v>364</v>
          </cell>
        </row>
        <row r="456">
          <cell r="A456">
            <v>43190</v>
          </cell>
          <cell r="B456">
            <v>365</v>
          </cell>
        </row>
        <row r="457">
          <cell r="A457">
            <v>43191</v>
          </cell>
          <cell r="B457">
            <v>1</v>
          </cell>
        </row>
        <row r="458">
          <cell r="A458">
            <v>43192</v>
          </cell>
          <cell r="B458">
            <v>2</v>
          </cell>
        </row>
        <row r="459">
          <cell r="A459">
            <v>43193</v>
          </cell>
          <cell r="B459">
            <v>3</v>
          </cell>
        </row>
        <row r="460">
          <cell r="A460">
            <v>43194</v>
          </cell>
          <cell r="B460">
            <v>4</v>
          </cell>
        </row>
        <row r="461">
          <cell r="A461">
            <v>43195</v>
          </cell>
          <cell r="B461">
            <v>5</v>
          </cell>
        </row>
        <row r="462">
          <cell r="A462">
            <v>43196</v>
          </cell>
          <cell r="B462">
            <v>6</v>
          </cell>
        </row>
        <row r="463">
          <cell r="A463">
            <v>43197</v>
          </cell>
          <cell r="B463">
            <v>7</v>
          </cell>
        </row>
        <row r="464">
          <cell r="A464">
            <v>43198</v>
          </cell>
          <cell r="B464">
            <v>8</v>
          </cell>
        </row>
        <row r="465">
          <cell r="A465">
            <v>43199</v>
          </cell>
          <cell r="B465">
            <v>9</v>
          </cell>
        </row>
        <row r="466">
          <cell r="A466">
            <v>43200</v>
          </cell>
          <cell r="B466">
            <v>10</v>
          </cell>
        </row>
        <row r="467">
          <cell r="A467">
            <v>43201</v>
          </cell>
          <cell r="B467">
            <v>11</v>
          </cell>
        </row>
        <row r="468">
          <cell r="A468">
            <v>43202</v>
          </cell>
          <cell r="B468">
            <v>12</v>
          </cell>
        </row>
        <row r="469">
          <cell r="A469">
            <v>43203</v>
          </cell>
          <cell r="B469">
            <v>13</v>
          </cell>
        </row>
        <row r="470">
          <cell r="A470">
            <v>43204</v>
          </cell>
          <cell r="B470">
            <v>14</v>
          </cell>
        </row>
        <row r="471">
          <cell r="A471">
            <v>43205</v>
          </cell>
          <cell r="B471">
            <v>15</v>
          </cell>
        </row>
        <row r="472">
          <cell r="A472">
            <v>43206</v>
          </cell>
          <cell r="B472">
            <v>16</v>
          </cell>
        </row>
        <row r="473">
          <cell r="A473">
            <v>43207</v>
          </cell>
          <cell r="B473">
            <v>17</v>
          </cell>
        </row>
        <row r="474">
          <cell r="A474">
            <v>43208</v>
          </cell>
          <cell r="B474">
            <v>18</v>
          </cell>
        </row>
        <row r="475">
          <cell r="A475">
            <v>43209</v>
          </cell>
          <cell r="B475">
            <v>19</v>
          </cell>
        </row>
        <row r="476">
          <cell r="A476">
            <v>43210</v>
          </cell>
          <cell r="B476">
            <v>20</v>
          </cell>
        </row>
        <row r="477">
          <cell r="A477">
            <v>43211</v>
          </cell>
          <cell r="B477">
            <v>21</v>
          </cell>
        </row>
        <row r="478">
          <cell r="A478">
            <v>43212</v>
          </cell>
          <cell r="B478">
            <v>22</v>
          </cell>
        </row>
        <row r="479">
          <cell r="A479">
            <v>43213</v>
          </cell>
          <cell r="B479">
            <v>23</v>
          </cell>
        </row>
        <row r="480">
          <cell r="A480">
            <v>43214</v>
          </cell>
          <cell r="B480">
            <v>24</v>
          </cell>
        </row>
        <row r="481">
          <cell r="A481">
            <v>43215</v>
          </cell>
          <cell r="B481">
            <v>25</v>
          </cell>
        </row>
        <row r="482">
          <cell r="A482">
            <v>43216</v>
          </cell>
          <cell r="B482">
            <v>26</v>
          </cell>
        </row>
        <row r="483">
          <cell r="A483">
            <v>43217</v>
          </cell>
          <cell r="B483">
            <v>27</v>
          </cell>
        </row>
        <row r="484">
          <cell r="A484">
            <v>43218</v>
          </cell>
          <cell r="B484">
            <v>28</v>
          </cell>
        </row>
        <row r="485">
          <cell r="A485">
            <v>43219</v>
          </cell>
          <cell r="B485">
            <v>29</v>
          </cell>
        </row>
        <row r="486">
          <cell r="A486">
            <v>43220</v>
          </cell>
          <cell r="B486">
            <v>30</v>
          </cell>
        </row>
        <row r="487">
          <cell r="A487">
            <v>43221</v>
          </cell>
          <cell r="B487">
            <v>31</v>
          </cell>
        </row>
        <row r="488">
          <cell r="A488">
            <v>43222</v>
          </cell>
          <cell r="B488">
            <v>32</v>
          </cell>
        </row>
        <row r="489">
          <cell r="A489">
            <v>43223</v>
          </cell>
          <cell r="B489">
            <v>33</v>
          </cell>
        </row>
        <row r="490">
          <cell r="A490">
            <v>43224</v>
          </cell>
          <cell r="B490">
            <v>34</v>
          </cell>
        </row>
        <row r="491">
          <cell r="A491">
            <v>43225</v>
          </cell>
          <cell r="B491">
            <v>35</v>
          </cell>
        </row>
        <row r="492">
          <cell r="A492">
            <v>43226</v>
          </cell>
          <cell r="B492">
            <v>36</v>
          </cell>
        </row>
        <row r="493">
          <cell r="A493">
            <v>43227</v>
          </cell>
          <cell r="B493">
            <v>37</v>
          </cell>
        </row>
        <row r="494">
          <cell r="A494">
            <v>43228</v>
          </cell>
          <cell r="B494">
            <v>38</v>
          </cell>
        </row>
        <row r="495">
          <cell r="A495">
            <v>43229</v>
          </cell>
          <cell r="B495">
            <v>39</v>
          </cell>
        </row>
        <row r="496">
          <cell r="A496">
            <v>43230</v>
          </cell>
          <cell r="B496">
            <v>40</v>
          </cell>
        </row>
        <row r="497">
          <cell r="A497">
            <v>43231</v>
          </cell>
          <cell r="B497">
            <v>41</v>
          </cell>
        </row>
        <row r="498">
          <cell r="A498">
            <v>43232</v>
          </cell>
          <cell r="B498">
            <v>42</v>
          </cell>
        </row>
        <row r="499">
          <cell r="A499">
            <v>43233</v>
          </cell>
          <cell r="B499">
            <v>43</v>
          </cell>
        </row>
        <row r="500">
          <cell r="A500">
            <v>43234</v>
          </cell>
          <cell r="B500">
            <v>44</v>
          </cell>
        </row>
        <row r="501">
          <cell r="A501">
            <v>43235</v>
          </cell>
          <cell r="B501">
            <v>45</v>
          </cell>
        </row>
        <row r="502">
          <cell r="A502">
            <v>43236</v>
          </cell>
          <cell r="B502">
            <v>46</v>
          </cell>
        </row>
        <row r="503">
          <cell r="A503">
            <v>43237</v>
          </cell>
          <cell r="B503">
            <v>47</v>
          </cell>
        </row>
        <row r="504">
          <cell r="A504">
            <v>43238</v>
          </cell>
          <cell r="B504">
            <v>48</v>
          </cell>
        </row>
        <row r="505">
          <cell r="A505">
            <v>43239</v>
          </cell>
          <cell r="B505">
            <v>49</v>
          </cell>
        </row>
        <row r="506">
          <cell r="A506">
            <v>43240</v>
          </cell>
          <cell r="B506">
            <v>50</v>
          </cell>
        </row>
        <row r="507">
          <cell r="A507">
            <v>43241</v>
          </cell>
          <cell r="B507">
            <v>51</v>
          </cell>
        </row>
        <row r="508">
          <cell r="A508">
            <v>43242</v>
          </cell>
          <cell r="B508">
            <v>52</v>
          </cell>
        </row>
        <row r="509">
          <cell r="A509">
            <v>43243</v>
          </cell>
          <cell r="B509">
            <v>53</v>
          </cell>
        </row>
        <row r="510">
          <cell r="A510">
            <v>43244</v>
          </cell>
          <cell r="B510">
            <v>54</v>
          </cell>
        </row>
        <row r="511">
          <cell r="A511">
            <v>43245</v>
          </cell>
          <cell r="B511">
            <v>55</v>
          </cell>
        </row>
        <row r="512">
          <cell r="A512">
            <v>43246</v>
          </cell>
          <cell r="B512">
            <v>56</v>
          </cell>
        </row>
        <row r="513">
          <cell r="A513">
            <v>43247</v>
          </cell>
          <cell r="B513">
            <v>57</v>
          </cell>
        </row>
        <row r="514">
          <cell r="A514">
            <v>43248</v>
          </cell>
          <cell r="B514">
            <v>58</v>
          </cell>
        </row>
        <row r="515">
          <cell r="A515">
            <v>43249</v>
          </cell>
          <cell r="B515">
            <v>59</v>
          </cell>
        </row>
        <row r="516">
          <cell r="A516">
            <v>43250</v>
          </cell>
          <cell r="B516">
            <v>60</v>
          </cell>
        </row>
        <row r="517">
          <cell r="A517">
            <v>43251</v>
          </cell>
          <cell r="B517">
            <v>61</v>
          </cell>
        </row>
        <row r="518">
          <cell r="A518">
            <v>43252</v>
          </cell>
          <cell r="B518">
            <v>62</v>
          </cell>
        </row>
        <row r="519">
          <cell r="A519">
            <v>43253</v>
          </cell>
          <cell r="B519">
            <v>63</v>
          </cell>
        </row>
        <row r="520">
          <cell r="A520">
            <v>43254</v>
          </cell>
          <cell r="B520">
            <v>64</v>
          </cell>
        </row>
        <row r="521">
          <cell r="A521">
            <v>43255</v>
          </cell>
          <cell r="B521">
            <v>65</v>
          </cell>
        </row>
        <row r="522">
          <cell r="A522">
            <v>43256</v>
          </cell>
          <cell r="B522">
            <v>66</v>
          </cell>
        </row>
        <row r="523">
          <cell r="A523">
            <v>43257</v>
          </cell>
          <cell r="B523">
            <v>67</v>
          </cell>
        </row>
        <row r="524">
          <cell r="A524">
            <v>43258</v>
          </cell>
          <cell r="B524">
            <v>68</v>
          </cell>
        </row>
        <row r="525">
          <cell r="A525">
            <v>43259</v>
          </cell>
          <cell r="B525">
            <v>69</v>
          </cell>
        </row>
        <row r="526">
          <cell r="A526">
            <v>43260</v>
          </cell>
          <cell r="B526">
            <v>70</v>
          </cell>
        </row>
        <row r="527">
          <cell r="A527">
            <v>43261</v>
          </cell>
          <cell r="B527">
            <v>71</v>
          </cell>
        </row>
        <row r="528">
          <cell r="A528">
            <v>43262</v>
          </cell>
          <cell r="B528">
            <v>72</v>
          </cell>
        </row>
        <row r="529">
          <cell r="A529">
            <v>43263</v>
          </cell>
          <cell r="B529">
            <v>73</v>
          </cell>
        </row>
        <row r="530">
          <cell r="A530">
            <v>43264</v>
          </cell>
          <cell r="B530">
            <v>74</v>
          </cell>
        </row>
        <row r="531">
          <cell r="A531">
            <v>43265</v>
          </cell>
          <cell r="B531">
            <v>75</v>
          </cell>
        </row>
        <row r="532">
          <cell r="A532">
            <v>43266</v>
          </cell>
          <cell r="B532">
            <v>76</v>
          </cell>
        </row>
        <row r="533">
          <cell r="A533">
            <v>43267</v>
          </cell>
          <cell r="B533">
            <v>77</v>
          </cell>
        </row>
        <row r="534">
          <cell r="A534">
            <v>43268</v>
          </cell>
          <cell r="B534">
            <v>78</v>
          </cell>
        </row>
        <row r="535">
          <cell r="A535">
            <v>43269</v>
          </cell>
          <cell r="B535">
            <v>79</v>
          </cell>
        </row>
        <row r="536">
          <cell r="A536">
            <v>43270</v>
          </cell>
          <cell r="B536">
            <v>80</v>
          </cell>
        </row>
        <row r="537">
          <cell r="A537">
            <v>43271</v>
          </cell>
          <cell r="B537">
            <v>81</v>
          </cell>
        </row>
        <row r="538">
          <cell r="A538">
            <v>43272</v>
          </cell>
          <cell r="B538">
            <v>82</v>
          </cell>
        </row>
        <row r="539">
          <cell r="A539">
            <v>43273</v>
          </cell>
          <cell r="B539">
            <v>83</v>
          </cell>
        </row>
        <row r="540">
          <cell r="A540">
            <v>43274</v>
          </cell>
          <cell r="B540">
            <v>84</v>
          </cell>
        </row>
        <row r="541">
          <cell r="A541">
            <v>43275</v>
          </cell>
          <cell r="B541">
            <v>85</v>
          </cell>
        </row>
        <row r="542">
          <cell r="A542">
            <v>43276</v>
          </cell>
          <cell r="B542">
            <v>86</v>
          </cell>
        </row>
        <row r="543">
          <cell r="A543">
            <v>43277</v>
          </cell>
          <cell r="B543">
            <v>87</v>
          </cell>
        </row>
        <row r="544">
          <cell r="A544">
            <v>43278</v>
          </cell>
          <cell r="B544">
            <v>88</v>
          </cell>
        </row>
        <row r="545">
          <cell r="A545">
            <v>43279</v>
          </cell>
          <cell r="B545">
            <v>89</v>
          </cell>
        </row>
        <row r="546">
          <cell r="A546">
            <v>43280</v>
          </cell>
          <cell r="B546">
            <v>90</v>
          </cell>
        </row>
        <row r="547">
          <cell r="A547">
            <v>43281</v>
          </cell>
          <cell r="B547">
            <v>91</v>
          </cell>
        </row>
        <row r="548">
          <cell r="A548">
            <v>43282</v>
          </cell>
          <cell r="B548">
            <v>92</v>
          </cell>
        </row>
        <row r="549">
          <cell r="A549">
            <v>43283</v>
          </cell>
          <cell r="B549">
            <v>93</v>
          </cell>
        </row>
        <row r="550">
          <cell r="A550">
            <v>43284</v>
          </cell>
          <cell r="B550">
            <v>94</v>
          </cell>
        </row>
        <row r="551">
          <cell r="A551">
            <v>43285</v>
          </cell>
          <cell r="B551">
            <v>95</v>
          </cell>
        </row>
        <row r="552">
          <cell r="A552">
            <v>43286</v>
          </cell>
          <cell r="B552">
            <v>96</v>
          </cell>
        </row>
        <row r="553">
          <cell r="A553">
            <v>43287</v>
          </cell>
          <cell r="B553">
            <v>97</v>
          </cell>
        </row>
        <row r="554">
          <cell r="A554">
            <v>43288</v>
          </cell>
          <cell r="B554">
            <v>98</v>
          </cell>
        </row>
        <row r="555">
          <cell r="A555">
            <v>43289</v>
          </cell>
          <cell r="B555">
            <v>99</v>
          </cell>
        </row>
        <row r="556">
          <cell r="A556">
            <v>43290</v>
          </cell>
          <cell r="B556">
            <v>100</v>
          </cell>
        </row>
        <row r="557">
          <cell r="A557">
            <v>43291</v>
          </cell>
          <cell r="B557">
            <v>101</v>
          </cell>
        </row>
        <row r="558">
          <cell r="A558">
            <v>43292</v>
          </cell>
          <cell r="B558">
            <v>102</v>
          </cell>
        </row>
        <row r="559">
          <cell r="A559">
            <v>43293</v>
          </cell>
          <cell r="B559">
            <v>103</v>
          </cell>
        </row>
        <row r="560">
          <cell r="A560">
            <v>43294</v>
          </cell>
          <cell r="B560">
            <v>104</v>
          </cell>
        </row>
        <row r="561">
          <cell r="A561">
            <v>43295</v>
          </cell>
          <cell r="B561">
            <v>105</v>
          </cell>
        </row>
        <row r="562">
          <cell r="A562">
            <v>43296</v>
          </cell>
          <cell r="B562">
            <v>106</v>
          </cell>
        </row>
        <row r="563">
          <cell r="A563">
            <v>43297</v>
          </cell>
          <cell r="B563">
            <v>107</v>
          </cell>
        </row>
        <row r="564">
          <cell r="A564">
            <v>43298</v>
          </cell>
          <cell r="B564">
            <v>108</v>
          </cell>
        </row>
        <row r="565">
          <cell r="A565">
            <v>43299</v>
          </cell>
          <cell r="B565">
            <v>109</v>
          </cell>
        </row>
        <row r="566">
          <cell r="A566">
            <v>43300</v>
          </cell>
          <cell r="B566">
            <v>110</v>
          </cell>
        </row>
        <row r="567">
          <cell r="A567">
            <v>43301</v>
          </cell>
          <cell r="B567">
            <v>111</v>
          </cell>
        </row>
        <row r="568">
          <cell r="A568">
            <v>43302</v>
          </cell>
          <cell r="B568">
            <v>112</v>
          </cell>
        </row>
        <row r="569">
          <cell r="A569">
            <v>43303</v>
          </cell>
          <cell r="B569">
            <v>113</v>
          </cell>
        </row>
        <row r="570">
          <cell r="A570">
            <v>43304</v>
          </cell>
          <cell r="B570">
            <v>114</v>
          </cell>
        </row>
        <row r="571">
          <cell r="A571">
            <v>43305</v>
          </cell>
          <cell r="B571">
            <v>115</v>
          </cell>
        </row>
        <row r="572">
          <cell r="A572">
            <v>43306</v>
          </cell>
          <cell r="B572">
            <v>116</v>
          </cell>
        </row>
        <row r="573">
          <cell r="A573">
            <v>43307</v>
          </cell>
          <cell r="B573">
            <v>117</v>
          </cell>
        </row>
        <row r="574">
          <cell r="A574">
            <v>43308</v>
          </cell>
          <cell r="B574">
            <v>118</v>
          </cell>
        </row>
        <row r="575">
          <cell r="A575">
            <v>43309</v>
          </cell>
          <cell r="B575">
            <v>119</v>
          </cell>
        </row>
        <row r="576">
          <cell r="A576">
            <v>43310</v>
          </cell>
          <cell r="B576">
            <v>120</v>
          </cell>
        </row>
        <row r="577">
          <cell r="A577">
            <v>43311</v>
          </cell>
          <cell r="B577">
            <v>121</v>
          </cell>
        </row>
        <row r="578">
          <cell r="A578">
            <v>43312</v>
          </cell>
          <cell r="B578">
            <v>122</v>
          </cell>
        </row>
        <row r="579">
          <cell r="A579">
            <v>43313</v>
          </cell>
          <cell r="B579">
            <v>123</v>
          </cell>
        </row>
        <row r="580">
          <cell r="A580">
            <v>43314</v>
          </cell>
          <cell r="B580">
            <v>124</v>
          </cell>
        </row>
        <row r="581">
          <cell r="A581">
            <v>43315</v>
          </cell>
          <cell r="B581">
            <v>125</v>
          </cell>
        </row>
        <row r="582">
          <cell r="A582">
            <v>43316</v>
          </cell>
          <cell r="B582">
            <v>126</v>
          </cell>
        </row>
        <row r="583">
          <cell r="A583">
            <v>43317</v>
          </cell>
          <cell r="B583">
            <v>127</v>
          </cell>
        </row>
        <row r="584">
          <cell r="A584">
            <v>43318</v>
          </cell>
          <cell r="B584">
            <v>128</v>
          </cell>
        </row>
        <row r="585">
          <cell r="A585">
            <v>43319</v>
          </cell>
          <cell r="B585">
            <v>129</v>
          </cell>
        </row>
        <row r="586">
          <cell r="A586">
            <v>43320</v>
          </cell>
          <cell r="B586">
            <v>130</v>
          </cell>
        </row>
        <row r="587">
          <cell r="A587">
            <v>43321</v>
          </cell>
          <cell r="B587">
            <v>131</v>
          </cell>
        </row>
        <row r="588">
          <cell r="A588">
            <v>43322</v>
          </cell>
          <cell r="B588">
            <v>132</v>
          </cell>
        </row>
        <row r="589">
          <cell r="A589">
            <v>43323</v>
          </cell>
          <cell r="B589">
            <v>133</v>
          </cell>
        </row>
        <row r="590">
          <cell r="A590">
            <v>43324</v>
          </cell>
          <cell r="B590">
            <v>134</v>
          </cell>
        </row>
        <row r="591">
          <cell r="A591">
            <v>43325</v>
          </cell>
          <cell r="B591">
            <v>135</v>
          </cell>
        </row>
        <row r="592">
          <cell r="A592">
            <v>43326</v>
          </cell>
          <cell r="B592">
            <v>136</v>
          </cell>
        </row>
        <row r="593">
          <cell r="A593">
            <v>43327</v>
          </cell>
          <cell r="B593">
            <v>137</v>
          </cell>
        </row>
        <row r="594">
          <cell r="A594">
            <v>43328</v>
          </cell>
          <cell r="B594">
            <v>138</v>
          </cell>
        </row>
        <row r="595">
          <cell r="A595">
            <v>43329</v>
          </cell>
          <cell r="B595">
            <v>139</v>
          </cell>
        </row>
        <row r="596">
          <cell r="A596">
            <v>43330</v>
          </cell>
          <cell r="B596">
            <v>140</v>
          </cell>
        </row>
        <row r="597">
          <cell r="A597">
            <v>43331</v>
          </cell>
          <cell r="B597">
            <v>141</v>
          </cell>
        </row>
        <row r="598">
          <cell r="A598">
            <v>43332</v>
          </cell>
          <cell r="B598">
            <v>142</v>
          </cell>
        </row>
        <row r="599">
          <cell r="A599">
            <v>43333</v>
          </cell>
          <cell r="B599">
            <v>143</v>
          </cell>
        </row>
        <row r="600">
          <cell r="A600">
            <v>43334</v>
          </cell>
          <cell r="B600">
            <v>144</v>
          </cell>
        </row>
        <row r="601">
          <cell r="A601">
            <v>43335</v>
          </cell>
          <cell r="B601">
            <v>145</v>
          </cell>
        </row>
        <row r="602">
          <cell r="A602">
            <v>43336</v>
          </cell>
          <cell r="B602">
            <v>146</v>
          </cell>
        </row>
        <row r="603">
          <cell r="A603">
            <v>43337</v>
          </cell>
          <cell r="B603">
            <v>147</v>
          </cell>
        </row>
        <row r="604">
          <cell r="A604">
            <v>43338</v>
          </cell>
          <cell r="B604">
            <v>148</v>
          </cell>
        </row>
        <row r="605">
          <cell r="A605">
            <v>43339</v>
          </cell>
          <cell r="B605">
            <v>149</v>
          </cell>
        </row>
        <row r="606">
          <cell r="A606">
            <v>43340</v>
          </cell>
          <cell r="B606">
            <v>150</v>
          </cell>
        </row>
        <row r="607">
          <cell r="A607">
            <v>43341</v>
          </cell>
          <cell r="B607">
            <v>151</v>
          </cell>
        </row>
        <row r="608">
          <cell r="A608">
            <v>43342</v>
          </cell>
          <cell r="B608">
            <v>152</v>
          </cell>
        </row>
        <row r="609">
          <cell r="A609">
            <v>43343</v>
          </cell>
          <cell r="B609">
            <v>153</v>
          </cell>
        </row>
        <row r="610">
          <cell r="A610">
            <v>43344</v>
          </cell>
          <cell r="B610">
            <v>154</v>
          </cell>
        </row>
        <row r="611">
          <cell r="A611">
            <v>43345</v>
          </cell>
          <cell r="B611">
            <v>155</v>
          </cell>
        </row>
        <row r="612">
          <cell r="A612">
            <v>43346</v>
          </cell>
          <cell r="B612">
            <v>156</v>
          </cell>
        </row>
        <row r="613">
          <cell r="A613">
            <v>43347</v>
          </cell>
          <cell r="B613">
            <v>157</v>
          </cell>
        </row>
        <row r="614">
          <cell r="A614">
            <v>43348</v>
          </cell>
          <cell r="B614">
            <v>158</v>
          </cell>
        </row>
        <row r="615">
          <cell r="A615">
            <v>43349</v>
          </cell>
          <cell r="B615">
            <v>159</v>
          </cell>
        </row>
        <row r="616">
          <cell r="A616">
            <v>43350</v>
          </cell>
          <cell r="B616">
            <v>160</v>
          </cell>
        </row>
        <row r="617">
          <cell r="A617">
            <v>43351</v>
          </cell>
          <cell r="B617">
            <v>161</v>
          </cell>
        </row>
        <row r="618">
          <cell r="A618">
            <v>43352</v>
          </cell>
          <cell r="B618">
            <v>162</v>
          </cell>
        </row>
        <row r="619">
          <cell r="A619">
            <v>43353</v>
          </cell>
          <cell r="B619">
            <v>163</v>
          </cell>
        </row>
        <row r="620">
          <cell r="A620">
            <v>43354</v>
          </cell>
          <cell r="B620">
            <v>164</v>
          </cell>
        </row>
        <row r="621">
          <cell r="A621">
            <v>43355</v>
          </cell>
          <cell r="B621">
            <v>165</v>
          </cell>
        </row>
        <row r="622">
          <cell r="A622">
            <v>43356</v>
          </cell>
          <cell r="B622">
            <v>166</v>
          </cell>
        </row>
        <row r="623">
          <cell r="A623">
            <v>43357</v>
          </cell>
          <cell r="B623">
            <v>167</v>
          </cell>
        </row>
        <row r="624">
          <cell r="A624">
            <v>43358</v>
          </cell>
          <cell r="B624">
            <v>168</v>
          </cell>
        </row>
        <row r="625">
          <cell r="A625">
            <v>43359</v>
          </cell>
          <cell r="B625">
            <v>169</v>
          </cell>
        </row>
        <row r="626">
          <cell r="A626">
            <v>43360</v>
          </cell>
          <cell r="B626">
            <v>170</v>
          </cell>
        </row>
        <row r="627">
          <cell r="A627">
            <v>43361</v>
          </cell>
          <cell r="B627">
            <v>171</v>
          </cell>
        </row>
        <row r="628">
          <cell r="A628">
            <v>43362</v>
          </cell>
          <cell r="B628">
            <v>172</v>
          </cell>
        </row>
        <row r="629">
          <cell r="A629">
            <v>43363</v>
          </cell>
          <cell r="B629">
            <v>173</v>
          </cell>
        </row>
        <row r="630">
          <cell r="A630">
            <v>43364</v>
          </cell>
          <cell r="B630">
            <v>174</v>
          </cell>
        </row>
        <row r="631">
          <cell r="A631">
            <v>43365</v>
          </cell>
          <cell r="B631">
            <v>175</v>
          </cell>
        </row>
        <row r="632">
          <cell r="A632">
            <v>43366</v>
          </cell>
          <cell r="B632">
            <v>176</v>
          </cell>
        </row>
        <row r="633">
          <cell r="A633">
            <v>43367</v>
          </cell>
          <cell r="B633">
            <v>177</v>
          </cell>
        </row>
        <row r="634">
          <cell r="A634">
            <v>43368</v>
          </cell>
          <cell r="B634">
            <v>178</v>
          </cell>
        </row>
        <row r="635">
          <cell r="A635">
            <v>43369</v>
          </cell>
          <cell r="B635">
            <v>179</v>
          </cell>
        </row>
        <row r="636">
          <cell r="A636">
            <v>43370</v>
          </cell>
          <cell r="B636">
            <v>180</v>
          </cell>
        </row>
        <row r="637">
          <cell r="A637">
            <v>43371</v>
          </cell>
          <cell r="B637">
            <v>181</v>
          </cell>
        </row>
        <row r="638">
          <cell r="A638">
            <v>43372</v>
          </cell>
          <cell r="B638">
            <v>182</v>
          </cell>
        </row>
        <row r="639">
          <cell r="A639">
            <v>43373</v>
          </cell>
          <cell r="B639">
            <v>183</v>
          </cell>
        </row>
        <row r="640">
          <cell r="A640">
            <v>43374</v>
          </cell>
          <cell r="B640">
            <v>184</v>
          </cell>
        </row>
        <row r="641">
          <cell r="A641">
            <v>43375</v>
          </cell>
          <cell r="B641">
            <v>185</v>
          </cell>
        </row>
        <row r="642">
          <cell r="A642">
            <v>43376</v>
          </cell>
          <cell r="B642">
            <v>186</v>
          </cell>
        </row>
        <row r="643">
          <cell r="A643">
            <v>43377</v>
          </cell>
          <cell r="B643">
            <v>187</v>
          </cell>
        </row>
        <row r="644">
          <cell r="A644">
            <v>43378</v>
          </cell>
          <cell r="B644">
            <v>188</v>
          </cell>
        </row>
        <row r="645">
          <cell r="A645">
            <v>43379</v>
          </cell>
          <cell r="B645">
            <v>189</v>
          </cell>
        </row>
        <row r="646">
          <cell r="A646">
            <v>43380</v>
          </cell>
          <cell r="B646">
            <v>190</v>
          </cell>
        </row>
        <row r="647">
          <cell r="A647">
            <v>43381</v>
          </cell>
          <cell r="B647">
            <v>191</v>
          </cell>
        </row>
        <row r="648">
          <cell r="A648">
            <v>43382</v>
          </cell>
          <cell r="B648">
            <v>192</v>
          </cell>
        </row>
        <row r="649">
          <cell r="A649">
            <v>43383</v>
          </cell>
          <cell r="B649">
            <v>193</v>
          </cell>
        </row>
        <row r="650">
          <cell r="A650">
            <v>43384</v>
          </cell>
          <cell r="B650">
            <v>194</v>
          </cell>
        </row>
        <row r="651">
          <cell r="A651">
            <v>43385</v>
          </cell>
          <cell r="B651">
            <v>195</v>
          </cell>
        </row>
        <row r="652">
          <cell r="A652">
            <v>43386</v>
          </cell>
          <cell r="B652">
            <v>196</v>
          </cell>
        </row>
        <row r="653">
          <cell r="A653">
            <v>43387</v>
          </cell>
          <cell r="B653">
            <v>197</v>
          </cell>
        </row>
        <row r="654">
          <cell r="A654">
            <v>43388</v>
          </cell>
          <cell r="B654">
            <v>198</v>
          </cell>
        </row>
        <row r="655">
          <cell r="A655">
            <v>43389</v>
          </cell>
          <cell r="B655">
            <v>199</v>
          </cell>
        </row>
        <row r="656">
          <cell r="A656">
            <v>43390</v>
          </cell>
          <cell r="B656">
            <v>200</v>
          </cell>
        </row>
        <row r="657">
          <cell r="A657">
            <v>43391</v>
          </cell>
          <cell r="B657">
            <v>201</v>
          </cell>
        </row>
        <row r="658">
          <cell r="A658">
            <v>43392</v>
          </cell>
          <cell r="B658">
            <v>202</v>
          </cell>
        </row>
        <row r="659">
          <cell r="A659">
            <v>43393</v>
          </cell>
          <cell r="B659">
            <v>203</v>
          </cell>
        </row>
        <row r="660">
          <cell r="A660">
            <v>43394</v>
          </cell>
          <cell r="B660">
            <v>204</v>
          </cell>
        </row>
        <row r="661">
          <cell r="A661">
            <v>43395</v>
          </cell>
          <cell r="B661">
            <v>205</v>
          </cell>
        </row>
        <row r="662">
          <cell r="A662">
            <v>43396</v>
          </cell>
          <cell r="B662">
            <v>206</v>
          </cell>
        </row>
        <row r="663">
          <cell r="A663">
            <v>43397</v>
          </cell>
          <cell r="B663">
            <v>207</v>
          </cell>
        </row>
        <row r="664">
          <cell r="A664">
            <v>43398</v>
          </cell>
          <cell r="B664">
            <v>208</v>
          </cell>
        </row>
        <row r="665">
          <cell r="A665">
            <v>43399</v>
          </cell>
          <cell r="B665">
            <v>209</v>
          </cell>
        </row>
        <row r="666">
          <cell r="A666">
            <v>43400</v>
          </cell>
          <cell r="B666">
            <v>210</v>
          </cell>
        </row>
        <row r="667">
          <cell r="A667">
            <v>43401</v>
          </cell>
          <cell r="B667">
            <v>211</v>
          </cell>
        </row>
        <row r="668">
          <cell r="A668">
            <v>43402</v>
          </cell>
          <cell r="B668">
            <v>212</v>
          </cell>
        </row>
        <row r="669">
          <cell r="A669">
            <v>43403</v>
          </cell>
          <cell r="B669">
            <v>213</v>
          </cell>
        </row>
        <row r="670">
          <cell r="A670">
            <v>43404</v>
          </cell>
          <cell r="B670">
            <v>214</v>
          </cell>
        </row>
        <row r="671">
          <cell r="A671">
            <v>43405</v>
          </cell>
          <cell r="B671">
            <v>215</v>
          </cell>
        </row>
        <row r="672">
          <cell r="A672">
            <v>43406</v>
          </cell>
          <cell r="B672">
            <v>216</v>
          </cell>
        </row>
        <row r="673">
          <cell r="A673">
            <v>43407</v>
          </cell>
          <cell r="B673">
            <v>217</v>
          </cell>
        </row>
        <row r="674">
          <cell r="A674">
            <v>43408</v>
          </cell>
          <cell r="B674">
            <v>218</v>
          </cell>
        </row>
        <row r="675">
          <cell r="A675">
            <v>43409</v>
          </cell>
          <cell r="B675">
            <v>219</v>
          </cell>
        </row>
        <row r="676">
          <cell r="A676">
            <v>43410</v>
          </cell>
          <cell r="B676">
            <v>220</v>
          </cell>
        </row>
        <row r="677">
          <cell r="A677">
            <v>43411</v>
          </cell>
          <cell r="B677">
            <v>221</v>
          </cell>
        </row>
        <row r="678">
          <cell r="A678">
            <v>43412</v>
          </cell>
          <cell r="B678">
            <v>222</v>
          </cell>
        </row>
        <row r="679">
          <cell r="A679">
            <v>43413</v>
          </cell>
          <cell r="B679">
            <v>223</v>
          </cell>
        </row>
        <row r="680">
          <cell r="A680">
            <v>43414</v>
          </cell>
          <cell r="B680">
            <v>224</v>
          </cell>
        </row>
        <row r="681">
          <cell r="A681">
            <v>43415</v>
          </cell>
          <cell r="B681">
            <v>225</v>
          </cell>
        </row>
        <row r="682">
          <cell r="A682">
            <v>43416</v>
          </cell>
          <cell r="B682">
            <v>226</v>
          </cell>
        </row>
        <row r="683">
          <cell r="A683">
            <v>43417</v>
          </cell>
          <cell r="B683">
            <v>227</v>
          </cell>
        </row>
        <row r="684">
          <cell r="A684">
            <v>43418</v>
          </cell>
          <cell r="B684">
            <v>228</v>
          </cell>
        </row>
        <row r="685">
          <cell r="A685">
            <v>43419</v>
          </cell>
          <cell r="B685">
            <v>229</v>
          </cell>
        </row>
        <row r="686">
          <cell r="A686">
            <v>43420</v>
          </cell>
          <cell r="B686">
            <v>230</v>
          </cell>
        </row>
        <row r="687">
          <cell r="A687">
            <v>43421</v>
          </cell>
          <cell r="B687">
            <v>231</v>
          </cell>
        </row>
        <row r="688">
          <cell r="A688">
            <v>43422</v>
          </cell>
          <cell r="B688">
            <v>232</v>
          </cell>
        </row>
        <row r="689">
          <cell r="A689">
            <v>43423</v>
          </cell>
          <cell r="B689">
            <v>233</v>
          </cell>
        </row>
        <row r="690">
          <cell r="A690">
            <v>43424</v>
          </cell>
          <cell r="B690">
            <v>234</v>
          </cell>
        </row>
        <row r="691">
          <cell r="A691">
            <v>43425</v>
          </cell>
          <cell r="B691">
            <v>235</v>
          </cell>
        </row>
        <row r="692">
          <cell r="A692">
            <v>43426</v>
          </cell>
          <cell r="B692">
            <v>236</v>
          </cell>
        </row>
        <row r="693">
          <cell r="A693">
            <v>43427</v>
          </cell>
          <cell r="B693">
            <v>237</v>
          </cell>
        </row>
        <row r="694">
          <cell r="A694">
            <v>43428</v>
          </cell>
          <cell r="B694">
            <v>238</v>
          </cell>
        </row>
        <row r="695">
          <cell r="A695">
            <v>43429</v>
          </cell>
          <cell r="B695">
            <v>239</v>
          </cell>
        </row>
        <row r="696">
          <cell r="A696">
            <v>43430</v>
          </cell>
          <cell r="B696">
            <v>240</v>
          </cell>
        </row>
        <row r="697">
          <cell r="A697">
            <v>43431</v>
          </cell>
          <cell r="B697">
            <v>241</v>
          </cell>
        </row>
        <row r="698">
          <cell r="A698">
            <v>43432</v>
          </cell>
          <cell r="B698">
            <v>242</v>
          </cell>
        </row>
        <row r="699">
          <cell r="A699">
            <v>43433</v>
          </cell>
          <cell r="B699">
            <v>243</v>
          </cell>
        </row>
        <row r="700">
          <cell r="A700">
            <v>43434</v>
          </cell>
          <cell r="B700">
            <v>244</v>
          </cell>
        </row>
        <row r="701">
          <cell r="A701">
            <v>43435</v>
          </cell>
          <cell r="B701">
            <v>245</v>
          </cell>
        </row>
        <row r="702">
          <cell r="A702">
            <v>43436</v>
          </cell>
          <cell r="B702">
            <v>246</v>
          </cell>
        </row>
        <row r="703">
          <cell r="A703">
            <v>43437</v>
          </cell>
          <cell r="B703">
            <v>247</v>
          </cell>
        </row>
        <row r="704">
          <cell r="A704">
            <v>43438</v>
          </cell>
          <cell r="B704">
            <v>248</v>
          </cell>
        </row>
        <row r="705">
          <cell r="A705">
            <v>43439</v>
          </cell>
          <cell r="B705">
            <v>249</v>
          </cell>
        </row>
        <row r="706">
          <cell r="A706">
            <v>43440</v>
          </cell>
          <cell r="B706">
            <v>250</v>
          </cell>
        </row>
        <row r="707">
          <cell r="A707">
            <v>43441</v>
          </cell>
          <cell r="B707">
            <v>251</v>
          </cell>
        </row>
        <row r="708">
          <cell r="A708">
            <v>43442</v>
          </cell>
          <cell r="B708">
            <v>252</v>
          </cell>
        </row>
        <row r="709">
          <cell r="A709">
            <v>43443</v>
          </cell>
          <cell r="B709">
            <v>253</v>
          </cell>
        </row>
        <row r="710">
          <cell r="A710">
            <v>43444</v>
          </cell>
          <cell r="B710">
            <v>254</v>
          </cell>
        </row>
        <row r="711">
          <cell r="A711">
            <v>43445</v>
          </cell>
          <cell r="B711">
            <v>255</v>
          </cell>
        </row>
        <row r="712">
          <cell r="A712">
            <v>43446</v>
          </cell>
          <cell r="B712">
            <v>256</v>
          </cell>
        </row>
        <row r="713">
          <cell r="A713">
            <v>43447</v>
          </cell>
          <cell r="B713">
            <v>257</v>
          </cell>
        </row>
        <row r="714">
          <cell r="A714">
            <v>43448</v>
          </cell>
          <cell r="B714">
            <v>258</v>
          </cell>
        </row>
        <row r="715">
          <cell r="A715">
            <v>43449</v>
          </cell>
          <cell r="B715">
            <v>259</v>
          </cell>
        </row>
        <row r="716">
          <cell r="A716">
            <v>43450</v>
          </cell>
          <cell r="B716">
            <v>260</v>
          </cell>
        </row>
        <row r="717">
          <cell r="A717">
            <v>43451</v>
          </cell>
          <cell r="B717">
            <v>261</v>
          </cell>
        </row>
        <row r="718">
          <cell r="A718">
            <v>43452</v>
          </cell>
          <cell r="B718">
            <v>262</v>
          </cell>
        </row>
        <row r="719">
          <cell r="A719">
            <v>43453</v>
          </cell>
          <cell r="B719">
            <v>263</v>
          </cell>
        </row>
        <row r="720">
          <cell r="A720">
            <v>43454</v>
          </cell>
          <cell r="B720">
            <v>264</v>
          </cell>
        </row>
        <row r="721">
          <cell r="A721">
            <v>43455</v>
          </cell>
          <cell r="B721">
            <v>265</v>
          </cell>
        </row>
        <row r="722">
          <cell r="A722">
            <v>43456</v>
          </cell>
          <cell r="B722">
            <v>266</v>
          </cell>
        </row>
        <row r="723">
          <cell r="A723">
            <v>43457</v>
          </cell>
          <cell r="B723">
            <v>267</v>
          </cell>
        </row>
        <row r="724">
          <cell r="A724">
            <v>43458</v>
          </cell>
          <cell r="B724">
            <v>268</v>
          </cell>
        </row>
        <row r="725">
          <cell r="A725">
            <v>43459</v>
          </cell>
          <cell r="B725">
            <v>269</v>
          </cell>
        </row>
        <row r="726">
          <cell r="A726">
            <v>43460</v>
          </cell>
          <cell r="B726">
            <v>270</v>
          </cell>
        </row>
        <row r="727">
          <cell r="A727">
            <v>43461</v>
          </cell>
          <cell r="B727">
            <v>271</v>
          </cell>
        </row>
        <row r="728">
          <cell r="A728">
            <v>43462</v>
          </cell>
          <cell r="B728">
            <v>272</v>
          </cell>
        </row>
        <row r="729">
          <cell r="A729">
            <v>43463</v>
          </cell>
          <cell r="B729">
            <v>273</v>
          </cell>
        </row>
        <row r="730">
          <cell r="A730">
            <v>43464</v>
          </cell>
          <cell r="B730">
            <v>274</v>
          </cell>
        </row>
        <row r="731">
          <cell r="A731">
            <v>43465</v>
          </cell>
          <cell r="B731">
            <v>275</v>
          </cell>
        </row>
        <row r="732">
          <cell r="A732">
            <v>43466</v>
          </cell>
          <cell r="B732">
            <v>276</v>
          </cell>
        </row>
        <row r="733">
          <cell r="A733">
            <v>43467</v>
          </cell>
          <cell r="B733">
            <v>277</v>
          </cell>
        </row>
        <row r="734">
          <cell r="A734">
            <v>43468</v>
          </cell>
          <cell r="B734">
            <v>278</v>
          </cell>
        </row>
        <row r="735">
          <cell r="A735">
            <v>43469</v>
          </cell>
          <cell r="B735">
            <v>279</v>
          </cell>
        </row>
        <row r="736">
          <cell r="A736">
            <v>43470</v>
          </cell>
          <cell r="B736">
            <v>280</v>
          </cell>
        </row>
        <row r="737">
          <cell r="A737">
            <v>43471</v>
          </cell>
          <cell r="B737">
            <v>281</v>
          </cell>
        </row>
        <row r="738">
          <cell r="A738">
            <v>43472</v>
          </cell>
          <cell r="B738">
            <v>282</v>
          </cell>
        </row>
        <row r="739">
          <cell r="A739">
            <v>43473</v>
          </cell>
          <cell r="B739">
            <v>283</v>
          </cell>
        </row>
        <row r="740">
          <cell r="A740">
            <v>43474</v>
          </cell>
          <cell r="B740">
            <v>284</v>
          </cell>
        </row>
        <row r="741">
          <cell r="A741">
            <v>43475</v>
          </cell>
          <cell r="B741">
            <v>285</v>
          </cell>
        </row>
        <row r="742">
          <cell r="A742">
            <v>43476</v>
          </cell>
          <cell r="B742">
            <v>286</v>
          </cell>
        </row>
        <row r="743">
          <cell r="A743">
            <v>43477</v>
          </cell>
          <cell r="B743">
            <v>287</v>
          </cell>
        </row>
        <row r="744">
          <cell r="A744">
            <v>43478</v>
          </cell>
          <cell r="B744">
            <v>288</v>
          </cell>
        </row>
        <row r="745">
          <cell r="A745">
            <v>43479</v>
          </cell>
          <cell r="B745">
            <v>289</v>
          </cell>
        </row>
        <row r="746">
          <cell r="A746">
            <v>43480</v>
          </cell>
          <cell r="B746">
            <v>290</v>
          </cell>
        </row>
        <row r="747">
          <cell r="A747">
            <v>43481</v>
          </cell>
          <cell r="B747">
            <v>291</v>
          </cell>
        </row>
        <row r="748">
          <cell r="A748">
            <v>43482</v>
          </cell>
          <cell r="B748">
            <v>292</v>
          </cell>
        </row>
        <row r="749">
          <cell r="A749">
            <v>43483</v>
          </cell>
          <cell r="B749">
            <v>293</v>
          </cell>
        </row>
        <row r="750">
          <cell r="A750">
            <v>43484</v>
          </cell>
          <cell r="B750">
            <v>294</v>
          </cell>
        </row>
        <row r="751">
          <cell r="A751">
            <v>43485</v>
          </cell>
          <cell r="B751">
            <v>295</v>
          </cell>
        </row>
        <row r="752">
          <cell r="A752">
            <v>43486</v>
          </cell>
          <cell r="B752">
            <v>296</v>
          </cell>
        </row>
        <row r="753">
          <cell r="A753">
            <v>43487</v>
          </cell>
          <cell r="B753">
            <v>297</v>
          </cell>
        </row>
        <row r="754">
          <cell r="A754">
            <v>43488</v>
          </cell>
          <cell r="B754">
            <v>298</v>
          </cell>
        </row>
        <row r="755">
          <cell r="A755">
            <v>43489</v>
          </cell>
          <cell r="B755">
            <v>299</v>
          </cell>
        </row>
        <row r="756">
          <cell r="A756">
            <v>43490</v>
          </cell>
          <cell r="B756">
            <v>300</v>
          </cell>
        </row>
        <row r="757">
          <cell r="A757">
            <v>43491</v>
          </cell>
          <cell r="B757">
            <v>301</v>
          </cell>
        </row>
        <row r="758">
          <cell r="A758">
            <v>43492</v>
          </cell>
          <cell r="B758">
            <v>302</v>
          </cell>
        </row>
        <row r="759">
          <cell r="A759">
            <v>43493</v>
          </cell>
          <cell r="B759">
            <v>303</v>
          </cell>
        </row>
        <row r="760">
          <cell r="A760">
            <v>43494</v>
          </cell>
          <cell r="B760">
            <v>304</v>
          </cell>
        </row>
        <row r="761">
          <cell r="A761">
            <v>43495</v>
          </cell>
          <cell r="B761">
            <v>305</v>
          </cell>
        </row>
        <row r="762">
          <cell r="A762">
            <v>43496</v>
          </cell>
          <cell r="B762">
            <v>306</v>
          </cell>
        </row>
        <row r="763">
          <cell r="A763">
            <v>43497</v>
          </cell>
          <cell r="B763">
            <v>307</v>
          </cell>
        </row>
        <row r="764">
          <cell r="A764">
            <v>43498</v>
          </cell>
          <cell r="B764">
            <v>308</v>
          </cell>
        </row>
        <row r="765">
          <cell r="A765">
            <v>43499</v>
          </cell>
          <cell r="B765">
            <v>309</v>
          </cell>
        </row>
        <row r="766">
          <cell r="A766">
            <v>43500</v>
          </cell>
          <cell r="B766">
            <v>310</v>
          </cell>
        </row>
        <row r="767">
          <cell r="A767">
            <v>43501</v>
          </cell>
          <cell r="B767">
            <v>311</v>
          </cell>
        </row>
        <row r="768">
          <cell r="A768">
            <v>43502</v>
          </cell>
          <cell r="B768">
            <v>312</v>
          </cell>
        </row>
        <row r="769">
          <cell r="A769">
            <v>43503</v>
          </cell>
          <cell r="B769">
            <v>313</v>
          </cell>
        </row>
        <row r="770">
          <cell r="A770">
            <v>43504</v>
          </cell>
          <cell r="B770">
            <v>314</v>
          </cell>
        </row>
        <row r="771">
          <cell r="A771">
            <v>43505</v>
          </cell>
          <cell r="B771">
            <v>315</v>
          </cell>
        </row>
        <row r="772">
          <cell r="A772">
            <v>43506</v>
          </cell>
          <cell r="B772">
            <v>316</v>
          </cell>
        </row>
        <row r="773">
          <cell r="A773">
            <v>43507</v>
          </cell>
          <cell r="B773">
            <v>317</v>
          </cell>
        </row>
        <row r="774">
          <cell r="A774">
            <v>43508</v>
          </cell>
          <cell r="B774">
            <v>318</v>
          </cell>
        </row>
        <row r="775">
          <cell r="A775">
            <v>43509</v>
          </cell>
          <cell r="B775">
            <v>319</v>
          </cell>
        </row>
        <row r="776">
          <cell r="A776">
            <v>43510</v>
          </cell>
          <cell r="B776">
            <v>320</v>
          </cell>
        </row>
        <row r="777">
          <cell r="A777">
            <v>43511</v>
          </cell>
          <cell r="B777">
            <v>321</v>
          </cell>
        </row>
        <row r="778">
          <cell r="A778">
            <v>43512</v>
          </cell>
          <cell r="B778">
            <v>322</v>
          </cell>
        </row>
        <row r="779">
          <cell r="A779">
            <v>43513</v>
          </cell>
          <cell r="B779">
            <v>323</v>
          </cell>
        </row>
        <row r="780">
          <cell r="A780">
            <v>43514</v>
          </cell>
          <cell r="B780">
            <v>324</v>
          </cell>
        </row>
        <row r="781">
          <cell r="A781">
            <v>43515</v>
          </cell>
          <cell r="B781">
            <v>325</v>
          </cell>
        </row>
        <row r="782">
          <cell r="A782">
            <v>43516</v>
          </cell>
          <cell r="B782">
            <v>326</v>
          </cell>
        </row>
        <row r="783">
          <cell r="A783">
            <v>43517</v>
          </cell>
          <cell r="B783">
            <v>327</v>
          </cell>
        </row>
        <row r="784">
          <cell r="A784">
            <v>43518</v>
          </cell>
          <cell r="B784">
            <v>328</v>
          </cell>
        </row>
        <row r="785">
          <cell r="A785">
            <v>43519</v>
          </cell>
          <cell r="B785">
            <v>329</v>
          </cell>
        </row>
        <row r="786">
          <cell r="A786">
            <v>43520</v>
          </cell>
          <cell r="B786">
            <v>330</v>
          </cell>
        </row>
        <row r="787">
          <cell r="A787">
            <v>43521</v>
          </cell>
          <cell r="B787">
            <v>331</v>
          </cell>
        </row>
        <row r="788">
          <cell r="A788">
            <v>43522</v>
          </cell>
          <cell r="B788">
            <v>332</v>
          </cell>
        </row>
        <row r="789">
          <cell r="A789">
            <v>43523</v>
          </cell>
          <cell r="B789">
            <v>333</v>
          </cell>
        </row>
        <row r="790">
          <cell r="A790">
            <v>43524</v>
          </cell>
          <cell r="B790">
            <v>334</v>
          </cell>
        </row>
        <row r="791">
          <cell r="A791">
            <v>43525</v>
          </cell>
          <cell r="B791">
            <v>335</v>
          </cell>
        </row>
        <row r="792">
          <cell r="A792">
            <v>43526</v>
          </cell>
          <cell r="B792">
            <v>336</v>
          </cell>
        </row>
        <row r="793">
          <cell r="A793">
            <v>43527</v>
          </cell>
          <cell r="B793">
            <v>337</v>
          </cell>
        </row>
        <row r="794">
          <cell r="A794">
            <v>43528</v>
          </cell>
          <cell r="B794">
            <v>338</v>
          </cell>
        </row>
        <row r="795">
          <cell r="A795">
            <v>43529</v>
          </cell>
          <cell r="B795">
            <v>339</v>
          </cell>
        </row>
        <row r="796">
          <cell r="A796">
            <v>43530</v>
          </cell>
          <cell r="B796">
            <v>340</v>
          </cell>
        </row>
        <row r="797">
          <cell r="A797">
            <v>43531</v>
          </cell>
          <cell r="B797">
            <v>341</v>
          </cell>
        </row>
        <row r="798">
          <cell r="A798">
            <v>43532</v>
          </cell>
          <cell r="B798">
            <v>342</v>
          </cell>
        </row>
        <row r="799">
          <cell r="A799">
            <v>43533</v>
          </cell>
          <cell r="B799">
            <v>343</v>
          </cell>
        </row>
        <row r="800">
          <cell r="A800">
            <v>43534</v>
          </cell>
          <cell r="B800">
            <v>344</v>
          </cell>
        </row>
        <row r="801">
          <cell r="A801">
            <v>43535</v>
          </cell>
          <cell r="B801">
            <v>345</v>
          </cell>
        </row>
        <row r="802">
          <cell r="A802">
            <v>43536</v>
          </cell>
          <cell r="B802">
            <v>346</v>
          </cell>
        </row>
        <row r="803">
          <cell r="A803">
            <v>43537</v>
          </cell>
          <cell r="B803">
            <v>347</v>
          </cell>
        </row>
        <row r="804">
          <cell r="A804">
            <v>43538</v>
          </cell>
          <cell r="B804">
            <v>348</v>
          </cell>
        </row>
        <row r="805">
          <cell r="A805">
            <v>43539</v>
          </cell>
          <cell r="B805">
            <v>349</v>
          </cell>
        </row>
        <row r="806">
          <cell r="A806">
            <v>43540</v>
          </cell>
          <cell r="B806">
            <v>350</v>
          </cell>
        </row>
        <row r="807">
          <cell r="A807">
            <v>43541</v>
          </cell>
          <cell r="B807">
            <v>351</v>
          </cell>
        </row>
        <row r="808">
          <cell r="A808">
            <v>43542</v>
          </cell>
          <cell r="B808">
            <v>352</v>
          </cell>
        </row>
        <row r="809">
          <cell r="A809">
            <v>43543</v>
          </cell>
          <cell r="B809">
            <v>353</v>
          </cell>
        </row>
        <row r="810">
          <cell r="A810">
            <v>43544</v>
          </cell>
          <cell r="B810">
            <v>354</v>
          </cell>
        </row>
        <row r="811">
          <cell r="A811">
            <v>43545</v>
          </cell>
          <cell r="B811">
            <v>355</v>
          </cell>
        </row>
        <row r="812">
          <cell r="A812">
            <v>43546</v>
          </cell>
          <cell r="B812">
            <v>356</v>
          </cell>
        </row>
        <row r="813">
          <cell r="A813">
            <v>43547</v>
          </cell>
          <cell r="B813">
            <v>357</v>
          </cell>
        </row>
        <row r="814">
          <cell r="A814">
            <v>43548</v>
          </cell>
          <cell r="B814">
            <v>358</v>
          </cell>
        </row>
        <row r="815">
          <cell r="A815">
            <v>43549</v>
          </cell>
          <cell r="B815">
            <v>359</v>
          </cell>
        </row>
        <row r="816">
          <cell r="A816">
            <v>43550</v>
          </cell>
          <cell r="B816">
            <v>360</v>
          </cell>
        </row>
        <row r="817">
          <cell r="A817">
            <v>43551</v>
          </cell>
          <cell r="B817">
            <v>361</v>
          </cell>
        </row>
        <row r="818">
          <cell r="A818">
            <v>43552</v>
          </cell>
          <cell r="B818">
            <v>362</v>
          </cell>
        </row>
        <row r="819">
          <cell r="A819">
            <v>43553</v>
          </cell>
          <cell r="B819">
            <v>363</v>
          </cell>
        </row>
        <row r="820">
          <cell r="A820">
            <v>43554</v>
          </cell>
          <cell r="B820">
            <v>364</v>
          </cell>
        </row>
        <row r="821">
          <cell r="A821">
            <v>43555</v>
          </cell>
          <cell r="B821">
            <v>365</v>
          </cell>
        </row>
        <row r="822">
          <cell r="A822">
            <v>43556</v>
          </cell>
          <cell r="B822">
            <v>1</v>
          </cell>
        </row>
        <row r="823">
          <cell r="A823">
            <v>43557</v>
          </cell>
          <cell r="B823">
            <v>2</v>
          </cell>
        </row>
        <row r="824">
          <cell r="A824">
            <v>43558</v>
          </cell>
          <cell r="B824">
            <v>3</v>
          </cell>
        </row>
        <row r="825">
          <cell r="A825">
            <v>43559</v>
          </cell>
          <cell r="B825">
            <v>4</v>
          </cell>
        </row>
        <row r="826">
          <cell r="A826">
            <v>43560</v>
          </cell>
          <cell r="B826">
            <v>5</v>
          </cell>
        </row>
        <row r="827">
          <cell r="A827">
            <v>43561</v>
          </cell>
          <cell r="B827">
            <v>6</v>
          </cell>
        </row>
        <row r="828">
          <cell r="A828">
            <v>43562</v>
          </cell>
          <cell r="B828">
            <v>7</v>
          </cell>
        </row>
        <row r="829">
          <cell r="A829">
            <v>43563</v>
          </cell>
          <cell r="B829">
            <v>8</v>
          </cell>
        </row>
        <row r="830">
          <cell r="A830">
            <v>43564</v>
          </cell>
          <cell r="B830">
            <v>9</v>
          </cell>
        </row>
        <row r="831">
          <cell r="A831">
            <v>43565</v>
          </cell>
          <cell r="B831">
            <v>10</v>
          </cell>
        </row>
        <row r="832">
          <cell r="A832">
            <v>43566</v>
          </cell>
          <cell r="B832">
            <v>11</v>
          </cell>
        </row>
        <row r="833">
          <cell r="A833">
            <v>43567</v>
          </cell>
          <cell r="B833">
            <v>12</v>
          </cell>
        </row>
        <row r="834">
          <cell r="A834">
            <v>43568</v>
          </cell>
          <cell r="B834">
            <v>13</v>
          </cell>
        </row>
        <row r="835">
          <cell r="A835">
            <v>43569</v>
          </cell>
          <cell r="B835">
            <v>14</v>
          </cell>
        </row>
        <row r="836">
          <cell r="A836">
            <v>43570</v>
          </cell>
          <cell r="B836">
            <v>15</v>
          </cell>
        </row>
        <row r="837">
          <cell r="A837">
            <v>43571</v>
          </cell>
          <cell r="B837">
            <v>16</v>
          </cell>
        </row>
        <row r="838">
          <cell r="A838">
            <v>43572</v>
          </cell>
          <cell r="B838">
            <v>17</v>
          </cell>
        </row>
        <row r="839">
          <cell r="A839">
            <v>43573</v>
          </cell>
          <cell r="B839">
            <v>18</v>
          </cell>
        </row>
        <row r="840">
          <cell r="A840">
            <v>43574</v>
          </cell>
          <cell r="B840">
            <v>19</v>
          </cell>
        </row>
        <row r="841">
          <cell r="A841">
            <v>43575</v>
          </cell>
          <cell r="B841">
            <v>20</v>
          </cell>
        </row>
        <row r="842">
          <cell r="A842">
            <v>43576</v>
          </cell>
          <cell r="B842">
            <v>21</v>
          </cell>
        </row>
        <row r="843">
          <cell r="A843">
            <v>43577</v>
          </cell>
          <cell r="B843">
            <v>22</v>
          </cell>
        </row>
        <row r="844">
          <cell r="A844">
            <v>43578</v>
          </cell>
          <cell r="B844">
            <v>23</v>
          </cell>
        </row>
        <row r="845">
          <cell r="A845">
            <v>43579</v>
          </cell>
          <cell r="B845">
            <v>24</v>
          </cell>
        </row>
        <row r="846">
          <cell r="A846">
            <v>43580</v>
          </cell>
          <cell r="B846">
            <v>25</v>
          </cell>
        </row>
        <row r="847">
          <cell r="A847">
            <v>43581</v>
          </cell>
          <cell r="B847">
            <v>26</v>
          </cell>
        </row>
        <row r="848">
          <cell r="A848">
            <v>43582</v>
          </cell>
          <cell r="B848">
            <v>27</v>
          </cell>
        </row>
        <row r="849">
          <cell r="A849">
            <v>43583</v>
          </cell>
          <cell r="B849">
            <v>28</v>
          </cell>
        </row>
        <row r="850">
          <cell r="A850">
            <v>43584</v>
          </cell>
          <cell r="B850">
            <v>29</v>
          </cell>
        </row>
        <row r="851">
          <cell r="A851">
            <v>43585</v>
          </cell>
          <cell r="B851">
            <v>30</v>
          </cell>
        </row>
        <row r="852">
          <cell r="A852">
            <v>43586</v>
          </cell>
          <cell r="B852">
            <v>31</v>
          </cell>
        </row>
        <row r="853">
          <cell r="A853">
            <v>43587</v>
          </cell>
          <cell r="B853">
            <v>32</v>
          </cell>
        </row>
        <row r="854">
          <cell r="A854">
            <v>43588</v>
          </cell>
          <cell r="B854">
            <v>33</v>
          </cell>
        </row>
        <row r="855">
          <cell r="A855">
            <v>43589</v>
          </cell>
          <cell r="B855">
            <v>34</v>
          </cell>
        </row>
        <row r="856">
          <cell r="A856">
            <v>43590</v>
          </cell>
          <cell r="B856">
            <v>35</v>
          </cell>
        </row>
        <row r="857">
          <cell r="A857">
            <v>43591</v>
          </cell>
          <cell r="B857">
            <v>36</v>
          </cell>
        </row>
        <row r="858">
          <cell r="A858">
            <v>43592</v>
          </cell>
          <cell r="B858">
            <v>37</v>
          </cell>
        </row>
        <row r="859">
          <cell r="A859">
            <v>43593</v>
          </cell>
          <cell r="B859">
            <v>38</v>
          </cell>
        </row>
        <row r="860">
          <cell r="A860">
            <v>43594</v>
          </cell>
          <cell r="B860">
            <v>39</v>
          </cell>
        </row>
        <row r="861">
          <cell r="A861">
            <v>43595</v>
          </cell>
          <cell r="B861">
            <v>40</v>
          </cell>
        </row>
        <row r="862">
          <cell r="A862">
            <v>43596</v>
          </cell>
          <cell r="B862">
            <v>41</v>
          </cell>
        </row>
        <row r="863">
          <cell r="A863">
            <v>43597</v>
          </cell>
          <cell r="B863">
            <v>42</v>
          </cell>
        </row>
        <row r="864">
          <cell r="A864">
            <v>43598</v>
          </cell>
          <cell r="B864">
            <v>43</v>
          </cell>
        </row>
        <row r="865">
          <cell r="A865">
            <v>43599</v>
          </cell>
          <cell r="B865">
            <v>44</v>
          </cell>
        </row>
        <row r="866">
          <cell r="A866">
            <v>43600</v>
          </cell>
          <cell r="B866">
            <v>45</v>
          </cell>
        </row>
        <row r="867">
          <cell r="A867">
            <v>43601</v>
          </cell>
          <cell r="B867">
            <v>46</v>
          </cell>
        </row>
        <row r="868">
          <cell r="A868">
            <v>43602</v>
          </cell>
          <cell r="B868">
            <v>47</v>
          </cell>
        </row>
        <row r="869">
          <cell r="A869">
            <v>43603</v>
          </cell>
          <cell r="B869">
            <v>48</v>
          </cell>
        </row>
        <row r="870">
          <cell r="A870">
            <v>43604</v>
          </cell>
          <cell r="B870">
            <v>49</v>
          </cell>
        </row>
        <row r="871">
          <cell r="A871">
            <v>43605</v>
          </cell>
          <cell r="B871">
            <v>50</v>
          </cell>
        </row>
        <row r="872">
          <cell r="A872">
            <v>43606</v>
          </cell>
          <cell r="B872">
            <v>51</v>
          </cell>
        </row>
        <row r="873">
          <cell r="A873">
            <v>43607</v>
          </cell>
          <cell r="B873">
            <v>52</v>
          </cell>
        </row>
        <row r="874">
          <cell r="A874">
            <v>43608</v>
          </cell>
          <cell r="B874">
            <v>53</v>
          </cell>
        </row>
        <row r="875">
          <cell r="A875">
            <v>43609</v>
          </cell>
          <cell r="B875">
            <v>54</v>
          </cell>
        </row>
        <row r="876">
          <cell r="A876">
            <v>43610</v>
          </cell>
          <cell r="B876">
            <v>55</v>
          </cell>
        </row>
        <row r="877">
          <cell r="A877">
            <v>43611</v>
          </cell>
          <cell r="B877">
            <v>56</v>
          </cell>
        </row>
        <row r="878">
          <cell r="A878">
            <v>43612</v>
          </cell>
          <cell r="B878">
            <v>57</v>
          </cell>
        </row>
        <row r="879">
          <cell r="A879">
            <v>43613</v>
          </cell>
          <cell r="B879">
            <v>58</v>
          </cell>
        </row>
        <row r="880">
          <cell r="A880">
            <v>43614</v>
          </cell>
          <cell r="B880">
            <v>59</v>
          </cell>
        </row>
        <row r="881">
          <cell r="A881">
            <v>43615</v>
          </cell>
          <cell r="B881">
            <v>60</v>
          </cell>
        </row>
        <row r="882">
          <cell r="A882">
            <v>43616</v>
          </cell>
          <cell r="B882">
            <v>61</v>
          </cell>
        </row>
        <row r="883">
          <cell r="A883">
            <v>43617</v>
          </cell>
          <cell r="B883">
            <v>62</v>
          </cell>
        </row>
        <row r="884">
          <cell r="A884">
            <v>43618</v>
          </cell>
          <cell r="B884">
            <v>63</v>
          </cell>
        </row>
        <row r="885">
          <cell r="A885">
            <v>43619</v>
          </cell>
          <cell r="B885">
            <v>64</v>
          </cell>
        </row>
        <row r="886">
          <cell r="A886">
            <v>43620</v>
          </cell>
          <cell r="B886">
            <v>65</v>
          </cell>
        </row>
        <row r="887">
          <cell r="A887">
            <v>43621</v>
          </cell>
          <cell r="B887">
            <v>66</v>
          </cell>
        </row>
        <row r="888">
          <cell r="A888">
            <v>43622</v>
          </cell>
          <cell r="B888">
            <v>67</v>
          </cell>
        </row>
        <row r="889">
          <cell r="A889">
            <v>43623</v>
          </cell>
          <cell r="B889">
            <v>68</v>
          </cell>
        </row>
        <row r="890">
          <cell r="A890">
            <v>43624</v>
          </cell>
          <cell r="B890">
            <v>69</v>
          </cell>
        </row>
        <row r="891">
          <cell r="A891">
            <v>43625</v>
          </cell>
          <cell r="B891">
            <v>70</v>
          </cell>
        </row>
        <row r="892">
          <cell r="A892">
            <v>43626</v>
          </cell>
          <cell r="B892">
            <v>71</v>
          </cell>
        </row>
        <row r="893">
          <cell r="A893">
            <v>43627</v>
          </cell>
          <cell r="B893">
            <v>72</v>
          </cell>
        </row>
        <row r="894">
          <cell r="A894">
            <v>43628</v>
          </cell>
          <cell r="B894">
            <v>73</v>
          </cell>
        </row>
        <row r="895">
          <cell r="A895">
            <v>43629</v>
          </cell>
          <cell r="B895">
            <v>74</v>
          </cell>
        </row>
        <row r="896">
          <cell r="A896">
            <v>43630</v>
          </cell>
          <cell r="B896">
            <v>75</v>
          </cell>
        </row>
        <row r="897">
          <cell r="A897">
            <v>43631</v>
          </cell>
          <cell r="B897">
            <v>76</v>
          </cell>
        </row>
        <row r="898">
          <cell r="A898">
            <v>43632</v>
          </cell>
          <cell r="B898">
            <v>77</v>
          </cell>
        </row>
        <row r="899">
          <cell r="A899">
            <v>43633</v>
          </cell>
          <cell r="B899">
            <v>78</v>
          </cell>
        </row>
        <row r="900">
          <cell r="A900">
            <v>43634</v>
          </cell>
          <cell r="B900">
            <v>79</v>
          </cell>
        </row>
        <row r="901">
          <cell r="A901">
            <v>43635</v>
          </cell>
          <cell r="B901">
            <v>80</v>
          </cell>
        </row>
        <row r="902">
          <cell r="A902">
            <v>43636</v>
          </cell>
          <cell r="B902">
            <v>81</v>
          </cell>
        </row>
        <row r="903">
          <cell r="A903">
            <v>43637</v>
          </cell>
          <cell r="B903">
            <v>82</v>
          </cell>
        </row>
        <row r="904">
          <cell r="A904">
            <v>43638</v>
          </cell>
          <cell r="B904">
            <v>83</v>
          </cell>
        </row>
        <row r="905">
          <cell r="A905">
            <v>43639</v>
          </cell>
          <cell r="B905">
            <v>84</v>
          </cell>
        </row>
        <row r="906">
          <cell r="A906">
            <v>43640</v>
          </cell>
          <cell r="B906">
            <v>85</v>
          </cell>
        </row>
        <row r="907">
          <cell r="A907">
            <v>43641</v>
          </cell>
          <cell r="B907">
            <v>86</v>
          </cell>
        </row>
        <row r="908">
          <cell r="A908">
            <v>43642</v>
          </cell>
          <cell r="B908">
            <v>87</v>
          </cell>
        </row>
        <row r="909">
          <cell r="A909">
            <v>43643</v>
          </cell>
          <cell r="B909">
            <v>88</v>
          </cell>
        </row>
        <row r="910">
          <cell r="A910">
            <v>43644</v>
          </cell>
          <cell r="B910">
            <v>89</v>
          </cell>
        </row>
        <row r="911">
          <cell r="A911">
            <v>43645</v>
          </cell>
          <cell r="B911">
            <v>90</v>
          </cell>
        </row>
        <row r="912">
          <cell r="A912">
            <v>43646</v>
          </cell>
          <cell r="B912">
            <v>91</v>
          </cell>
        </row>
        <row r="913">
          <cell r="A913">
            <v>43647</v>
          </cell>
          <cell r="B913">
            <v>92</v>
          </cell>
        </row>
        <row r="914">
          <cell r="A914">
            <v>43648</v>
          </cell>
          <cell r="B914">
            <v>93</v>
          </cell>
        </row>
        <row r="915">
          <cell r="A915">
            <v>43649</v>
          </cell>
          <cell r="B915">
            <v>94</v>
          </cell>
        </row>
        <row r="916">
          <cell r="A916">
            <v>43650</v>
          </cell>
          <cell r="B916">
            <v>95</v>
          </cell>
        </row>
        <row r="917">
          <cell r="A917">
            <v>43651</v>
          </cell>
          <cell r="B917">
            <v>96</v>
          </cell>
        </row>
        <row r="918">
          <cell r="A918">
            <v>43652</v>
          </cell>
          <cell r="B918">
            <v>97</v>
          </cell>
        </row>
        <row r="919">
          <cell r="A919">
            <v>43653</v>
          </cell>
          <cell r="B919">
            <v>98</v>
          </cell>
        </row>
        <row r="920">
          <cell r="A920">
            <v>43654</v>
          </cell>
          <cell r="B920">
            <v>99</v>
          </cell>
        </row>
        <row r="921">
          <cell r="A921">
            <v>43655</v>
          </cell>
          <cell r="B921">
            <v>100</v>
          </cell>
        </row>
        <row r="922">
          <cell r="A922">
            <v>43656</v>
          </cell>
          <cell r="B922">
            <v>101</v>
          </cell>
        </row>
        <row r="923">
          <cell r="A923">
            <v>43657</v>
          </cell>
          <cell r="B923">
            <v>102</v>
          </cell>
        </row>
        <row r="924">
          <cell r="A924">
            <v>43658</v>
          </cell>
          <cell r="B924">
            <v>103</v>
          </cell>
        </row>
        <row r="925">
          <cell r="A925">
            <v>43659</v>
          </cell>
          <cell r="B925">
            <v>104</v>
          </cell>
        </row>
        <row r="926">
          <cell r="A926">
            <v>43660</v>
          </cell>
          <cell r="B926">
            <v>105</v>
          </cell>
        </row>
        <row r="927">
          <cell r="A927">
            <v>43661</v>
          </cell>
          <cell r="B927">
            <v>106</v>
          </cell>
        </row>
        <row r="928">
          <cell r="A928">
            <v>43662</v>
          </cell>
          <cell r="B928">
            <v>107</v>
          </cell>
        </row>
        <row r="929">
          <cell r="A929">
            <v>43663</v>
          </cell>
          <cell r="B929">
            <v>108</v>
          </cell>
        </row>
        <row r="930">
          <cell r="A930">
            <v>43664</v>
          </cell>
          <cell r="B930">
            <v>109</v>
          </cell>
        </row>
        <row r="931">
          <cell r="A931">
            <v>43665</v>
          </cell>
          <cell r="B931">
            <v>110</v>
          </cell>
        </row>
        <row r="932">
          <cell r="A932">
            <v>43666</v>
          </cell>
          <cell r="B932">
            <v>111</v>
          </cell>
        </row>
        <row r="933">
          <cell r="A933">
            <v>43667</v>
          </cell>
          <cell r="B933">
            <v>112</v>
          </cell>
        </row>
        <row r="934">
          <cell r="A934">
            <v>43668</v>
          </cell>
          <cell r="B934">
            <v>113</v>
          </cell>
        </row>
        <row r="935">
          <cell r="A935">
            <v>43669</v>
          </cell>
          <cell r="B935">
            <v>114</v>
          </cell>
        </row>
        <row r="936">
          <cell r="A936">
            <v>43670</v>
          </cell>
          <cell r="B936">
            <v>115</v>
          </cell>
        </row>
        <row r="937">
          <cell r="A937">
            <v>43671</v>
          </cell>
          <cell r="B937">
            <v>116</v>
          </cell>
        </row>
        <row r="938">
          <cell r="A938">
            <v>43672</v>
          </cell>
          <cell r="B938">
            <v>117</v>
          </cell>
        </row>
        <row r="939">
          <cell r="A939">
            <v>43673</v>
          </cell>
          <cell r="B939">
            <v>118</v>
          </cell>
        </row>
        <row r="940">
          <cell r="A940">
            <v>43674</v>
          </cell>
          <cell r="B940">
            <v>119</v>
          </cell>
        </row>
        <row r="941">
          <cell r="A941">
            <v>43675</v>
          </cell>
          <cell r="B941">
            <v>120</v>
          </cell>
        </row>
        <row r="942">
          <cell r="A942">
            <v>43676</v>
          </cell>
          <cell r="B942">
            <v>121</v>
          </cell>
        </row>
        <row r="943">
          <cell r="A943">
            <v>43677</v>
          </cell>
          <cell r="B943">
            <v>122</v>
          </cell>
        </row>
        <row r="944">
          <cell r="A944">
            <v>43678</v>
          </cell>
          <cell r="B944">
            <v>123</v>
          </cell>
        </row>
        <row r="945">
          <cell r="A945">
            <v>43679</v>
          </cell>
          <cell r="B945">
            <v>124</v>
          </cell>
        </row>
        <row r="946">
          <cell r="A946">
            <v>43680</v>
          </cell>
          <cell r="B946">
            <v>125</v>
          </cell>
        </row>
        <row r="947">
          <cell r="A947">
            <v>43681</v>
          </cell>
          <cell r="B947">
            <v>126</v>
          </cell>
        </row>
        <row r="948">
          <cell r="A948">
            <v>43682</v>
          </cell>
          <cell r="B948">
            <v>127</v>
          </cell>
        </row>
        <row r="949">
          <cell r="A949">
            <v>43683</v>
          </cell>
          <cell r="B949">
            <v>128</v>
          </cell>
        </row>
        <row r="950">
          <cell r="A950">
            <v>43684</v>
          </cell>
          <cell r="B950">
            <v>129</v>
          </cell>
        </row>
        <row r="951">
          <cell r="A951">
            <v>43685</v>
          </cell>
          <cell r="B951">
            <v>130</v>
          </cell>
        </row>
        <row r="952">
          <cell r="A952">
            <v>43686</v>
          </cell>
          <cell r="B952">
            <v>131</v>
          </cell>
        </row>
        <row r="953">
          <cell r="A953">
            <v>43687</v>
          </cell>
          <cell r="B953">
            <v>132</v>
          </cell>
        </row>
        <row r="954">
          <cell r="A954">
            <v>43688</v>
          </cell>
          <cell r="B954">
            <v>133</v>
          </cell>
        </row>
        <row r="955">
          <cell r="A955">
            <v>43689</v>
          </cell>
          <cell r="B955">
            <v>134</v>
          </cell>
        </row>
        <row r="956">
          <cell r="A956">
            <v>43690</v>
          </cell>
          <cell r="B956">
            <v>135</v>
          </cell>
        </row>
        <row r="957">
          <cell r="A957">
            <v>43691</v>
          </cell>
          <cell r="B957">
            <v>136</v>
          </cell>
        </row>
        <row r="958">
          <cell r="A958">
            <v>43692</v>
          </cell>
          <cell r="B958">
            <v>137</v>
          </cell>
        </row>
        <row r="959">
          <cell r="A959">
            <v>43693</v>
          </cell>
          <cell r="B959">
            <v>138</v>
          </cell>
        </row>
        <row r="960">
          <cell r="A960">
            <v>43694</v>
          </cell>
          <cell r="B960">
            <v>139</v>
          </cell>
        </row>
        <row r="961">
          <cell r="A961">
            <v>43695</v>
          </cell>
          <cell r="B961">
            <v>140</v>
          </cell>
        </row>
        <row r="962">
          <cell r="A962">
            <v>43696</v>
          </cell>
          <cell r="B962">
            <v>141</v>
          </cell>
        </row>
        <row r="963">
          <cell r="A963">
            <v>43697</v>
          </cell>
          <cell r="B963">
            <v>142</v>
          </cell>
        </row>
        <row r="964">
          <cell r="A964">
            <v>43698</v>
          </cell>
          <cell r="B964">
            <v>143</v>
          </cell>
        </row>
        <row r="965">
          <cell r="A965">
            <v>43699</v>
          </cell>
          <cell r="B965">
            <v>144</v>
          </cell>
        </row>
        <row r="966">
          <cell r="A966">
            <v>43700</v>
          </cell>
          <cell r="B966">
            <v>145</v>
          </cell>
        </row>
        <row r="967">
          <cell r="A967">
            <v>43701</v>
          </cell>
          <cell r="B967">
            <v>146</v>
          </cell>
        </row>
        <row r="968">
          <cell r="A968">
            <v>43702</v>
          </cell>
          <cell r="B968">
            <v>147</v>
          </cell>
        </row>
        <row r="969">
          <cell r="A969">
            <v>43703</v>
          </cell>
          <cell r="B969">
            <v>148</v>
          </cell>
        </row>
        <row r="970">
          <cell r="A970">
            <v>43704</v>
          </cell>
          <cell r="B970">
            <v>149</v>
          </cell>
        </row>
        <row r="971">
          <cell r="A971">
            <v>43705</v>
          </cell>
          <cell r="B971">
            <v>150</v>
          </cell>
        </row>
        <row r="972">
          <cell r="A972">
            <v>43706</v>
          </cell>
          <cell r="B972">
            <v>151</v>
          </cell>
        </row>
        <row r="973">
          <cell r="A973">
            <v>43707</v>
          </cell>
          <cell r="B973">
            <v>152</v>
          </cell>
        </row>
        <row r="974">
          <cell r="A974">
            <v>43708</v>
          </cell>
          <cell r="B974">
            <v>153</v>
          </cell>
        </row>
        <row r="975">
          <cell r="A975">
            <v>43709</v>
          </cell>
          <cell r="B975">
            <v>154</v>
          </cell>
        </row>
        <row r="976">
          <cell r="A976">
            <v>43710</v>
          </cell>
          <cell r="B976">
            <v>155</v>
          </cell>
        </row>
        <row r="977">
          <cell r="A977">
            <v>43711</v>
          </cell>
          <cell r="B977">
            <v>156</v>
          </cell>
        </row>
        <row r="978">
          <cell r="A978">
            <v>43712</v>
          </cell>
          <cell r="B978">
            <v>157</v>
          </cell>
        </row>
        <row r="979">
          <cell r="A979">
            <v>43713</v>
          </cell>
          <cell r="B979">
            <v>158</v>
          </cell>
        </row>
        <row r="980">
          <cell r="A980">
            <v>43714</v>
          </cell>
          <cell r="B980">
            <v>159</v>
          </cell>
        </row>
        <row r="981">
          <cell r="A981">
            <v>43715</v>
          </cell>
          <cell r="B981">
            <v>160</v>
          </cell>
        </row>
        <row r="982">
          <cell r="A982">
            <v>43716</v>
          </cell>
          <cell r="B982">
            <v>161</v>
          </cell>
        </row>
        <row r="983">
          <cell r="A983">
            <v>43717</v>
          </cell>
          <cell r="B983">
            <v>162</v>
          </cell>
        </row>
        <row r="984">
          <cell r="A984">
            <v>43718</v>
          </cell>
          <cell r="B984">
            <v>163</v>
          </cell>
        </row>
        <row r="985">
          <cell r="A985">
            <v>43719</v>
          </cell>
          <cell r="B985">
            <v>164</v>
          </cell>
        </row>
        <row r="986">
          <cell r="A986">
            <v>43720</v>
          </cell>
          <cell r="B986">
            <v>165</v>
          </cell>
        </row>
        <row r="987">
          <cell r="A987">
            <v>43721</v>
          </cell>
          <cell r="B987">
            <v>166</v>
          </cell>
        </row>
        <row r="988">
          <cell r="A988">
            <v>43722</v>
          </cell>
          <cell r="B988">
            <v>167</v>
          </cell>
        </row>
        <row r="989">
          <cell r="A989">
            <v>43723</v>
          </cell>
          <cell r="B989">
            <v>168</v>
          </cell>
        </row>
        <row r="990">
          <cell r="A990">
            <v>43724</v>
          </cell>
          <cell r="B990">
            <v>169</v>
          </cell>
        </row>
        <row r="991">
          <cell r="A991">
            <v>43725</v>
          </cell>
          <cell r="B991">
            <v>170</v>
          </cell>
        </row>
        <row r="992">
          <cell r="A992">
            <v>43726</v>
          </cell>
          <cell r="B992">
            <v>171</v>
          </cell>
        </row>
        <row r="993">
          <cell r="A993">
            <v>43727</v>
          </cell>
          <cell r="B993">
            <v>172</v>
          </cell>
        </row>
        <row r="994">
          <cell r="A994">
            <v>43728</v>
          </cell>
          <cell r="B994">
            <v>173</v>
          </cell>
        </row>
        <row r="995">
          <cell r="A995">
            <v>43729</v>
          </cell>
          <cell r="B995">
            <v>174</v>
          </cell>
        </row>
        <row r="996">
          <cell r="A996">
            <v>43730</v>
          </cell>
          <cell r="B996">
            <v>175</v>
          </cell>
        </row>
        <row r="997">
          <cell r="A997">
            <v>43731</v>
          </cell>
          <cell r="B997">
            <v>176</v>
          </cell>
        </row>
        <row r="998">
          <cell r="A998">
            <v>43732</v>
          </cell>
          <cell r="B998">
            <v>177</v>
          </cell>
        </row>
        <row r="999">
          <cell r="A999">
            <v>43733</v>
          </cell>
          <cell r="B999">
            <v>178</v>
          </cell>
        </row>
        <row r="1000">
          <cell r="A1000">
            <v>43734</v>
          </cell>
          <cell r="B1000">
            <v>179</v>
          </cell>
        </row>
        <row r="1001">
          <cell r="A1001">
            <v>43735</v>
          </cell>
          <cell r="B1001">
            <v>180</v>
          </cell>
        </row>
        <row r="1002">
          <cell r="A1002">
            <v>43736</v>
          </cell>
          <cell r="B1002">
            <v>181</v>
          </cell>
        </row>
        <row r="1003">
          <cell r="A1003">
            <v>43737</v>
          </cell>
          <cell r="B1003">
            <v>182</v>
          </cell>
        </row>
        <row r="1004">
          <cell r="A1004">
            <v>43738</v>
          </cell>
          <cell r="B1004">
            <v>183</v>
          </cell>
        </row>
        <row r="1005">
          <cell r="A1005">
            <v>43739</v>
          </cell>
          <cell r="B1005">
            <v>184</v>
          </cell>
        </row>
        <row r="1006">
          <cell r="A1006">
            <v>43740</v>
          </cell>
          <cell r="B1006">
            <v>185</v>
          </cell>
        </row>
        <row r="1007">
          <cell r="A1007">
            <v>43741</v>
          </cell>
          <cell r="B1007">
            <v>186</v>
          </cell>
        </row>
        <row r="1008">
          <cell r="A1008">
            <v>43742</v>
          </cell>
          <cell r="B1008">
            <v>187</v>
          </cell>
        </row>
        <row r="1009">
          <cell r="A1009">
            <v>43743</v>
          </cell>
          <cell r="B1009">
            <v>188</v>
          </cell>
        </row>
        <row r="1010">
          <cell r="A1010">
            <v>43744</v>
          </cell>
          <cell r="B1010">
            <v>189</v>
          </cell>
        </row>
        <row r="1011">
          <cell r="A1011">
            <v>43745</v>
          </cell>
          <cell r="B1011">
            <v>190</v>
          </cell>
        </row>
        <row r="1012">
          <cell r="A1012">
            <v>43746</v>
          </cell>
          <cell r="B1012">
            <v>191</v>
          </cell>
        </row>
        <row r="1013">
          <cell r="A1013">
            <v>43747</v>
          </cell>
          <cell r="B1013">
            <v>192</v>
          </cell>
        </row>
        <row r="1014">
          <cell r="A1014">
            <v>43748</v>
          </cell>
          <cell r="B1014">
            <v>193</v>
          </cell>
        </row>
        <row r="1015">
          <cell r="A1015">
            <v>43749</v>
          </cell>
          <cell r="B1015">
            <v>194</v>
          </cell>
        </row>
        <row r="1016">
          <cell r="A1016">
            <v>43750</v>
          </cell>
          <cell r="B1016">
            <v>195</v>
          </cell>
        </row>
        <row r="1017">
          <cell r="A1017">
            <v>43751</v>
          </cell>
          <cell r="B1017">
            <v>196</v>
          </cell>
        </row>
        <row r="1018">
          <cell r="A1018">
            <v>43752</v>
          </cell>
          <cell r="B1018">
            <v>197</v>
          </cell>
        </row>
        <row r="1019">
          <cell r="A1019">
            <v>43753</v>
          </cell>
          <cell r="B1019">
            <v>198</v>
          </cell>
        </row>
        <row r="1020">
          <cell r="A1020">
            <v>43754</v>
          </cell>
          <cell r="B1020">
            <v>199</v>
          </cell>
        </row>
        <row r="1021">
          <cell r="A1021">
            <v>43755</v>
          </cell>
          <cell r="B1021">
            <v>200</v>
          </cell>
        </row>
        <row r="1022">
          <cell r="A1022">
            <v>43756</v>
          </cell>
          <cell r="B1022">
            <v>201</v>
          </cell>
        </row>
        <row r="1023">
          <cell r="A1023">
            <v>43757</v>
          </cell>
          <cell r="B1023">
            <v>202</v>
          </cell>
        </row>
        <row r="1024">
          <cell r="A1024">
            <v>43758</v>
          </cell>
          <cell r="B1024">
            <v>203</v>
          </cell>
        </row>
        <row r="1025">
          <cell r="A1025">
            <v>43759</v>
          </cell>
          <cell r="B1025">
            <v>204</v>
          </cell>
        </row>
        <row r="1026">
          <cell r="A1026">
            <v>43760</v>
          </cell>
          <cell r="B1026">
            <v>205</v>
          </cell>
        </row>
        <row r="1027">
          <cell r="A1027">
            <v>43761</v>
          </cell>
          <cell r="B1027">
            <v>206</v>
          </cell>
        </row>
        <row r="1028">
          <cell r="A1028">
            <v>43762</v>
          </cell>
          <cell r="B1028">
            <v>207</v>
          </cell>
        </row>
        <row r="1029">
          <cell r="A1029">
            <v>43763</v>
          </cell>
          <cell r="B1029">
            <v>208</v>
          </cell>
        </row>
        <row r="1030">
          <cell r="A1030">
            <v>43764</v>
          </cell>
          <cell r="B1030">
            <v>209</v>
          </cell>
        </row>
        <row r="1031">
          <cell r="A1031">
            <v>43765</v>
          </cell>
          <cell r="B1031">
            <v>210</v>
          </cell>
        </row>
        <row r="1032">
          <cell r="A1032">
            <v>43766</v>
          </cell>
          <cell r="B1032">
            <v>211</v>
          </cell>
        </row>
        <row r="1033">
          <cell r="A1033">
            <v>43767</v>
          </cell>
          <cell r="B1033">
            <v>212</v>
          </cell>
        </row>
        <row r="1034">
          <cell r="A1034">
            <v>43768</v>
          </cell>
          <cell r="B1034">
            <v>213</v>
          </cell>
        </row>
        <row r="1035">
          <cell r="A1035">
            <v>43769</v>
          </cell>
          <cell r="B1035">
            <v>214</v>
          </cell>
        </row>
        <row r="1036">
          <cell r="A1036">
            <v>43770</v>
          </cell>
          <cell r="B1036">
            <v>215</v>
          </cell>
        </row>
        <row r="1037">
          <cell r="A1037">
            <v>43771</v>
          </cell>
          <cell r="B1037">
            <v>216</v>
          </cell>
        </row>
        <row r="1038">
          <cell r="A1038">
            <v>43772</v>
          </cell>
          <cell r="B1038">
            <v>217</v>
          </cell>
        </row>
        <row r="1039">
          <cell r="A1039">
            <v>43773</v>
          </cell>
          <cell r="B1039">
            <v>218</v>
          </cell>
        </row>
        <row r="1040">
          <cell r="A1040">
            <v>43774</v>
          </cell>
          <cell r="B1040">
            <v>219</v>
          </cell>
        </row>
        <row r="1041">
          <cell r="A1041">
            <v>43775</v>
          </cell>
          <cell r="B1041">
            <v>220</v>
          </cell>
        </row>
        <row r="1042">
          <cell r="A1042">
            <v>43776</v>
          </cell>
          <cell r="B1042">
            <v>221</v>
          </cell>
        </row>
        <row r="1043">
          <cell r="A1043">
            <v>43777</v>
          </cell>
          <cell r="B1043">
            <v>222</v>
          </cell>
        </row>
        <row r="1044">
          <cell r="A1044">
            <v>43778</v>
          </cell>
          <cell r="B1044">
            <v>223</v>
          </cell>
        </row>
        <row r="1045">
          <cell r="A1045">
            <v>43779</v>
          </cell>
          <cell r="B1045">
            <v>224</v>
          </cell>
        </row>
        <row r="1046">
          <cell r="A1046">
            <v>43780</v>
          </cell>
          <cell r="B1046">
            <v>225</v>
          </cell>
        </row>
        <row r="1047">
          <cell r="A1047">
            <v>43781</v>
          </cell>
          <cell r="B1047">
            <v>226</v>
          </cell>
        </row>
        <row r="1048">
          <cell r="A1048">
            <v>43782</v>
          </cell>
          <cell r="B1048">
            <v>227</v>
          </cell>
        </row>
        <row r="1049">
          <cell r="A1049">
            <v>43783</v>
          </cell>
          <cell r="B1049">
            <v>228</v>
          </cell>
        </row>
        <row r="1050">
          <cell r="A1050">
            <v>43784</v>
          </cell>
          <cell r="B1050">
            <v>229</v>
          </cell>
        </row>
        <row r="1051">
          <cell r="A1051">
            <v>43785</v>
          </cell>
          <cell r="B1051">
            <v>230</v>
          </cell>
        </row>
        <row r="1052">
          <cell r="A1052">
            <v>43786</v>
          </cell>
          <cell r="B1052">
            <v>231</v>
          </cell>
        </row>
        <row r="1053">
          <cell r="A1053">
            <v>43787</v>
          </cell>
          <cell r="B1053">
            <v>232</v>
          </cell>
        </row>
        <row r="1054">
          <cell r="A1054">
            <v>43788</v>
          </cell>
          <cell r="B1054">
            <v>233</v>
          </cell>
        </row>
        <row r="1055">
          <cell r="A1055">
            <v>43789</v>
          </cell>
          <cell r="B1055">
            <v>234</v>
          </cell>
        </row>
        <row r="1056">
          <cell r="A1056">
            <v>43790</v>
          </cell>
          <cell r="B1056">
            <v>235</v>
          </cell>
        </row>
        <row r="1057">
          <cell r="A1057">
            <v>43791</v>
          </cell>
          <cell r="B1057">
            <v>236</v>
          </cell>
        </row>
        <row r="1058">
          <cell r="A1058">
            <v>43792</v>
          </cell>
          <cell r="B1058">
            <v>237</v>
          </cell>
        </row>
        <row r="1059">
          <cell r="A1059">
            <v>43793</v>
          </cell>
          <cell r="B1059">
            <v>238</v>
          </cell>
        </row>
        <row r="1060">
          <cell r="A1060">
            <v>43794</v>
          </cell>
          <cell r="B1060">
            <v>239</v>
          </cell>
        </row>
        <row r="1061">
          <cell r="A1061">
            <v>43795</v>
          </cell>
          <cell r="B1061">
            <v>240</v>
          </cell>
        </row>
        <row r="1062">
          <cell r="A1062">
            <v>43796</v>
          </cell>
          <cell r="B1062">
            <v>241</v>
          </cell>
        </row>
        <row r="1063">
          <cell r="A1063">
            <v>43797</v>
          </cell>
          <cell r="B1063">
            <v>242</v>
          </cell>
        </row>
        <row r="1064">
          <cell r="A1064">
            <v>43798</v>
          </cell>
          <cell r="B1064">
            <v>243</v>
          </cell>
        </row>
        <row r="1065">
          <cell r="A1065">
            <v>43799</v>
          </cell>
          <cell r="B1065">
            <v>244</v>
          </cell>
        </row>
        <row r="1066">
          <cell r="A1066">
            <v>43800</v>
          </cell>
          <cell r="B1066">
            <v>245</v>
          </cell>
        </row>
        <row r="1067">
          <cell r="A1067">
            <v>43801</v>
          </cell>
          <cell r="B1067">
            <v>246</v>
          </cell>
        </row>
        <row r="1068">
          <cell r="A1068">
            <v>43802</v>
          </cell>
          <cell r="B1068">
            <v>247</v>
          </cell>
        </row>
        <row r="1069">
          <cell r="A1069">
            <v>43803</v>
          </cell>
          <cell r="B1069">
            <v>248</v>
          </cell>
        </row>
        <row r="1070">
          <cell r="A1070">
            <v>43804</v>
          </cell>
          <cell r="B1070">
            <v>249</v>
          </cell>
        </row>
        <row r="1071">
          <cell r="A1071">
            <v>43805</v>
          </cell>
          <cell r="B1071">
            <v>250</v>
          </cell>
        </row>
        <row r="1072">
          <cell r="A1072">
            <v>43806</v>
          </cell>
          <cell r="B1072">
            <v>251</v>
          </cell>
        </row>
        <row r="1073">
          <cell r="A1073">
            <v>43807</v>
          </cell>
          <cell r="B1073">
            <v>252</v>
          </cell>
        </row>
        <row r="1074">
          <cell r="A1074">
            <v>43808</v>
          </cell>
          <cell r="B1074">
            <v>253</v>
          </cell>
        </row>
        <row r="1075">
          <cell r="A1075">
            <v>43809</v>
          </cell>
          <cell r="B1075">
            <v>254</v>
          </cell>
        </row>
        <row r="1076">
          <cell r="A1076">
            <v>43810</v>
          </cell>
          <cell r="B1076">
            <v>255</v>
          </cell>
        </row>
        <row r="1077">
          <cell r="A1077">
            <v>43811</v>
          </cell>
          <cell r="B1077">
            <v>256</v>
          </cell>
        </row>
        <row r="1078">
          <cell r="A1078">
            <v>43812</v>
          </cell>
          <cell r="B1078">
            <v>257</v>
          </cell>
        </row>
        <row r="1079">
          <cell r="A1079">
            <v>43813</v>
          </cell>
          <cell r="B1079">
            <v>258</v>
          </cell>
        </row>
        <row r="1080">
          <cell r="A1080">
            <v>43814</v>
          </cell>
          <cell r="B1080">
            <v>259</v>
          </cell>
        </row>
        <row r="1081">
          <cell r="A1081">
            <v>43815</v>
          </cell>
          <cell r="B1081">
            <v>260</v>
          </cell>
        </row>
        <row r="1082">
          <cell r="A1082">
            <v>43816</v>
          </cell>
          <cell r="B1082">
            <v>261</v>
          </cell>
        </row>
        <row r="1083">
          <cell r="A1083">
            <v>43817</v>
          </cell>
          <cell r="B1083">
            <v>262</v>
          </cell>
        </row>
        <row r="1084">
          <cell r="A1084">
            <v>43818</v>
          </cell>
          <cell r="B1084">
            <v>263</v>
          </cell>
        </row>
        <row r="1085">
          <cell r="A1085">
            <v>43819</v>
          </cell>
          <cell r="B1085">
            <v>264</v>
          </cell>
        </row>
        <row r="1086">
          <cell r="A1086">
            <v>43820</v>
          </cell>
          <cell r="B1086">
            <v>265</v>
          </cell>
        </row>
        <row r="1087">
          <cell r="A1087">
            <v>43821</v>
          </cell>
          <cell r="B1087">
            <v>266</v>
          </cell>
        </row>
        <row r="1088">
          <cell r="A1088">
            <v>43822</v>
          </cell>
          <cell r="B1088">
            <v>267</v>
          </cell>
        </row>
        <row r="1089">
          <cell r="A1089">
            <v>43823</v>
          </cell>
          <cell r="B1089">
            <v>268</v>
          </cell>
        </row>
        <row r="1090">
          <cell r="A1090">
            <v>43824</v>
          </cell>
          <cell r="B1090">
            <v>269</v>
          </cell>
        </row>
        <row r="1091">
          <cell r="A1091">
            <v>43825</v>
          </cell>
          <cell r="B1091">
            <v>270</v>
          </cell>
        </row>
        <row r="1092">
          <cell r="A1092">
            <v>43826</v>
          </cell>
          <cell r="B1092">
            <v>271</v>
          </cell>
        </row>
        <row r="1093">
          <cell r="A1093">
            <v>43827</v>
          </cell>
          <cell r="B1093">
            <v>272</v>
          </cell>
        </row>
        <row r="1094">
          <cell r="A1094">
            <v>43828</v>
          </cell>
          <cell r="B1094">
            <v>273</v>
          </cell>
        </row>
        <row r="1095">
          <cell r="A1095">
            <v>43829</v>
          </cell>
          <cell r="B1095">
            <v>274</v>
          </cell>
        </row>
        <row r="1096">
          <cell r="A1096">
            <v>43830</v>
          </cell>
          <cell r="B1096">
            <v>275</v>
          </cell>
        </row>
        <row r="1097">
          <cell r="A1097">
            <v>43831</v>
          </cell>
          <cell r="B1097">
            <v>276</v>
          </cell>
        </row>
        <row r="1098">
          <cell r="A1098">
            <v>43832</v>
          </cell>
          <cell r="B1098">
            <v>277</v>
          </cell>
        </row>
        <row r="1099">
          <cell r="A1099">
            <v>43833</v>
          </cell>
          <cell r="B1099">
            <v>278</v>
          </cell>
        </row>
        <row r="1100">
          <cell r="A1100">
            <v>43834</v>
          </cell>
          <cell r="B1100">
            <v>279</v>
          </cell>
        </row>
        <row r="1101">
          <cell r="A1101">
            <v>43835</v>
          </cell>
          <cell r="B1101">
            <v>280</v>
          </cell>
        </row>
        <row r="1102">
          <cell r="A1102">
            <v>43836</v>
          </cell>
          <cell r="B1102">
            <v>281</v>
          </cell>
        </row>
        <row r="1103">
          <cell r="A1103">
            <v>43837</v>
          </cell>
          <cell r="B1103">
            <v>282</v>
          </cell>
        </row>
        <row r="1104">
          <cell r="A1104">
            <v>43838</v>
          </cell>
          <cell r="B1104">
            <v>283</v>
          </cell>
        </row>
        <row r="1105">
          <cell r="A1105">
            <v>43839</v>
          </cell>
          <cell r="B1105">
            <v>284</v>
          </cell>
        </row>
        <row r="1106">
          <cell r="A1106">
            <v>43840</v>
          </cell>
          <cell r="B1106">
            <v>285</v>
          </cell>
        </row>
        <row r="1107">
          <cell r="A1107">
            <v>43841</v>
          </cell>
          <cell r="B1107">
            <v>286</v>
          </cell>
        </row>
        <row r="1108">
          <cell r="A1108">
            <v>43842</v>
          </cell>
          <cell r="B1108">
            <v>287</v>
          </cell>
        </row>
        <row r="1109">
          <cell r="A1109">
            <v>43843</v>
          </cell>
          <cell r="B1109">
            <v>288</v>
          </cell>
        </row>
        <row r="1110">
          <cell r="A1110">
            <v>43844</v>
          </cell>
          <cell r="B1110">
            <v>289</v>
          </cell>
        </row>
        <row r="1111">
          <cell r="A1111">
            <v>43845</v>
          </cell>
          <cell r="B1111">
            <v>290</v>
          </cell>
        </row>
        <row r="1112">
          <cell r="A1112">
            <v>43846</v>
          </cell>
          <cell r="B1112">
            <v>291</v>
          </cell>
        </row>
        <row r="1113">
          <cell r="A1113">
            <v>43847</v>
          </cell>
          <cell r="B1113">
            <v>292</v>
          </cell>
        </row>
        <row r="1114">
          <cell r="A1114">
            <v>43848</v>
          </cell>
          <cell r="B1114">
            <v>293</v>
          </cell>
        </row>
        <row r="1115">
          <cell r="A1115">
            <v>43849</v>
          </cell>
          <cell r="B1115">
            <v>294</v>
          </cell>
        </row>
        <row r="1116">
          <cell r="A1116">
            <v>43850</v>
          </cell>
          <cell r="B1116">
            <v>295</v>
          </cell>
        </row>
        <row r="1117">
          <cell r="A1117">
            <v>43851</v>
          </cell>
          <cell r="B1117">
            <v>296</v>
          </cell>
        </row>
        <row r="1118">
          <cell r="A1118">
            <v>43852</v>
          </cell>
          <cell r="B1118">
            <v>297</v>
          </cell>
        </row>
        <row r="1119">
          <cell r="A1119">
            <v>43853</v>
          </cell>
          <cell r="B1119">
            <v>298</v>
          </cell>
        </row>
        <row r="1120">
          <cell r="A1120">
            <v>43854</v>
          </cell>
          <cell r="B1120">
            <v>299</v>
          </cell>
        </row>
        <row r="1121">
          <cell r="A1121">
            <v>43855</v>
          </cell>
          <cell r="B1121">
            <v>300</v>
          </cell>
        </row>
        <row r="1122">
          <cell r="A1122">
            <v>43856</v>
          </cell>
          <cell r="B1122">
            <v>301</v>
          </cell>
        </row>
        <row r="1123">
          <cell r="A1123">
            <v>43857</v>
          </cell>
          <cell r="B1123">
            <v>302</v>
          </cell>
        </row>
        <row r="1124">
          <cell r="A1124">
            <v>43858</v>
          </cell>
          <cell r="B1124">
            <v>303</v>
          </cell>
        </row>
        <row r="1125">
          <cell r="A1125">
            <v>43859</v>
          </cell>
          <cell r="B1125">
            <v>304</v>
          </cell>
        </row>
        <row r="1126">
          <cell r="A1126">
            <v>43860</v>
          </cell>
          <cell r="B1126">
            <v>305</v>
          </cell>
        </row>
        <row r="1127">
          <cell r="A1127">
            <v>43861</v>
          </cell>
          <cell r="B1127">
            <v>306</v>
          </cell>
        </row>
        <row r="1128">
          <cell r="A1128">
            <v>43862</v>
          </cell>
          <cell r="B1128">
            <v>307</v>
          </cell>
        </row>
        <row r="1129">
          <cell r="A1129">
            <v>43863</v>
          </cell>
          <cell r="B1129">
            <v>308</v>
          </cell>
        </row>
        <row r="1130">
          <cell r="A1130">
            <v>43864</v>
          </cell>
          <cell r="B1130">
            <v>309</v>
          </cell>
        </row>
        <row r="1131">
          <cell r="A1131">
            <v>43865</v>
          </cell>
          <cell r="B1131">
            <v>310</v>
          </cell>
        </row>
        <row r="1132">
          <cell r="A1132">
            <v>43866</v>
          </cell>
          <cell r="B1132">
            <v>311</v>
          </cell>
        </row>
        <row r="1133">
          <cell r="A1133">
            <v>43867</v>
          </cell>
          <cell r="B1133">
            <v>312</v>
          </cell>
        </row>
        <row r="1134">
          <cell r="A1134">
            <v>43868</v>
          </cell>
          <cell r="B1134">
            <v>313</v>
          </cell>
        </row>
        <row r="1135">
          <cell r="A1135">
            <v>43869</v>
          </cell>
          <cell r="B1135">
            <v>314</v>
          </cell>
        </row>
        <row r="1136">
          <cell r="A1136">
            <v>43870</v>
          </cell>
          <cell r="B1136">
            <v>315</v>
          </cell>
        </row>
        <row r="1137">
          <cell r="A1137">
            <v>43871</v>
          </cell>
          <cell r="B1137">
            <v>316</v>
          </cell>
        </row>
        <row r="1138">
          <cell r="A1138">
            <v>43872</v>
          </cell>
          <cell r="B1138">
            <v>317</v>
          </cell>
        </row>
        <row r="1139">
          <cell r="A1139">
            <v>43873</v>
          </cell>
          <cell r="B1139">
            <v>318</v>
          </cell>
        </row>
        <row r="1140">
          <cell r="A1140">
            <v>43874</v>
          </cell>
          <cell r="B1140">
            <v>319</v>
          </cell>
        </row>
        <row r="1141">
          <cell r="A1141">
            <v>43875</v>
          </cell>
          <cell r="B1141">
            <v>320</v>
          </cell>
        </row>
        <row r="1142">
          <cell r="A1142">
            <v>43876</v>
          </cell>
          <cell r="B1142">
            <v>321</v>
          </cell>
        </row>
        <row r="1143">
          <cell r="A1143">
            <v>43877</v>
          </cell>
          <cell r="B1143">
            <v>322</v>
          </cell>
        </row>
        <row r="1144">
          <cell r="A1144">
            <v>43878</v>
          </cell>
          <cell r="B1144">
            <v>323</v>
          </cell>
        </row>
        <row r="1145">
          <cell r="A1145">
            <v>43879</v>
          </cell>
          <cell r="B1145">
            <v>324</v>
          </cell>
        </row>
        <row r="1146">
          <cell r="A1146">
            <v>43880</v>
          </cell>
          <cell r="B1146">
            <v>325</v>
          </cell>
        </row>
        <row r="1147">
          <cell r="A1147">
            <v>43881</v>
          </cell>
          <cell r="B1147">
            <v>326</v>
          </cell>
        </row>
        <row r="1148">
          <cell r="A1148">
            <v>43882</v>
          </cell>
          <cell r="B1148">
            <v>327</v>
          </cell>
        </row>
        <row r="1149">
          <cell r="A1149">
            <v>43883</v>
          </cell>
          <cell r="B1149">
            <v>328</v>
          </cell>
        </row>
        <row r="1150">
          <cell r="A1150">
            <v>43884</v>
          </cell>
          <cell r="B1150">
            <v>329</v>
          </cell>
        </row>
        <row r="1151">
          <cell r="A1151">
            <v>43885</v>
          </cell>
          <cell r="B1151">
            <v>330</v>
          </cell>
        </row>
        <row r="1152">
          <cell r="A1152">
            <v>43886</v>
          </cell>
          <cell r="B1152">
            <v>331</v>
          </cell>
        </row>
        <row r="1153">
          <cell r="A1153">
            <v>43887</v>
          </cell>
          <cell r="B1153">
            <v>332</v>
          </cell>
        </row>
        <row r="1154">
          <cell r="A1154">
            <v>43888</v>
          </cell>
          <cell r="B1154">
            <v>333</v>
          </cell>
        </row>
        <row r="1155">
          <cell r="A1155">
            <v>43889</v>
          </cell>
          <cell r="B1155">
            <v>334</v>
          </cell>
        </row>
        <row r="1156">
          <cell r="A1156">
            <v>43890</v>
          </cell>
          <cell r="B1156">
            <v>335</v>
          </cell>
        </row>
        <row r="1157">
          <cell r="A1157">
            <v>43891</v>
          </cell>
          <cell r="B1157">
            <v>336</v>
          </cell>
        </row>
        <row r="1158">
          <cell r="A1158">
            <v>43892</v>
          </cell>
          <cell r="B1158">
            <v>337</v>
          </cell>
        </row>
        <row r="1159">
          <cell r="A1159">
            <v>43893</v>
          </cell>
          <cell r="B1159">
            <v>338</v>
          </cell>
        </row>
        <row r="1160">
          <cell r="A1160">
            <v>43894</v>
          </cell>
          <cell r="B1160">
            <v>339</v>
          </cell>
        </row>
        <row r="1161">
          <cell r="A1161">
            <v>43895</v>
          </cell>
          <cell r="B1161">
            <v>340</v>
          </cell>
        </row>
        <row r="1162">
          <cell r="A1162">
            <v>43896</v>
          </cell>
          <cell r="B1162">
            <v>341</v>
          </cell>
        </row>
        <row r="1163">
          <cell r="A1163">
            <v>43897</v>
          </cell>
          <cell r="B1163">
            <v>342</v>
          </cell>
        </row>
        <row r="1164">
          <cell r="A1164">
            <v>43898</v>
          </cell>
          <cell r="B1164">
            <v>343</v>
          </cell>
        </row>
        <row r="1165">
          <cell r="A1165">
            <v>43899</v>
          </cell>
          <cell r="B1165">
            <v>344</v>
          </cell>
        </row>
        <row r="1166">
          <cell r="A1166">
            <v>43900</v>
          </cell>
          <cell r="B1166">
            <v>345</v>
          </cell>
        </row>
        <row r="1167">
          <cell r="A1167">
            <v>43901</v>
          </cell>
          <cell r="B1167">
            <v>346</v>
          </cell>
        </row>
        <row r="1168">
          <cell r="A1168">
            <v>43902</v>
          </cell>
          <cell r="B1168">
            <v>347</v>
          </cell>
        </row>
        <row r="1169">
          <cell r="A1169">
            <v>43903</v>
          </cell>
          <cell r="B1169">
            <v>348</v>
          </cell>
        </row>
        <row r="1170">
          <cell r="A1170">
            <v>43904</v>
          </cell>
          <cell r="B1170">
            <v>349</v>
          </cell>
        </row>
        <row r="1171">
          <cell r="A1171">
            <v>43905</v>
          </cell>
          <cell r="B1171">
            <v>350</v>
          </cell>
        </row>
        <row r="1172">
          <cell r="A1172">
            <v>43906</v>
          </cell>
          <cell r="B1172">
            <v>351</v>
          </cell>
        </row>
        <row r="1173">
          <cell r="A1173">
            <v>43907</v>
          </cell>
          <cell r="B1173">
            <v>352</v>
          </cell>
        </row>
        <row r="1174">
          <cell r="A1174">
            <v>43908</v>
          </cell>
          <cell r="B1174">
            <v>353</v>
          </cell>
        </row>
        <row r="1175">
          <cell r="A1175">
            <v>43909</v>
          </cell>
          <cell r="B1175">
            <v>354</v>
          </cell>
        </row>
        <row r="1176">
          <cell r="A1176">
            <v>43910</v>
          </cell>
          <cell r="B1176">
            <v>355</v>
          </cell>
        </row>
        <row r="1177">
          <cell r="A1177">
            <v>43911</v>
          </cell>
          <cell r="B1177">
            <v>356</v>
          </cell>
        </row>
        <row r="1178">
          <cell r="A1178">
            <v>43912</v>
          </cell>
          <cell r="B1178">
            <v>357</v>
          </cell>
        </row>
        <row r="1179">
          <cell r="A1179">
            <v>43913</v>
          </cell>
          <cell r="B1179">
            <v>358</v>
          </cell>
        </row>
        <row r="1180">
          <cell r="A1180">
            <v>43914</v>
          </cell>
          <cell r="B1180">
            <v>359</v>
          </cell>
        </row>
        <row r="1181">
          <cell r="A1181">
            <v>43915</v>
          </cell>
          <cell r="B1181">
            <v>360</v>
          </cell>
        </row>
        <row r="1182">
          <cell r="A1182">
            <v>43916</v>
          </cell>
          <cell r="B1182">
            <v>361</v>
          </cell>
        </row>
        <row r="1183">
          <cell r="A1183">
            <v>43917</v>
          </cell>
          <cell r="B1183">
            <v>362</v>
          </cell>
        </row>
        <row r="1184">
          <cell r="A1184">
            <v>43918</v>
          </cell>
          <cell r="B1184">
            <v>363</v>
          </cell>
        </row>
        <row r="1185">
          <cell r="A1185">
            <v>43919</v>
          </cell>
          <cell r="B1185">
            <v>364</v>
          </cell>
        </row>
        <row r="1186">
          <cell r="A1186">
            <v>43920</v>
          </cell>
          <cell r="B1186">
            <v>365</v>
          </cell>
        </row>
        <row r="1187">
          <cell r="A1187">
            <v>43921</v>
          </cell>
          <cell r="B1187">
            <v>366</v>
          </cell>
        </row>
        <row r="1188">
          <cell r="A1188">
            <v>43922</v>
          </cell>
          <cell r="B1188">
            <v>1</v>
          </cell>
        </row>
        <row r="1189">
          <cell r="A1189">
            <v>43923</v>
          </cell>
          <cell r="B1189">
            <v>2</v>
          </cell>
        </row>
        <row r="1190">
          <cell r="A1190">
            <v>43924</v>
          </cell>
          <cell r="B1190">
            <v>3</v>
          </cell>
        </row>
        <row r="1191">
          <cell r="A1191">
            <v>43925</v>
          </cell>
          <cell r="B1191">
            <v>4</v>
          </cell>
        </row>
        <row r="1192">
          <cell r="A1192">
            <v>43926</v>
          </cell>
          <cell r="B1192">
            <v>5</v>
          </cell>
        </row>
        <row r="1193">
          <cell r="A1193">
            <v>43927</v>
          </cell>
          <cell r="B1193">
            <v>6</v>
          </cell>
        </row>
        <row r="1194">
          <cell r="A1194">
            <v>43928</v>
          </cell>
          <cell r="B1194">
            <v>7</v>
          </cell>
        </row>
        <row r="1195">
          <cell r="A1195">
            <v>43929</v>
          </cell>
          <cell r="B1195">
            <v>8</v>
          </cell>
        </row>
        <row r="1196">
          <cell r="A1196">
            <v>43930</v>
          </cell>
          <cell r="B1196">
            <v>9</v>
          </cell>
        </row>
        <row r="1197">
          <cell r="A1197">
            <v>43931</v>
          </cell>
          <cell r="B1197">
            <v>10</v>
          </cell>
        </row>
        <row r="1198">
          <cell r="A1198">
            <v>43932</v>
          </cell>
          <cell r="B1198">
            <v>11</v>
          </cell>
        </row>
        <row r="1199">
          <cell r="A1199">
            <v>43933</v>
          </cell>
          <cell r="B1199">
            <v>12</v>
          </cell>
        </row>
        <row r="1200">
          <cell r="A1200">
            <v>43934</v>
          </cell>
          <cell r="B1200">
            <v>13</v>
          </cell>
        </row>
        <row r="1201">
          <cell r="A1201">
            <v>43935</v>
          </cell>
          <cell r="B1201">
            <v>14</v>
          </cell>
        </row>
        <row r="1202">
          <cell r="A1202">
            <v>43936</v>
          </cell>
          <cell r="B1202">
            <v>15</v>
          </cell>
        </row>
        <row r="1203">
          <cell r="A1203">
            <v>43937</v>
          </cell>
          <cell r="B1203">
            <v>16</v>
          </cell>
        </row>
        <row r="1204">
          <cell r="A1204">
            <v>43938</v>
          </cell>
          <cell r="B1204">
            <v>17</v>
          </cell>
        </row>
        <row r="1205">
          <cell r="A1205">
            <v>43939</v>
          </cell>
          <cell r="B1205">
            <v>18</v>
          </cell>
        </row>
        <row r="1206">
          <cell r="A1206">
            <v>43940</v>
          </cell>
          <cell r="B1206">
            <v>19</v>
          </cell>
        </row>
        <row r="1207">
          <cell r="A1207">
            <v>43941</v>
          </cell>
          <cell r="B1207">
            <v>20</v>
          </cell>
        </row>
        <row r="1208">
          <cell r="A1208">
            <v>43942</v>
          </cell>
          <cell r="B1208">
            <v>21</v>
          </cell>
        </row>
        <row r="1209">
          <cell r="A1209">
            <v>43943</v>
          </cell>
          <cell r="B1209">
            <v>22</v>
          </cell>
        </row>
        <row r="1210">
          <cell r="A1210">
            <v>43944</v>
          </cell>
          <cell r="B1210">
            <v>23</v>
          </cell>
        </row>
        <row r="1211">
          <cell r="A1211">
            <v>43945</v>
          </cell>
          <cell r="B1211">
            <v>24</v>
          </cell>
        </row>
        <row r="1212">
          <cell r="A1212">
            <v>43946</v>
          </cell>
          <cell r="B1212">
            <v>25</v>
          </cell>
        </row>
        <row r="1213">
          <cell r="A1213">
            <v>43947</v>
          </cell>
          <cell r="B1213">
            <v>26</v>
          </cell>
        </row>
        <row r="1214">
          <cell r="A1214">
            <v>43948</v>
          </cell>
          <cell r="B1214">
            <v>27</v>
          </cell>
        </row>
        <row r="1215">
          <cell r="A1215">
            <v>43949</v>
          </cell>
          <cell r="B1215">
            <v>28</v>
          </cell>
        </row>
        <row r="1216">
          <cell r="A1216">
            <v>43950</v>
          </cell>
          <cell r="B1216">
            <v>29</v>
          </cell>
        </row>
        <row r="1217">
          <cell r="A1217">
            <v>43951</v>
          </cell>
          <cell r="B1217">
            <v>30</v>
          </cell>
        </row>
        <row r="1218">
          <cell r="A1218">
            <v>43952</v>
          </cell>
          <cell r="B1218">
            <v>31</v>
          </cell>
        </row>
        <row r="1219">
          <cell r="A1219">
            <v>43953</v>
          </cell>
          <cell r="B1219">
            <v>32</v>
          </cell>
        </row>
        <row r="1220">
          <cell r="A1220">
            <v>43954</v>
          </cell>
          <cell r="B1220">
            <v>33</v>
          </cell>
        </row>
        <row r="1221">
          <cell r="A1221">
            <v>43955</v>
          </cell>
          <cell r="B1221">
            <v>34</v>
          </cell>
        </row>
        <row r="1222">
          <cell r="A1222">
            <v>43956</v>
          </cell>
          <cell r="B1222">
            <v>35</v>
          </cell>
        </row>
        <row r="1223">
          <cell r="A1223">
            <v>43957</v>
          </cell>
          <cell r="B1223">
            <v>36</v>
          </cell>
        </row>
        <row r="1224">
          <cell r="A1224">
            <v>43958</v>
          </cell>
          <cell r="B1224">
            <v>37</v>
          </cell>
        </row>
        <row r="1225">
          <cell r="A1225">
            <v>43959</v>
          </cell>
          <cell r="B1225">
            <v>38</v>
          </cell>
        </row>
        <row r="1226">
          <cell r="A1226">
            <v>43960</v>
          </cell>
          <cell r="B1226">
            <v>39</v>
          </cell>
        </row>
        <row r="1227">
          <cell r="A1227">
            <v>43961</v>
          </cell>
          <cell r="B1227">
            <v>40</v>
          </cell>
        </row>
        <row r="1228">
          <cell r="A1228">
            <v>43962</v>
          </cell>
          <cell r="B1228">
            <v>41</v>
          </cell>
        </row>
        <row r="1229">
          <cell r="A1229">
            <v>43963</v>
          </cell>
          <cell r="B1229">
            <v>42</v>
          </cell>
        </row>
        <row r="1230">
          <cell r="A1230">
            <v>43964</v>
          </cell>
          <cell r="B1230">
            <v>43</v>
          </cell>
        </row>
        <row r="1231">
          <cell r="A1231">
            <v>43965</v>
          </cell>
          <cell r="B1231">
            <v>44</v>
          </cell>
        </row>
        <row r="1232">
          <cell r="A1232">
            <v>43966</v>
          </cell>
          <cell r="B1232">
            <v>45</v>
          </cell>
        </row>
        <row r="1233">
          <cell r="A1233">
            <v>43967</v>
          </cell>
          <cell r="B1233">
            <v>46</v>
          </cell>
        </row>
        <row r="1234">
          <cell r="A1234">
            <v>43968</v>
          </cell>
          <cell r="B1234">
            <v>47</v>
          </cell>
        </row>
        <row r="1235">
          <cell r="A1235">
            <v>43969</v>
          </cell>
          <cell r="B1235">
            <v>48</v>
          </cell>
        </row>
        <row r="1236">
          <cell r="A1236">
            <v>43970</v>
          </cell>
          <cell r="B1236">
            <v>49</v>
          </cell>
        </row>
        <row r="1237">
          <cell r="A1237">
            <v>43971</v>
          </cell>
          <cell r="B1237">
            <v>50</v>
          </cell>
        </row>
        <row r="1238">
          <cell r="A1238">
            <v>43972</v>
          </cell>
          <cell r="B1238">
            <v>51</v>
          </cell>
        </row>
        <row r="1239">
          <cell r="A1239">
            <v>43973</v>
          </cell>
          <cell r="B1239">
            <v>52</v>
          </cell>
        </row>
        <row r="1240">
          <cell r="A1240">
            <v>43974</v>
          </cell>
          <cell r="B1240">
            <v>53</v>
          </cell>
        </row>
        <row r="1241">
          <cell r="A1241">
            <v>43975</v>
          </cell>
          <cell r="B1241">
            <v>54</v>
          </cell>
        </row>
        <row r="1242">
          <cell r="A1242">
            <v>43976</v>
          </cell>
          <cell r="B1242">
            <v>55</v>
          </cell>
        </row>
        <row r="1243">
          <cell r="A1243">
            <v>43977</v>
          </cell>
          <cell r="B1243">
            <v>56</v>
          </cell>
        </row>
        <row r="1244">
          <cell r="A1244">
            <v>43978</v>
          </cell>
          <cell r="B1244">
            <v>57</v>
          </cell>
        </row>
        <row r="1245">
          <cell r="A1245">
            <v>43979</v>
          </cell>
          <cell r="B1245">
            <v>58</v>
          </cell>
        </row>
        <row r="1246">
          <cell r="A1246">
            <v>43980</v>
          </cell>
          <cell r="B1246">
            <v>59</v>
          </cell>
        </row>
        <row r="1247">
          <cell r="A1247">
            <v>43981</v>
          </cell>
          <cell r="B1247">
            <v>60</v>
          </cell>
        </row>
        <row r="1248">
          <cell r="A1248">
            <v>43982</v>
          </cell>
          <cell r="B1248">
            <v>61</v>
          </cell>
        </row>
        <row r="1249">
          <cell r="A1249">
            <v>43983</v>
          </cell>
          <cell r="B1249">
            <v>62</v>
          </cell>
        </row>
        <row r="1250">
          <cell r="A1250">
            <v>43984</v>
          </cell>
          <cell r="B1250">
            <v>63</v>
          </cell>
        </row>
        <row r="1251">
          <cell r="A1251">
            <v>43985</v>
          </cell>
          <cell r="B1251">
            <v>64</v>
          </cell>
        </row>
        <row r="1252">
          <cell r="A1252">
            <v>43986</v>
          </cell>
          <cell r="B1252">
            <v>65</v>
          </cell>
        </row>
        <row r="1253">
          <cell r="A1253">
            <v>43987</v>
          </cell>
          <cell r="B1253">
            <v>66</v>
          </cell>
        </row>
        <row r="1254">
          <cell r="A1254">
            <v>43988</v>
          </cell>
          <cell r="B1254">
            <v>67</v>
          </cell>
        </row>
        <row r="1255">
          <cell r="A1255">
            <v>43989</v>
          </cell>
          <cell r="B1255">
            <v>68</v>
          </cell>
        </row>
        <row r="1256">
          <cell r="A1256">
            <v>43990</v>
          </cell>
          <cell r="B1256">
            <v>69</v>
          </cell>
        </row>
        <row r="1257">
          <cell r="A1257">
            <v>43991</v>
          </cell>
          <cell r="B1257">
            <v>70</v>
          </cell>
        </row>
        <row r="1258">
          <cell r="A1258">
            <v>43992</v>
          </cell>
          <cell r="B1258">
            <v>71</v>
          </cell>
        </row>
        <row r="1259">
          <cell r="A1259">
            <v>43993</v>
          </cell>
          <cell r="B1259">
            <v>72</v>
          </cell>
        </row>
        <row r="1260">
          <cell r="A1260">
            <v>43994</v>
          </cell>
          <cell r="B1260">
            <v>73</v>
          </cell>
        </row>
        <row r="1261">
          <cell r="A1261">
            <v>43995</v>
          </cell>
          <cell r="B1261">
            <v>74</v>
          </cell>
        </row>
        <row r="1262">
          <cell r="A1262">
            <v>43996</v>
          </cell>
          <cell r="B1262">
            <v>75</v>
          </cell>
        </row>
        <row r="1263">
          <cell r="A1263">
            <v>43997</v>
          </cell>
          <cell r="B1263">
            <v>76</v>
          </cell>
        </row>
        <row r="1264">
          <cell r="A1264">
            <v>43998</v>
          </cell>
          <cell r="B1264">
            <v>77</v>
          </cell>
        </row>
        <row r="1265">
          <cell r="A1265">
            <v>43999</v>
          </cell>
          <cell r="B1265">
            <v>78</v>
          </cell>
        </row>
        <row r="1266">
          <cell r="A1266">
            <v>44000</v>
          </cell>
          <cell r="B1266">
            <v>79</v>
          </cell>
        </row>
        <row r="1267">
          <cell r="A1267">
            <v>44001</v>
          </cell>
          <cell r="B1267">
            <v>80</v>
          </cell>
        </row>
        <row r="1268">
          <cell r="A1268">
            <v>44002</v>
          </cell>
          <cell r="B1268">
            <v>81</v>
          </cell>
        </row>
        <row r="1269">
          <cell r="A1269">
            <v>44003</v>
          </cell>
          <cell r="B1269">
            <v>82</v>
          </cell>
        </row>
        <row r="1270">
          <cell r="A1270">
            <v>44004</v>
          </cell>
          <cell r="B1270">
            <v>83</v>
          </cell>
        </row>
        <row r="1271">
          <cell r="A1271">
            <v>44005</v>
          </cell>
          <cell r="B1271">
            <v>84</v>
          </cell>
        </row>
        <row r="1272">
          <cell r="A1272">
            <v>44006</v>
          </cell>
          <cell r="B1272">
            <v>85</v>
          </cell>
        </row>
        <row r="1273">
          <cell r="A1273">
            <v>44007</v>
          </cell>
          <cell r="B1273">
            <v>86</v>
          </cell>
        </row>
        <row r="1274">
          <cell r="A1274">
            <v>44008</v>
          </cell>
          <cell r="B1274">
            <v>87</v>
          </cell>
        </row>
        <row r="1275">
          <cell r="A1275">
            <v>44009</v>
          </cell>
          <cell r="B1275">
            <v>88</v>
          </cell>
        </row>
        <row r="1276">
          <cell r="A1276">
            <v>44010</v>
          </cell>
          <cell r="B1276">
            <v>89</v>
          </cell>
        </row>
        <row r="1277">
          <cell r="A1277">
            <v>44011</v>
          </cell>
          <cell r="B1277">
            <v>90</v>
          </cell>
        </row>
        <row r="1278">
          <cell r="A1278">
            <v>44012</v>
          </cell>
          <cell r="B1278">
            <v>91</v>
          </cell>
        </row>
        <row r="1279">
          <cell r="A1279">
            <v>44013</v>
          </cell>
          <cell r="B1279">
            <v>92</v>
          </cell>
        </row>
        <row r="1280">
          <cell r="A1280">
            <v>44014</v>
          </cell>
          <cell r="B1280">
            <v>93</v>
          </cell>
        </row>
        <row r="1281">
          <cell r="A1281">
            <v>44015</v>
          </cell>
          <cell r="B1281">
            <v>94</v>
          </cell>
        </row>
        <row r="1282">
          <cell r="A1282">
            <v>44016</v>
          </cell>
          <cell r="B1282">
            <v>95</v>
          </cell>
        </row>
        <row r="1283">
          <cell r="A1283">
            <v>44017</v>
          </cell>
          <cell r="B1283">
            <v>96</v>
          </cell>
        </row>
        <row r="1284">
          <cell r="A1284">
            <v>44018</v>
          </cell>
          <cell r="B1284">
            <v>97</v>
          </cell>
        </row>
        <row r="1285">
          <cell r="A1285">
            <v>44019</v>
          </cell>
          <cell r="B1285">
            <v>98</v>
          </cell>
        </row>
        <row r="1286">
          <cell r="A1286">
            <v>44020</v>
          </cell>
          <cell r="B1286">
            <v>99</v>
          </cell>
        </row>
        <row r="1287">
          <cell r="A1287">
            <v>44021</v>
          </cell>
          <cell r="B1287">
            <v>100</v>
          </cell>
        </row>
        <row r="1288">
          <cell r="A1288">
            <v>44022</v>
          </cell>
          <cell r="B1288">
            <v>101</v>
          </cell>
        </row>
        <row r="1289">
          <cell r="A1289">
            <v>44023</v>
          </cell>
          <cell r="B1289">
            <v>102</v>
          </cell>
        </row>
        <row r="1290">
          <cell r="A1290">
            <v>44024</v>
          </cell>
          <cell r="B1290">
            <v>103</v>
          </cell>
        </row>
        <row r="1291">
          <cell r="A1291">
            <v>44025</v>
          </cell>
          <cell r="B1291">
            <v>104</v>
          </cell>
        </row>
        <row r="1292">
          <cell r="A1292">
            <v>44026</v>
          </cell>
          <cell r="B1292">
            <v>105</v>
          </cell>
        </row>
        <row r="1293">
          <cell r="A1293">
            <v>44027</v>
          </cell>
          <cell r="B1293">
            <v>106</v>
          </cell>
        </row>
        <row r="1294">
          <cell r="A1294">
            <v>44028</v>
          </cell>
          <cell r="B1294">
            <v>107</v>
          </cell>
        </row>
        <row r="1295">
          <cell r="A1295">
            <v>44029</v>
          </cell>
          <cell r="B1295">
            <v>108</v>
          </cell>
        </row>
        <row r="1296">
          <cell r="A1296">
            <v>44030</v>
          </cell>
          <cell r="B1296">
            <v>109</v>
          </cell>
        </row>
        <row r="1297">
          <cell r="A1297">
            <v>44031</v>
          </cell>
          <cell r="B1297">
            <v>110</v>
          </cell>
        </row>
        <row r="1298">
          <cell r="A1298">
            <v>44032</v>
          </cell>
          <cell r="B1298">
            <v>111</v>
          </cell>
        </row>
        <row r="1299">
          <cell r="A1299">
            <v>44033</v>
          </cell>
          <cell r="B1299">
            <v>112</v>
          </cell>
        </row>
        <row r="1300">
          <cell r="A1300">
            <v>44034</v>
          </cell>
          <cell r="B1300">
            <v>113</v>
          </cell>
        </row>
        <row r="1301">
          <cell r="A1301">
            <v>44035</v>
          </cell>
          <cell r="B1301">
            <v>114</v>
          </cell>
        </row>
        <row r="1302">
          <cell r="A1302">
            <v>44036</v>
          </cell>
          <cell r="B1302">
            <v>115</v>
          </cell>
        </row>
        <row r="1303">
          <cell r="A1303">
            <v>44037</v>
          </cell>
          <cell r="B1303">
            <v>116</v>
          </cell>
        </row>
        <row r="1304">
          <cell r="A1304">
            <v>44038</v>
          </cell>
          <cell r="B1304">
            <v>117</v>
          </cell>
        </row>
        <row r="1305">
          <cell r="A1305">
            <v>44039</v>
          </cell>
          <cell r="B1305">
            <v>118</v>
          </cell>
        </row>
        <row r="1306">
          <cell r="A1306">
            <v>44040</v>
          </cell>
          <cell r="B1306">
            <v>119</v>
          </cell>
        </row>
        <row r="1307">
          <cell r="A1307">
            <v>44041</v>
          </cell>
          <cell r="B1307">
            <v>120</v>
          </cell>
        </row>
        <row r="1308">
          <cell r="A1308">
            <v>44042</v>
          </cell>
          <cell r="B1308">
            <v>121</v>
          </cell>
        </row>
        <row r="1309">
          <cell r="A1309">
            <v>44043</v>
          </cell>
          <cell r="B1309">
            <v>122</v>
          </cell>
        </row>
        <row r="1310">
          <cell r="A1310">
            <v>44044</v>
          </cell>
          <cell r="B1310">
            <v>123</v>
          </cell>
        </row>
        <row r="1311">
          <cell r="A1311">
            <v>44045</v>
          </cell>
          <cell r="B1311">
            <v>124</v>
          </cell>
        </row>
        <row r="1312">
          <cell r="A1312">
            <v>44046</v>
          </cell>
          <cell r="B1312">
            <v>125</v>
          </cell>
        </row>
        <row r="1313">
          <cell r="A1313">
            <v>44047</v>
          </cell>
          <cell r="B1313">
            <v>126</v>
          </cell>
        </row>
        <row r="1314">
          <cell r="A1314">
            <v>44048</v>
          </cell>
          <cell r="B1314">
            <v>127</v>
          </cell>
        </row>
        <row r="1315">
          <cell r="A1315">
            <v>44049</v>
          </cell>
          <cell r="B1315">
            <v>128</v>
          </cell>
        </row>
        <row r="1316">
          <cell r="A1316">
            <v>44050</v>
          </cell>
          <cell r="B1316">
            <v>129</v>
          </cell>
        </row>
        <row r="1317">
          <cell r="A1317">
            <v>44051</v>
          </cell>
          <cell r="B1317">
            <v>130</v>
          </cell>
        </row>
        <row r="1318">
          <cell r="A1318">
            <v>44052</v>
          </cell>
          <cell r="B1318">
            <v>131</v>
          </cell>
        </row>
        <row r="1319">
          <cell r="A1319">
            <v>44053</v>
          </cell>
          <cell r="B1319">
            <v>132</v>
          </cell>
        </row>
        <row r="1320">
          <cell r="A1320">
            <v>44054</v>
          </cell>
          <cell r="B1320">
            <v>133</v>
          </cell>
        </row>
        <row r="1321">
          <cell r="A1321">
            <v>44055</v>
          </cell>
          <cell r="B1321">
            <v>134</v>
          </cell>
        </row>
        <row r="1322">
          <cell r="A1322">
            <v>44056</v>
          </cell>
          <cell r="B1322">
            <v>135</v>
          </cell>
        </row>
        <row r="1323">
          <cell r="A1323">
            <v>44057</v>
          </cell>
          <cell r="B1323">
            <v>136</v>
          </cell>
        </row>
        <row r="1324">
          <cell r="A1324">
            <v>44058</v>
          </cell>
          <cell r="B1324">
            <v>137</v>
          </cell>
        </row>
        <row r="1325">
          <cell r="A1325">
            <v>44059</v>
          </cell>
          <cell r="B1325">
            <v>138</v>
          </cell>
        </row>
        <row r="1326">
          <cell r="A1326">
            <v>44060</v>
          </cell>
          <cell r="B1326">
            <v>139</v>
          </cell>
        </row>
        <row r="1327">
          <cell r="A1327">
            <v>44061</v>
          </cell>
          <cell r="B1327">
            <v>140</v>
          </cell>
        </row>
        <row r="1328">
          <cell r="A1328">
            <v>44062</v>
          </cell>
          <cell r="B1328">
            <v>141</v>
          </cell>
        </row>
        <row r="1329">
          <cell r="A1329">
            <v>44063</v>
          </cell>
          <cell r="B1329">
            <v>142</v>
          </cell>
        </row>
        <row r="1330">
          <cell r="A1330">
            <v>44064</v>
          </cell>
          <cell r="B1330">
            <v>143</v>
          </cell>
        </row>
        <row r="1331">
          <cell r="A1331">
            <v>44065</v>
          </cell>
          <cell r="B1331">
            <v>144</v>
          </cell>
        </row>
        <row r="1332">
          <cell r="A1332">
            <v>44066</v>
          </cell>
          <cell r="B1332">
            <v>145</v>
          </cell>
        </row>
        <row r="1333">
          <cell r="A1333">
            <v>44067</v>
          </cell>
          <cell r="B1333">
            <v>146</v>
          </cell>
        </row>
        <row r="1334">
          <cell r="A1334">
            <v>44068</v>
          </cell>
          <cell r="B1334">
            <v>147</v>
          </cell>
        </row>
        <row r="1335">
          <cell r="A1335">
            <v>44069</v>
          </cell>
          <cell r="B1335">
            <v>148</v>
          </cell>
        </row>
        <row r="1336">
          <cell r="A1336">
            <v>44070</v>
          </cell>
          <cell r="B1336">
            <v>149</v>
          </cell>
        </row>
        <row r="1337">
          <cell r="A1337">
            <v>44071</v>
          </cell>
          <cell r="B1337">
            <v>150</v>
          </cell>
        </row>
        <row r="1338">
          <cell r="A1338">
            <v>44072</v>
          </cell>
          <cell r="B1338">
            <v>151</v>
          </cell>
        </row>
        <row r="1339">
          <cell r="A1339">
            <v>44073</v>
          </cell>
          <cell r="B1339">
            <v>152</v>
          </cell>
        </row>
        <row r="1340">
          <cell r="A1340">
            <v>44074</v>
          </cell>
          <cell r="B1340">
            <v>153</v>
          </cell>
        </row>
        <row r="1341">
          <cell r="A1341">
            <v>44075</v>
          </cell>
          <cell r="B1341">
            <v>154</v>
          </cell>
        </row>
        <row r="1342">
          <cell r="A1342">
            <v>44076</v>
          </cell>
          <cell r="B1342">
            <v>155</v>
          </cell>
        </row>
        <row r="1343">
          <cell r="A1343">
            <v>44077</v>
          </cell>
          <cell r="B1343">
            <v>156</v>
          </cell>
        </row>
        <row r="1344">
          <cell r="A1344">
            <v>44078</v>
          </cell>
          <cell r="B1344">
            <v>157</v>
          </cell>
        </row>
        <row r="1345">
          <cell r="A1345">
            <v>44079</v>
          </cell>
          <cell r="B1345">
            <v>158</v>
          </cell>
        </row>
        <row r="1346">
          <cell r="A1346">
            <v>44080</v>
          </cell>
          <cell r="B1346">
            <v>159</v>
          </cell>
        </row>
        <row r="1347">
          <cell r="A1347">
            <v>44081</v>
          </cell>
          <cell r="B1347">
            <v>160</v>
          </cell>
        </row>
        <row r="1348">
          <cell r="A1348">
            <v>44082</v>
          </cell>
          <cell r="B1348">
            <v>161</v>
          </cell>
        </row>
        <row r="1349">
          <cell r="A1349">
            <v>44083</v>
          </cell>
          <cell r="B1349">
            <v>162</v>
          </cell>
        </row>
        <row r="1350">
          <cell r="A1350">
            <v>44084</v>
          </cell>
          <cell r="B1350">
            <v>163</v>
          </cell>
        </row>
        <row r="1351">
          <cell r="A1351">
            <v>44085</v>
          </cell>
          <cell r="B1351">
            <v>164</v>
          </cell>
        </row>
        <row r="1352">
          <cell r="A1352">
            <v>44086</v>
          </cell>
          <cell r="B1352">
            <v>165</v>
          </cell>
        </row>
        <row r="1353">
          <cell r="A1353">
            <v>44087</v>
          </cell>
          <cell r="B1353">
            <v>166</v>
          </cell>
        </row>
        <row r="1354">
          <cell r="A1354">
            <v>44088</v>
          </cell>
          <cell r="B1354">
            <v>167</v>
          </cell>
        </row>
        <row r="1355">
          <cell r="A1355">
            <v>44089</v>
          </cell>
          <cell r="B1355">
            <v>168</v>
          </cell>
        </row>
        <row r="1356">
          <cell r="A1356">
            <v>44090</v>
          </cell>
          <cell r="B1356">
            <v>169</v>
          </cell>
        </row>
        <row r="1357">
          <cell r="A1357">
            <v>44091</v>
          </cell>
          <cell r="B1357">
            <v>170</v>
          </cell>
        </row>
        <row r="1358">
          <cell r="A1358">
            <v>44092</v>
          </cell>
          <cell r="B1358">
            <v>171</v>
          </cell>
        </row>
        <row r="1359">
          <cell r="A1359">
            <v>44093</v>
          </cell>
          <cell r="B1359">
            <v>172</v>
          </cell>
        </row>
        <row r="1360">
          <cell r="A1360">
            <v>44094</v>
          </cell>
          <cell r="B1360">
            <v>173</v>
          </cell>
        </row>
        <row r="1361">
          <cell r="A1361">
            <v>44095</v>
          </cell>
          <cell r="B1361">
            <v>174</v>
          </cell>
        </row>
        <row r="1362">
          <cell r="A1362">
            <v>44096</v>
          </cell>
          <cell r="B1362">
            <v>175</v>
          </cell>
        </row>
        <row r="1363">
          <cell r="A1363">
            <v>44097</v>
          </cell>
          <cell r="B1363">
            <v>176</v>
          </cell>
        </row>
        <row r="1364">
          <cell r="A1364">
            <v>44098</v>
          </cell>
          <cell r="B1364">
            <v>177</v>
          </cell>
        </row>
        <row r="1365">
          <cell r="A1365">
            <v>44099</v>
          </cell>
          <cell r="B1365">
            <v>178</v>
          </cell>
        </row>
        <row r="1366">
          <cell r="A1366">
            <v>44100</v>
          </cell>
          <cell r="B1366">
            <v>179</v>
          </cell>
        </row>
        <row r="1367">
          <cell r="A1367">
            <v>44101</v>
          </cell>
          <cell r="B1367">
            <v>180</v>
          </cell>
        </row>
        <row r="1368">
          <cell r="A1368">
            <v>44102</v>
          </cell>
          <cell r="B1368">
            <v>181</v>
          </cell>
        </row>
        <row r="1369">
          <cell r="A1369">
            <v>44103</v>
          </cell>
          <cell r="B1369">
            <v>182</v>
          </cell>
        </row>
        <row r="1370">
          <cell r="A1370">
            <v>44104</v>
          </cell>
          <cell r="B1370">
            <v>183</v>
          </cell>
        </row>
        <row r="1371">
          <cell r="A1371">
            <v>44105</v>
          </cell>
          <cell r="B1371">
            <v>184</v>
          </cell>
        </row>
        <row r="1372">
          <cell r="A1372">
            <v>44106</v>
          </cell>
          <cell r="B1372">
            <v>185</v>
          </cell>
        </row>
        <row r="1373">
          <cell r="A1373">
            <v>44107</v>
          </cell>
          <cell r="B1373">
            <v>186</v>
          </cell>
        </row>
        <row r="1374">
          <cell r="A1374">
            <v>44108</v>
          </cell>
          <cell r="B1374">
            <v>187</v>
          </cell>
        </row>
        <row r="1375">
          <cell r="A1375">
            <v>44109</v>
          </cell>
          <cell r="B1375">
            <v>188</v>
          </cell>
        </row>
        <row r="1376">
          <cell r="A1376">
            <v>44110</v>
          </cell>
          <cell r="B1376">
            <v>189</v>
          </cell>
        </row>
        <row r="1377">
          <cell r="A1377">
            <v>44111</v>
          </cell>
          <cell r="B1377">
            <v>190</v>
          </cell>
        </row>
        <row r="1378">
          <cell r="A1378">
            <v>44112</v>
          </cell>
          <cell r="B1378">
            <v>191</v>
          </cell>
        </row>
        <row r="1379">
          <cell r="A1379">
            <v>44113</v>
          </cell>
          <cell r="B1379">
            <v>192</v>
          </cell>
        </row>
        <row r="1380">
          <cell r="A1380">
            <v>44114</v>
          </cell>
          <cell r="B1380">
            <v>193</v>
          </cell>
        </row>
        <row r="1381">
          <cell r="A1381">
            <v>44115</v>
          </cell>
          <cell r="B1381">
            <v>194</v>
          </cell>
        </row>
        <row r="1382">
          <cell r="A1382">
            <v>44116</v>
          </cell>
          <cell r="B1382">
            <v>195</v>
          </cell>
        </row>
        <row r="1383">
          <cell r="A1383">
            <v>44117</v>
          </cell>
          <cell r="B1383">
            <v>196</v>
          </cell>
        </row>
        <row r="1384">
          <cell r="A1384">
            <v>44118</v>
          </cell>
          <cell r="B1384">
            <v>197</v>
          </cell>
        </row>
        <row r="1385">
          <cell r="A1385">
            <v>44119</v>
          </cell>
          <cell r="B1385">
            <v>198</v>
          </cell>
        </row>
        <row r="1386">
          <cell r="A1386">
            <v>44120</v>
          </cell>
          <cell r="B1386">
            <v>199</v>
          </cell>
        </row>
        <row r="1387">
          <cell r="A1387">
            <v>44121</v>
          </cell>
          <cell r="B1387">
            <v>200</v>
          </cell>
        </row>
        <row r="1388">
          <cell r="A1388">
            <v>44122</v>
          </cell>
          <cell r="B1388">
            <v>201</v>
          </cell>
        </row>
        <row r="1389">
          <cell r="A1389">
            <v>44123</v>
          </cell>
          <cell r="B1389">
            <v>202</v>
          </cell>
        </row>
        <row r="1390">
          <cell r="A1390">
            <v>44124</v>
          </cell>
          <cell r="B1390">
            <v>203</v>
          </cell>
        </row>
        <row r="1391">
          <cell r="A1391">
            <v>44125</v>
          </cell>
          <cell r="B1391">
            <v>204</v>
          </cell>
        </row>
        <row r="1392">
          <cell r="A1392">
            <v>44126</v>
          </cell>
          <cell r="B1392">
            <v>205</v>
          </cell>
        </row>
        <row r="1393">
          <cell r="A1393">
            <v>44127</v>
          </cell>
          <cell r="B1393">
            <v>206</v>
          </cell>
        </row>
        <row r="1394">
          <cell r="A1394">
            <v>44128</v>
          </cell>
          <cell r="B1394">
            <v>207</v>
          </cell>
        </row>
        <row r="1395">
          <cell r="A1395">
            <v>44129</v>
          </cell>
          <cell r="B1395">
            <v>208</v>
          </cell>
        </row>
        <row r="1396">
          <cell r="A1396">
            <v>44130</v>
          </cell>
          <cell r="B1396">
            <v>209</v>
          </cell>
        </row>
        <row r="1397">
          <cell r="A1397">
            <v>44131</v>
          </cell>
          <cell r="B1397">
            <v>210</v>
          </cell>
        </row>
        <row r="1398">
          <cell r="A1398">
            <v>44132</v>
          </cell>
          <cell r="B1398">
            <v>211</v>
          </cell>
        </row>
        <row r="1399">
          <cell r="A1399">
            <v>44133</v>
          </cell>
          <cell r="B1399">
            <v>212</v>
          </cell>
        </row>
        <row r="1400">
          <cell r="A1400">
            <v>44134</v>
          </cell>
          <cell r="B1400">
            <v>213</v>
          </cell>
        </row>
        <row r="1401">
          <cell r="A1401">
            <v>44135</v>
          </cell>
          <cell r="B1401">
            <v>214</v>
          </cell>
        </row>
        <row r="1402">
          <cell r="A1402">
            <v>44136</v>
          </cell>
          <cell r="B1402">
            <v>215</v>
          </cell>
        </row>
        <row r="1403">
          <cell r="A1403">
            <v>44137</v>
          </cell>
          <cell r="B1403">
            <v>216</v>
          </cell>
        </row>
        <row r="1404">
          <cell r="A1404">
            <v>44138</v>
          </cell>
          <cell r="B1404">
            <v>217</v>
          </cell>
        </row>
        <row r="1405">
          <cell r="A1405">
            <v>44139</v>
          </cell>
          <cell r="B1405">
            <v>218</v>
          </cell>
        </row>
        <row r="1406">
          <cell r="A1406">
            <v>44140</v>
          </cell>
          <cell r="B1406">
            <v>219</v>
          </cell>
        </row>
        <row r="1407">
          <cell r="A1407">
            <v>44141</v>
          </cell>
          <cell r="B1407">
            <v>220</v>
          </cell>
        </row>
        <row r="1408">
          <cell r="A1408">
            <v>44142</v>
          </cell>
          <cell r="B1408">
            <v>221</v>
          </cell>
        </row>
        <row r="1409">
          <cell r="A1409">
            <v>44143</v>
          </cell>
          <cell r="B1409">
            <v>222</v>
          </cell>
        </row>
        <row r="1410">
          <cell r="A1410">
            <v>44144</v>
          </cell>
          <cell r="B1410">
            <v>223</v>
          </cell>
        </row>
        <row r="1411">
          <cell r="A1411">
            <v>44145</v>
          </cell>
          <cell r="B1411">
            <v>224</v>
          </cell>
        </row>
        <row r="1412">
          <cell r="A1412">
            <v>44146</v>
          </cell>
          <cell r="B1412">
            <v>225</v>
          </cell>
        </row>
        <row r="1413">
          <cell r="A1413">
            <v>44147</v>
          </cell>
          <cell r="B1413">
            <v>226</v>
          </cell>
        </row>
        <row r="1414">
          <cell r="A1414">
            <v>44148</v>
          </cell>
          <cell r="B1414">
            <v>227</v>
          </cell>
        </row>
        <row r="1415">
          <cell r="A1415">
            <v>44149</v>
          </cell>
          <cell r="B1415">
            <v>228</v>
          </cell>
        </row>
        <row r="1416">
          <cell r="A1416">
            <v>44150</v>
          </cell>
          <cell r="B1416">
            <v>229</v>
          </cell>
        </row>
        <row r="1417">
          <cell r="A1417">
            <v>44151</v>
          </cell>
          <cell r="B1417">
            <v>230</v>
          </cell>
        </row>
        <row r="1418">
          <cell r="A1418">
            <v>44152</v>
          </cell>
          <cell r="B1418">
            <v>231</v>
          </cell>
        </row>
        <row r="1419">
          <cell r="A1419">
            <v>44153</v>
          </cell>
          <cell r="B1419">
            <v>232</v>
          </cell>
        </row>
        <row r="1420">
          <cell r="A1420">
            <v>44154</v>
          </cell>
          <cell r="B1420">
            <v>233</v>
          </cell>
        </row>
        <row r="1421">
          <cell r="A1421">
            <v>44155</v>
          </cell>
          <cell r="B1421">
            <v>234</v>
          </cell>
        </row>
        <row r="1422">
          <cell r="A1422">
            <v>44156</v>
          </cell>
          <cell r="B1422">
            <v>235</v>
          </cell>
        </row>
        <row r="1423">
          <cell r="A1423">
            <v>44157</v>
          </cell>
          <cell r="B1423">
            <v>236</v>
          </cell>
        </row>
        <row r="1424">
          <cell r="A1424">
            <v>44158</v>
          </cell>
          <cell r="B1424">
            <v>237</v>
          </cell>
        </row>
        <row r="1425">
          <cell r="A1425">
            <v>44159</v>
          </cell>
          <cell r="B1425">
            <v>238</v>
          </cell>
        </row>
        <row r="1426">
          <cell r="A1426">
            <v>44160</v>
          </cell>
          <cell r="B1426">
            <v>239</v>
          </cell>
        </row>
        <row r="1427">
          <cell r="A1427">
            <v>44161</v>
          </cell>
          <cell r="B1427">
            <v>240</v>
          </cell>
        </row>
        <row r="1428">
          <cell r="A1428">
            <v>44162</v>
          </cell>
          <cell r="B1428">
            <v>241</v>
          </cell>
        </row>
        <row r="1429">
          <cell r="A1429">
            <v>44163</v>
          </cell>
          <cell r="B1429">
            <v>242</v>
          </cell>
        </row>
        <row r="1430">
          <cell r="A1430">
            <v>44164</v>
          </cell>
          <cell r="B1430">
            <v>243</v>
          </cell>
        </row>
        <row r="1431">
          <cell r="A1431">
            <v>44165</v>
          </cell>
          <cell r="B1431">
            <v>244</v>
          </cell>
        </row>
        <row r="1432">
          <cell r="A1432">
            <v>44166</v>
          </cell>
          <cell r="B1432">
            <v>245</v>
          </cell>
        </row>
        <row r="1433">
          <cell r="A1433">
            <v>44167</v>
          </cell>
          <cell r="B1433">
            <v>246</v>
          </cell>
        </row>
        <row r="1434">
          <cell r="A1434">
            <v>44168</v>
          </cell>
          <cell r="B1434">
            <v>247</v>
          </cell>
        </row>
        <row r="1435">
          <cell r="A1435">
            <v>44169</v>
          </cell>
          <cell r="B1435">
            <v>248</v>
          </cell>
        </row>
        <row r="1436">
          <cell r="A1436">
            <v>44170</v>
          </cell>
          <cell r="B1436">
            <v>249</v>
          </cell>
        </row>
        <row r="1437">
          <cell r="A1437">
            <v>44171</v>
          </cell>
          <cell r="B1437">
            <v>250</v>
          </cell>
        </row>
        <row r="1438">
          <cell r="A1438">
            <v>44172</v>
          </cell>
          <cell r="B1438">
            <v>251</v>
          </cell>
        </row>
        <row r="1439">
          <cell r="A1439">
            <v>44173</v>
          </cell>
          <cell r="B1439">
            <v>252</v>
          </cell>
        </row>
        <row r="1440">
          <cell r="A1440">
            <v>44174</v>
          </cell>
          <cell r="B1440">
            <v>253</v>
          </cell>
        </row>
        <row r="1441">
          <cell r="A1441">
            <v>44175</v>
          </cell>
          <cell r="B1441">
            <v>254</v>
          </cell>
        </row>
        <row r="1442">
          <cell r="A1442">
            <v>44176</v>
          </cell>
          <cell r="B1442">
            <v>255</v>
          </cell>
        </row>
        <row r="1443">
          <cell r="A1443">
            <v>44177</v>
          </cell>
          <cell r="B1443">
            <v>256</v>
          </cell>
        </row>
        <row r="1444">
          <cell r="A1444">
            <v>44178</v>
          </cell>
          <cell r="B1444">
            <v>257</v>
          </cell>
        </row>
        <row r="1445">
          <cell r="A1445">
            <v>44179</v>
          </cell>
          <cell r="B1445">
            <v>258</v>
          </cell>
        </row>
        <row r="1446">
          <cell r="A1446">
            <v>44180</v>
          </cell>
          <cell r="B1446">
            <v>259</v>
          </cell>
        </row>
        <row r="1447">
          <cell r="A1447">
            <v>44181</v>
          </cell>
          <cell r="B1447">
            <v>260</v>
          </cell>
        </row>
        <row r="1448">
          <cell r="A1448">
            <v>44182</v>
          </cell>
          <cell r="B1448">
            <v>261</v>
          </cell>
        </row>
        <row r="1449">
          <cell r="A1449">
            <v>44183</v>
          </cell>
          <cell r="B1449">
            <v>262</v>
          </cell>
        </row>
        <row r="1450">
          <cell r="A1450">
            <v>44184</v>
          </cell>
          <cell r="B1450">
            <v>263</v>
          </cell>
        </row>
        <row r="1451">
          <cell r="A1451">
            <v>44185</v>
          </cell>
          <cell r="B1451">
            <v>264</v>
          </cell>
        </row>
        <row r="1452">
          <cell r="A1452">
            <v>44186</v>
          </cell>
          <cell r="B1452">
            <v>265</v>
          </cell>
        </row>
        <row r="1453">
          <cell r="A1453">
            <v>44187</v>
          </cell>
          <cell r="B1453">
            <v>266</v>
          </cell>
        </row>
        <row r="1454">
          <cell r="A1454">
            <v>44188</v>
          </cell>
          <cell r="B1454">
            <v>267</v>
          </cell>
        </row>
        <row r="1455">
          <cell r="A1455">
            <v>44189</v>
          </cell>
          <cell r="B1455">
            <v>268</v>
          </cell>
        </row>
        <row r="1456">
          <cell r="A1456">
            <v>44190</v>
          </cell>
          <cell r="B1456">
            <v>269</v>
          </cell>
        </row>
        <row r="1457">
          <cell r="A1457">
            <v>44191</v>
          </cell>
          <cell r="B1457">
            <v>270</v>
          </cell>
        </row>
        <row r="1458">
          <cell r="A1458">
            <v>44192</v>
          </cell>
          <cell r="B1458">
            <v>271</v>
          </cell>
        </row>
        <row r="1459">
          <cell r="A1459">
            <v>44193</v>
          </cell>
          <cell r="B1459">
            <v>272</v>
          </cell>
        </row>
        <row r="1460">
          <cell r="A1460">
            <v>44194</v>
          </cell>
          <cell r="B1460">
            <v>273</v>
          </cell>
        </row>
        <row r="1461">
          <cell r="A1461">
            <v>44195</v>
          </cell>
          <cell r="B1461">
            <v>274</v>
          </cell>
        </row>
        <row r="1462">
          <cell r="A1462">
            <v>44196</v>
          </cell>
          <cell r="B1462">
            <v>275</v>
          </cell>
        </row>
        <row r="1463">
          <cell r="A1463">
            <v>44197</v>
          </cell>
          <cell r="B1463">
            <v>276</v>
          </cell>
        </row>
        <row r="1464">
          <cell r="A1464">
            <v>44198</v>
          </cell>
          <cell r="B1464">
            <v>277</v>
          </cell>
        </row>
        <row r="1465">
          <cell r="A1465">
            <v>44199</v>
          </cell>
          <cell r="B1465">
            <v>278</v>
          </cell>
        </row>
        <row r="1466">
          <cell r="A1466">
            <v>44200</v>
          </cell>
          <cell r="B1466">
            <v>279</v>
          </cell>
        </row>
        <row r="1467">
          <cell r="A1467">
            <v>44201</v>
          </cell>
          <cell r="B1467">
            <v>280</v>
          </cell>
        </row>
        <row r="1468">
          <cell r="A1468">
            <v>44202</v>
          </cell>
          <cell r="B1468">
            <v>281</v>
          </cell>
        </row>
        <row r="1469">
          <cell r="A1469">
            <v>44203</v>
          </cell>
          <cell r="B1469">
            <v>282</v>
          </cell>
        </row>
        <row r="1470">
          <cell r="A1470">
            <v>44204</v>
          </cell>
          <cell r="B1470">
            <v>283</v>
          </cell>
        </row>
        <row r="1471">
          <cell r="A1471">
            <v>44205</v>
          </cell>
          <cell r="B1471">
            <v>284</v>
          </cell>
        </row>
        <row r="1472">
          <cell r="A1472">
            <v>44206</v>
          </cell>
          <cell r="B1472">
            <v>285</v>
          </cell>
        </row>
        <row r="1473">
          <cell r="A1473">
            <v>44207</v>
          </cell>
          <cell r="B1473">
            <v>286</v>
          </cell>
        </row>
        <row r="1474">
          <cell r="A1474">
            <v>44208</v>
          </cell>
          <cell r="B1474">
            <v>287</v>
          </cell>
        </row>
        <row r="1475">
          <cell r="A1475">
            <v>44209</v>
          </cell>
          <cell r="B1475">
            <v>288</v>
          </cell>
        </row>
        <row r="1476">
          <cell r="A1476">
            <v>44210</v>
          </cell>
          <cell r="B1476">
            <v>289</v>
          </cell>
        </row>
        <row r="1477">
          <cell r="A1477">
            <v>44211</v>
          </cell>
          <cell r="B1477">
            <v>290</v>
          </cell>
        </row>
        <row r="1478">
          <cell r="A1478">
            <v>44212</v>
          </cell>
          <cell r="B1478">
            <v>291</v>
          </cell>
        </row>
        <row r="1479">
          <cell r="A1479">
            <v>44213</v>
          </cell>
          <cell r="B1479">
            <v>292</v>
          </cell>
        </row>
        <row r="1480">
          <cell r="A1480">
            <v>44214</v>
          </cell>
          <cell r="B1480">
            <v>293</v>
          </cell>
        </row>
        <row r="1481">
          <cell r="A1481">
            <v>44215</v>
          </cell>
          <cell r="B1481">
            <v>294</v>
          </cell>
        </row>
        <row r="1482">
          <cell r="A1482">
            <v>44216</v>
          </cell>
          <cell r="B1482">
            <v>295</v>
          </cell>
        </row>
        <row r="1483">
          <cell r="A1483">
            <v>44217</v>
          </cell>
          <cell r="B1483">
            <v>296</v>
          </cell>
        </row>
        <row r="1484">
          <cell r="A1484">
            <v>44218</v>
          </cell>
          <cell r="B1484">
            <v>297</v>
          </cell>
        </row>
        <row r="1485">
          <cell r="A1485">
            <v>44219</v>
          </cell>
          <cell r="B1485">
            <v>298</v>
          </cell>
        </row>
        <row r="1486">
          <cell r="A1486">
            <v>44220</v>
          </cell>
          <cell r="B1486">
            <v>299</v>
          </cell>
        </row>
        <row r="1487">
          <cell r="A1487">
            <v>44221</v>
          </cell>
          <cell r="B1487">
            <v>300</v>
          </cell>
        </row>
        <row r="1488">
          <cell r="A1488">
            <v>44222</v>
          </cell>
          <cell r="B1488">
            <v>301</v>
          </cell>
        </row>
        <row r="1489">
          <cell r="A1489">
            <v>44223</v>
          </cell>
          <cell r="B1489">
            <v>302</v>
          </cell>
        </row>
        <row r="1490">
          <cell r="A1490">
            <v>44224</v>
          </cell>
          <cell r="B1490">
            <v>303</v>
          </cell>
        </row>
        <row r="1491">
          <cell r="A1491">
            <v>44225</v>
          </cell>
          <cell r="B1491">
            <v>304</v>
          </cell>
        </row>
        <row r="1492">
          <cell r="A1492">
            <v>44226</v>
          </cell>
          <cell r="B1492">
            <v>305</v>
          </cell>
        </row>
        <row r="1493">
          <cell r="A1493">
            <v>44227</v>
          </cell>
          <cell r="B1493">
            <v>306</v>
          </cell>
        </row>
        <row r="1494">
          <cell r="A1494">
            <v>44228</v>
          </cell>
          <cell r="B1494">
            <v>307</v>
          </cell>
        </row>
        <row r="1495">
          <cell r="A1495">
            <v>44229</v>
          </cell>
          <cell r="B1495">
            <v>308</v>
          </cell>
        </row>
        <row r="1496">
          <cell r="A1496">
            <v>44230</v>
          </cell>
          <cell r="B1496">
            <v>309</v>
          </cell>
        </row>
        <row r="1497">
          <cell r="A1497">
            <v>44231</v>
          </cell>
          <cell r="B1497">
            <v>310</v>
          </cell>
        </row>
        <row r="1498">
          <cell r="A1498">
            <v>44232</v>
          </cell>
          <cell r="B1498">
            <v>311</v>
          </cell>
        </row>
        <row r="1499">
          <cell r="A1499">
            <v>44233</v>
          </cell>
          <cell r="B1499">
            <v>312</v>
          </cell>
        </row>
        <row r="1500">
          <cell r="A1500">
            <v>44234</v>
          </cell>
          <cell r="B1500">
            <v>313</v>
          </cell>
        </row>
        <row r="1501">
          <cell r="A1501">
            <v>44235</v>
          </cell>
          <cell r="B1501">
            <v>314</v>
          </cell>
        </row>
        <row r="1502">
          <cell r="A1502">
            <v>44236</v>
          </cell>
          <cell r="B1502">
            <v>315</v>
          </cell>
        </row>
        <row r="1503">
          <cell r="A1503">
            <v>44237</v>
          </cell>
          <cell r="B1503">
            <v>316</v>
          </cell>
        </row>
        <row r="1504">
          <cell r="A1504">
            <v>44238</v>
          </cell>
          <cell r="B1504">
            <v>317</v>
          </cell>
        </row>
        <row r="1505">
          <cell r="A1505">
            <v>44239</v>
          </cell>
          <cell r="B1505">
            <v>318</v>
          </cell>
        </row>
        <row r="1506">
          <cell r="A1506">
            <v>44240</v>
          </cell>
          <cell r="B1506">
            <v>319</v>
          </cell>
        </row>
        <row r="1507">
          <cell r="A1507">
            <v>44241</v>
          </cell>
          <cell r="B1507">
            <v>320</v>
          </cell>
        </row>
        <row r="1508">
          <cell r="A1508">
            <v>44242</v>
          </cell>
          <cell r="B1508">
            <v>321</v>
          </cell>
        </row>
        <row r="1509">
          <cell r="A1509">
            <v>44243</v>
          </cell>
          <cell r="B1509">
            <v>322</v>
          </cell>
        </row>
        <row r="1510">
          <cell r="A1510">
            <v>44244</v>
          </cell>
          <cell r="B1510">
            <v>323</v>
          </cell>
        </row>
        <row r="1511">
          <cell r="A1511">
            <v>44245</v>
          </cell>
          <cell r="B1511">
            <v>324</v>
          </cell>
        </row>
        <row r="1512">
          <cell r="A1512">
            <v>44246</v>
          </cell>
          <cell r="B1512">
            <v>325</v>
          </cell>
        </row>
        <row r="1513">
          <cell r="A1513">
            <v>44247</v>
          </cell>
          <cell r="B1513">
            <v>326</v>
          </cell>
        </row>
        <row r="1514">
          <cell r="A1514">
            <v>44248</v>
          </cell>
          <cell r="B1514">
            <v>327</v>
          </cell>
        </row>
        <row r="1515">
          <cell r="A1515">
            <v>44249</v>
          </cell>
          <cell r="B1515">
            <v>328</v>
          </cell>
        </row>
        <row r="1516">
          <cell r="A1516">
            <v>44250</v>
          </cell>
          <cell r="B1516">
            <v>329</v>
          </cell>
        </row>
        <row r="1517">
          <cell r="A1517">
            <v>44251</v>
          </cell>
          <cell r="B1517">
            <v>330</v>
          </cell>
        </row>
        <row r="1518">
          <cell r="A1518">
            <v>44252</v>
          </cell>
          <cell r="B1518">
            <v>331</v>
          </cell>
        </row>
        <row r="1519">
          <cell r="A1519">
            <v>44253</v>
          </cell>
          <cell r="B1519">
            <v>332</v>
          </cell>
        </row>
        <row r="1520">
          <cell r="A1520">
            <v>44254</v>
          </cell>
          <cell r="B1520">
            <v>333</v>
          </cell>
        </row>
        <row r="1521">
          <cell r="A1521">
            <v>44255</v>
          </cell>
          <cell r="B1521">
            <v>334</v>
          </cell>
        </row>
        <row r="1522">
          <cell r="A1522">
            <v>44256</v>
          </cell>
          <cell r="B1522">
            <v>335</v>
          </cell>
        </row>
        <row r="1523">
          <cell r="A1523">
            <v>44257</v>
          </cell>
          <cell r="B1523">
            <v>336</v>
          </cell>
        </row>
        <row r="1524">
          <cell r="A1524">
            <v>44258</v>
          </cell>
          <cell r="B1524">
            <v>337</v>
          </cell>
        </row>
        <row r="1525">
          <cell r="A1525">
            <v>44259</v>
          </cell>
          <cell r="B1525">
            <v>338</v>
          </cell>
        </row>
        <row r="1526">
          <cell r="A1526">
            <v>44260</v>
          </cell>
          <cell r="B1526">
            <v>339</v>
          </cell>
        </row>
        <row r="1527">
          <cell r="A1527">
            <v>44261</v>
          </cell>
          <cell r="B1527">
            <v>340</v>
          </cell>
        </row>
        <row r="1528">
          <cell r="A1528">
            <v>44262</v>
          </cell>
          <cell r="B1528">
            <v>341</v>
          </cell>
        </row>
        <row r="1529">
          <cell r="A1529">
            <v>44263</v>
          </cell>
          <cell r="B1529">
            <v>342</v>
          </cell>
        </row>
        <row r="1530">
          <cell r="A1530">
            <v>44264</v>
          </cell>
          <cell r="B1530">
            <v>343</v>
          </cell>
        </row>
        <row r="1531">
          <cell r="A1531">
            <v>44265</v>
          </cell>
          <cell r="B1531">
            <v>344</v>
          </cell>
        </row>
        <row r="1532">
          <cell r="A1532">
            <v>44266</v>
          </cell>
          <cell r="B1532">
            <v>345</v>
          </cell>
        </row>
        <row r="1533">
          <cell r="A1533">
            <v>44267</v>
          </cell>
          <cell r="B1533">
            <v>346</v>
          </cell>
        </row>
        <row r="1534">
          <cell r="A1534">
            <v>44268</v>
          </cell>
          <cell r="B1534">
            <v>347</v>
          </cell>
        </row>
        <row r="1535">
          <cell r="A1535">
            <v>44269</v>
          </cell>
          <cell r="B1535">
            <v>348</v>
          </cell>
        </row>
        <row r="1536">
          <cell r="A1536">
            <v>44270</v>
          </cell>
          <cell r="B1536">
            <v>349</v>
          </cell>
        </row>
        <row r="1537">
          <cell r="A1537">
            <v>44271</v>
          </cell>
          <cell r="B1537">
            <v>350</v>
          </cell>
        </row>
        <row r="1538">
          <cell r="A1538">
            <v>44272</v>
          </cell>
          <cell r="B1538">
            <v>351</v>
          </cell>
        </row>
        <row r="1539">
          <cell r="A1539">
            <v>44273</v>
          </cell>
          <cell r="B1539">
            <v>352</v>
          </cell>
        </row>
        <row r="1540">
          <cell r="A1540">
            <v>44274</v>
          </cell>
          <cell r="B1540">
            <v>353</v>
          </cell>
        </row>
        <row r="1541">
          <cell r="A1541">
            <v>44275</v>
          </cell>
          <cell r="B1541">
            <v>354</v>
          </cell>
        </row>
        <row r="1542">
          <cell r="A1542">
            <v>44276</v>
          </cell>
          <cell r="B1542">
            <v>355</v>
          </cell>
        </row>
        <row r="1543">
          <cell r="A1543">
            <v>44277</v>
          </cell>
          <cell r="B1543">
            <v>356</v>
          </cell>
        </row>
        <row r="1544">
          <cell r="A1544">
            <v>44278</v>
          </cell>
          <cell r="B1544">
            <v>357</v>
          </cell>
        </row>
        <row r="1545">
          <cell r="A1545">
            <v>44279</v>
          </cell>
          <cell r="B1545">
            <v>358</v>
          </cell>
        </row>
        <row r="1546">
          <cell r="A1546">
            <v>44280</v>
          </cell>
          <cell r="B1546">
            <v>359</v>
          </cell>
        </row>
        <row r="1547">
          <cell r="A1547">
            <v>44281</v>
          </cell>
          <cell r="B1547">
            <v>360</v>
          </cell>
        </row>
        <row r="1548">
          <cell r="A1548">
            <v>44282</v>
          </cell>
          <cell r="B1548">
            <v>361</v>
          </cell>
        </row>
        <row r="1549">
          <cell r="A1549">
            <v>44283</v>
          </cell>
          <cell r="B1549">
            <v>362</v>
          </cell>
        </row>
        <row r="1550">
          <cell r="A1550">
            <v>44284</v>
          </cell>
          <cell r="B1550">
            <v>363</v>
          </cell>
        </row>
        <row r="1551">
          <cell r="A1551">
            <v>44285</v>
          </cell>
          <cell r="B1551">
            <v>364</v>
          </cell>
        </row>
        <row r="1552">
          <cell r="A1552">
            <v>44286</v>
          </cell>
          <cell r="B1552">
            <v>365</v>
          </cell>
        </row>
        <row r="1553">
          <cell r="A1553">
            <v>44287</v>
          </cell>
          <cell r="B1553">
            <v>1</v>
          </cell>
        </row>
        <row r="1554">
          <cell r="A1554">
            <v>44288</v>
          </cell>
          <cell r="B1554">
            <v>2</v>
          </cell>
        </row>
        <row r="1555">
          <cell r="A1555">
            <v>44289</v>
          </cell>
          <cell r="B1555">
            <v>3</v>
          </cell>
        </row>
        <row r="1556">
          <cell r="A1556">
            <v>44290</v>
          </cell>
          <cell r="B1556">
            <v>4</v>
          </cell>
        </row>
        <row r="1557">
          <cell r="A1557">
            <v>44291</v>
          </cell>
          <cell r="B1557">
            <v>5</v>
          </cell>
        </row>
        <row r="1558">
          <cell r="A1558">
            <v>44292</v>
          </cell>
          <cell r="B1558">
            <v>6</v>
          </cell>
        </row>
        <row r="1559">
          <cell r="A1559">
            <v>44293</v>
          </cell>
          <cell r="B1559">
            <v>7</v>
          </cell>
        </row>
        <row r="1560">
          <cell r="A1560">
            <v>44294</v>
          </cell>
          <cell r="B1560">
            <v>8</v>
          </cell>
        </row>
        <row r="1561">
          <cell r="A1561">
            <v>44295</v>
          </cell>
          <cell r="B1561">
            <v>9</v>
          </cell>
        </row>
        <row r="1562">
          <cell r="A1562">
            <v>44296</v>
          </cell>
          <cell r="B1562">
            <v>10</v>
          </cell>
        </row>
        <row r="1563">
          <cell r="A1563">
            <v>44297</v>
          </cell>
          <cell r="B1563">
            <v>11</v>
          </cell>
        </row>
        <row r="1564">
          <cell r="A1564">
            <v>44298</v>
          </cell>
          <cell r="B1564">
            <v>12</v>
          </cell>
        </row>
        <row r="1565">
          <cell r="A1565">
            <v>44299</v>
          </cell>
          <cell r="B1565">
            <v>13</v>
          </cell>
        </row>
        <row r="1566">
          <cell r="A1566">
            <v>44300</v>
          </cell>
          <cell r="B1566">
            <v>14</v>
          </cell>
        </row>
        <row r="1567">
          <cell r="A1567">
            <v>44301</v>
          </cell>
          <cell r="B1567">
            <v>15</v>
          </cell>
        </row>
        <row r="1568">
          <cell r="A1568">
            <v>44302</v>
          </cell>
          <cell r="B1568">
            <v>16</v>
          </cell>
        </row>
        <row r="1569">
          <cell r="A1569">
            <v>44303</v>
          </cell>
          <cell r="B1569">
            <v>17</v>
          </cell>
        </row>
        <row r="1570">
          <cell r="A1570">
            <v>44304</v>
          </cell>
          <cell r="B1570">
            <v>18</v>
          </cell>
        </row>
        <row r="1571">
          <cell r="A1571">
            <v>44305</v>
          </cell>
          <cell r="B1571">
            <v>19</v>
          </cell>
        </row>
        <row r="1572">
          <cell r="A1572">
            <v>44306</v>
          </cell>
          <cell r="B1572">
            <v>20</v>
          </cell>
        </row>
        <row r="1573">
          <cell r="A1573">
            <v>44307</v>
          </cell>
          <cell r="B1573">
            <v>21</v>
          </cell>
        </row>
        <row r="1574">
          <cell r="A1574">
            <v>44308</v>
          </cell>
          <cell r="B1574">
            <v>22</v>
          </cell>
        </row>
        <row r="1575">
          <cell r="A1575">
            <v>44309</v>
          </cell>
          <cell r="B1575">
            <v>23</v>
          </cell>
        </row>
        <row r="1576">
          <cell r="A1576">
            <v>44310</v>
          </cell>
          <cell r="B1576">
            <v>24</v>
          </cell>
        </row>
        <row r="1577">
          <cell r="A1577">
            <v>44311</v>
          </cell>
          <cell r="B1577">
            <v>25</v>
          </cell>
        </row>
        <row r="1578">
          <cell r="A1578">
            <v>44312</v>
          </cell>
          <cell r="B1578">
            <v>26</v>
          </cell>
        </row>
        <row r="1579">
          <cell r="A1579">
            <v>44313</v>
          </cell>
          <cell r="B1579">
            <v>27</v>
          </cell>
        </row>
        <row r="1580">
          <cell r="A1580">
            <v>44314</v>
          </cell>
          <cell r="B1580">
            <v>28</v>
          </cell>
        </row>
        <row r="1581">
          <cell r="A1581">
            <v>44315</v>
          </cell>
          <cell r="B1581">
            <v>29</v>
          </cell>
        </row>
        <row r="1582">
          <cell r="A1582">
            <v>44316</v>
          </cell>
          <cell r="B1582">
            <v>30</v>
          </cell>
        </row>
        <row r="1583">
          <cell r="A1583">
            <v>44317</v>
          </cell>
          <cell r="B1583">
            <v>31</v>
          </cell>
        </row>
        <row r="1584">
          <cell r="A1584">
            <v>44318</v>
          </cell>
          <cell r="B1584">
            <v>32</v>
          </cell>
        </row>
        <row r="1585">
          <cell r="A1585">
            <v>44319</v>
          </cell>
          <cell r="B1585">
            <v>33</v>
          </cell>
        </row>
        <row r="1586">
          <cell r="A1586">
            <v>44320</v>
          </cell>
          <cell r="B1586">
            <v>34</v>
          </cell>
        </row>
        <row r="1587">
          <cell r="A1587">
            <v>44321</v>
          </cell>
          <cell r="B1587">
            <v>35</v>
          </cell>
        </row>
        <row r="1588">
          <cell r="A1588">
            <v>44322</v>
          </cell>
          <cell r="B1588">
            <v>36</v>
          </cell>
        </row>
        <row r="1589">
          <cell r="A1589">
            <v>44323</v>
          </cell>
          <cell r="B1589">
            <v>37</v>
          </cell>
        </row>
        <row r="1590">
          <cell r="A1590">
            <v>44324</v>
          </cell>
          <cell r="B1590">
            <v>38</v>
          </cell>
        </row>
        <row r="1591">
          <cell r="A1591">
            <v>44325</v>
          </cell>
          <cell r="B1591">
            <v>39</v>
          </cell>
        </row>
        <row r="1592">
          <cell r="A1592">
            <v>44326</v>
          </cell>
          <cell r="B1592">
            <v>40</v>
          </cell>
        </row>
        <row r="1593">
          <cell r="A1593">
            <v>44327</v>
          </cell>
          <cell r="B1593">
            <v>41</v>
          </cell>
        </row>
        <row r="1594">
          <cell r="A1594">
            <v>44328</v>
          </cell>
          <cell r="B1594">
            <v>42</v>
          </cell>
        </row>
        <row r="1595">
          <cell r="A1595">
            <v>44329</v>
          </cell>
          <cell r="B1595">
            <v>43</v>
          </cell>
        </row>
        <row r="1596">
          <cell r="A1596">
            <v>44330</v>
          </cell>
          <cell r="B1596">
            <v>44</v>
          </cell>
        </row>
        <row r="1597">
          <cell r="A1597">
            <v>44331</v>
          </cell>
          <cell r="B1597">
            <v>45</v>
          </cell>
        </row>
        <row r="1598">
          <cell r="A1598">
            <v>44332</v>
          </cell>
          <cell r="B1598">
            <v>46</v>
          </cell>
        </row>
        <row r="1599">
          <cell r="A1599">
            <v>44333</v>
          </cell>
          <cell r="B1599">
            <v>47</v>
          </cell>
        </row>
        <row r="1600">
          <cell r="A1600">
            <v>44334</v>
          </cell>
          <cell r="B1600">
            <v>48</v>
          </cell>
        </row>
        <row r="1601">
          <cell r="A1601">
            <v>44335</v>
          </cell>
          <cell r="B1601">
            <v>49</v>
          </cell>
        </row>
        <row r="1602">
          <cell r="A1602">
            <v>44336</v>
          </cell>
          <cell r="B1602">
            <v>50</v>
          </cell>
        </row>
        <row r="1603">
          <cell r="A1603">
            <v>44337</v>
          </cell>
          <cell r="B1603">
            <v>51</v>
          </cell>
        </row>
        <row r="1604">
          <cell r="A1604">
            <v>44338</v>
          </cell>
          <cell r="B1604">
            <v>52</v>
          </cell>
        </row>
        <row r="1605">
          <cell r="A1605">
            <v>44339</v>
          </cell>
          <cell r="B1605">
            <v>53</v>
          </cell>
        </row>
        <row r="1606">
          <cell r="A1606">
            <v>44340</v>
          </cell>
          <cell r="B1606">
            <v>54</v>
          </cell>
        </row>
        <row r="1607">
          <cell r="A1607">
            <v>44341</v>
          </cell>
          <cell r="B1607">
            <v>55</v>
          </cell>
        </row>
        <row r="1608">
          <cell r="A1608">
            <v>44342</v>
          </cell>
          <cell r="B1608">
            <v>56</v>
          </cell>
        </row>
        <row r="1609">
          <cell r="A1609">
            <v>44343</v>
          </cell>
          <cell r="B1609">
            <v>57</v>
          </cell>
        </row>
        <row r="1610">
          <cell r="A1610">
            <v>44344</v>
          </cell>
          <cell r="B1610">
            <v>58</v>
          </cell>
        </row>
        <row r="1611">
          <cell r="A1611">
            <v>44345</v>
          </cell>
          <cell r="B1611">
            <v>59</v>
          </cell>
        </row>
        <row r="1612">
          <cell r="A1612">
            <v>44346</v>
          </cell>
          <cell r="B1612">
            <v>60</v>
          </cell>
        </row>
        <row r="1613">
          <cell r="A1613">
            <v>44347</v>
          </cell>
          <cell r="B1613">
            <v>61</v>
          </cell>
        </row>
        <row r="1614">
          <cell r="A1614">
            <v>44348</v>
          </cell>
          <cell r="B1614">
            <v>62</v>
          </cell>
        </row>
        <row r="1615">
          <cell r="A1615">
            <v>44349</v>
          </cell>
          <cell r="B1615">
            <v>63</v>
          </cell>
        </row>
        <row r="1616">
          <cell r="A1616">
            <v>44350</v>
          </cell>
          <cell r="B1616">
            <v>64</v>
          </cell>
        </row>
        <row r="1617">
          <cell r="A1617">
            <v>44351</v>
          </cell>
          <cell r="B1617">
            <v>65</v>
          </cell>
        </row>
        <row r="1618">
          <cell r="A1618">
            <v>44352</v>
          </cell>
          <cell r="B1618">
            <v>66</v>
          </cell>
        </row>
        <row r="1619">
          <cell r="A1619">
            <v>44353</v>
          </cell>
          <cell r="B1619">
            <v>67</v>
          </cell>
        </row>
        <row r="1620">
          <cell r="A1620">
            <v>44354</v>
          </cell>
          <cell r="B1620">
            <v>68</v>
          </cell>
        </row>
        <row r="1621">
          <cell r="A1621">
            <v>44355</v>
          </cell>
          <cell r="B1621">
            <v>69</v>
          </cell>
        </row>
        <row r="1622">
          <cell r="A1622">
            <v>44356</v>
          </cell>
          <cell r="B1622">
            <v>70</v>
          </cell>
        </row>
        <row r="1623">
          <cell r="A1623">
            <v>44357</v>
          </cell>
          <cell r="B1623">
            <v>71</v>
          </cell>
        </row>
        <row r="1624">
          <cell r="A1624">
            <v>44358</v>
          </cell>
          <cell r="B1624">
            <v>72</v>
          </cell>
        </row>
        <row r="1625">
          <cell r="A1625">
            <v>44359</v>
          </cell>
          <cell r="B1625">
            <v>73</v>
          </cell>
        </row>
        <row r="1626">
          <cell r="A1626">
            <v>44360</v>
          </cell>
          <cell r="B1626">
            <v>74</v>
          </cell>
        </row>
        <row r="1627">
          <cell r="A1627">
            <v>44361</v>
          </cell>
          <cell r="B1627">
            <v>75</v>
          </cell>
        </row>
        <row r="1628">
          <cell r="A1628">
            <v>44362</v>
          </cell>
          <cell r="B1628">
            <v>76</v>
          </cell>
        </row>
        <row r="1629">
          <cell r="A1629">
            <v>44363</v>
          </cell>
          <cell r="B1629">
            <v>77</v>
          </cell>
        </row>
        <row r="1630">
          <cell r="A1630">
            <v>44364</v>
          </cell>
          <cell r="B1630">
            <v>78</v>
          </cell>
        </row>
        <row r="1631">
          <cell r="A1631">
            <v>44365</v>
          </cell>
          <cell r="B1631">
            <v>79</v>
          </cell>
        </row>
        <row r="1632">
          <cell r="A1632">
            <v>44366</v>
          </cell>
          <cell r="B1632">
            <v>80</v>
          </cell>
        </row>
        <row r="1633">
          <cell r="A1633">
            <v>44367</v>
          </cell>
          <cell r="B1633">
            <v>81</v>
          </cell>
        </row>
        <row r="1634">
          <cell r="A1634">
            <v>44368</v>
          </cell>
          <cell r="B1634">
            <v>82</v>
          </cell>
        </row>
        <row r="1635">
          <cell r="A1635">
            <v>44369</v>
          </cell>
          <cell r="B1635">
            <v>83</v>
          </cell>
        </row>
        <row r="1636">
          <cell r="A1636">
            <v>44370</v>
          </cell>
          <cell r="B1636">
            <v>84</v>
          </cell>
        </row>
        <row r="1637">
          <cell r="A1637">
            <v>44371</v>
          </cell>
          <cell r="B1637">
            <v>85</v>
          </cell>
        </row>
        <row r="1638">
          <cell r="A1638">
            <v>44372</v>
          </cell>
          <cell r="B1638">
            <v>86</v>
          </cell>
        </row>
        <row r="1639">
          <cell r="A1639">
            <v>44373</v>
          </cell>
          <cell r="B1639">
            <v>87</v>
          </cell>
        </row>
        <row r="1640">
          <cell r="A1640">
            <v>44374</v>
          </cell>
          <cell r="B1640">
            <v>88</v>
          </cell>
        </row>
        <row r="1641">
          <cell r="A1641">
            <v>44375</v>
          </cell>
          <cell r="B1641">
            <v>89</v>
          </cell>
        </row>
        <row r="1642">
          <cell r="A1642">
            <v>44376</v>
          </cell>
          <cell r="B1642">
            <v>90</v>
          </cell>
        </row>
        <row r="1643">
          <cell r="A1643">
            <v>44377</v>
          </cell>
          <cell r="B1643">
            <v>91</v>
          </cell>
        </row>
        <row r="1644">
          <cell r="A1644">
            <v>44378</v>
          </cell>
          <cell r="B1644">
            <v>92</v>
          </cell>
        </row>
        <row r="1645">
          <cell r="A1645">
            <v>44379</v>
          </cell>
          <cell r="B1645">
            <v>93</v>
          </cell>
        </row>
        <row r="1646">
          <cell r="A1646">
            <v>44380</v>
          </cell>
          <cell r="B1646">
            <v>94</v>
          </cell>
        </row>
        <row r="1647">
          <cell r="A1647">
            <v>44381</v>
          </cell>
          <cell r="B1647">
            <v>95</v>
          </cell>
        </row>
        <row r="1648">
          <cell r="A1648">
            <v>44382</v>
          </cell>
          <cell r="B1648">
            <v>96</v>
          </cell>
        </row>
        <row r="1649">
          <cell r="A1649">
            <v>44383</v>
          </cell>
          <cell r="B1649">
            <v>97</v>
          </cell>
        </row>
        <row r="1650">
          <cell r="A1650">
            <v>44384</v>
          </cell>
          <cell r="B1650">
            <v>98</v>
          </cell>
        </row>
        <row r="1651">
          <cell r="A1651">
            <v>44385</v>
          </cell>
          <cell r="B1651">
            <v>99</v>
          </cell>
        </row>
        <row r="1652">
          <cell r="A1652">
            <v>44386</v>
          </cell>
          <cell r="B1652">
            <v>100</v>
          </cell>
        </row>
        <row r="1653">
          <cell r="A1653">
            <v>44387</v>
          </cell>
          <cell r="B1653">
            <v>101</v>
          </cell>
        </row>
        <row r="1654">
          <cell r="A1654">
            <v>44388</v>
          </cell>
          <cell r="B1654">
            <v>102</v>
          </cell>
        </row>
        <row r="1655">
          <cell r="A1655">
            <v>44389</v>
          </cell>
          <cell r="B1655">
            <v>103</v>
          </cell>
        </row>
        <row r="1656">
          <cell r="A1656">
            <v>44390</v>
          </cell>
          <cell r="B1656">
            <v>104</v>
          </cell>
        </row>
        <row r="1657">
          <cell r="A1657">
            <v>44391</v>
          </cell>
          <cell r="B1657">
            <v>105</v>
          </cell>
        </row>
        <row r="1658">
          <cell r="A1658">
            <v>44392</v>
          </cell>
          <cell r="B1658">
            <v>106</v>
          </cell>
        </row>
        <row r="1659">
          <cell r="A1659">
            <v>44393</v>
          </cell>
          <cell r="B1659">
            <v>107</v>
          </cell>
        </row>
        <row r="1660">
          <cell r="A1660">
            <v>44394</v>
          </cell>
          <cell r="B1660">
            <v>108</v>
          </cell>
        </row>
        <row r="1661">
          <cell r="A1661">
            <v>44395</v>
          </cell>
          <cell r="B1661">
            <v>109</v>
          </cell>
        </row>
        <row r="1662">
          <cell r="A1662">
            <v>44396</v>
          </cell>
          <cell r="B1662">
            <v>110</v>
          </cell>
        </row>
        <row r="1663">
          <cell r="A1663">
            <v>44397</v>
          </cell>
          <cell r="B1663">
            <v>111</v>
          </cell>
        </row>
        <row r="1664">
          <cell r="A1664">
            <v>44398</v>
          </cell>
          <cell r="B1664">
            <v>112</v>
          </cell>
        </row>
        <row r="1665">
          <cell r="A1665">
            <v>44399</v>
          </cell>
          <cell r="B1665">
            <v>113</v>
          </cell>
        </row>
        <row r="1666">
          <cell r="A1666">
            <v>44400</v>
          </cell>
          <cell r="B1666">
            <v>114</v>
          </cell>
        </row>
        <row r="1667">
          <cell r="A1667">
            <v>44401</v>
          </cell>
          <cell r="B1667">
            <v>115</v>
          </cell>
        </row>
        <row r="1668">
          <cell r="A1668">
            <v>44402</v>
          </cell>
          <cell r="B1668">
            <v>116</v>
          </cell>
        </row>
        <row r="1669">
          <cell r="A1669">
            <v>44403</v>
          </cell>
          <cell r="B1669">
            <v>117</v>
          </cell>
        </row>
        <row r="1670">
          <cell r="A1670">
            <v>44404</v>
          </cell>
          <cell r="B1670">
            <v>118</v>
          </cell>
        </row>
        <row r="1671">
          <cell r="A1671">
            <v>44405</v>
          </cell>
          <cell r="B1671">
            <v>119</v>
          </cell>
        </row>
        <row r="1672">
          <cell r="A1672">
            <v>44406</v>
          </cell>
          <cell r="B1672">
            <v>120</v>
          </cell>
        </row>
        <row r="1673">
          <cell r="A1673">
            <v>44407</v>
          </cell>
          <cell r="B1673">
            <v>121</v>
          </cell>
        </row>
        <row r="1674">
          <cell r="A1674">
            <v>44408</v>
          </cell>
          <cell r="B1674">
            <v>122</v>
          </cell>
        </row>
        <row r="1675">
          <cell r="A1675">
            <v>44409</v>
          </cell>
          <cell r="B1675">
            <v>123</v>
          </cell>
        </row>
        <row r="1676">
          <cell r="A1676">
            <v>44410</v>
          </cell>
          <cell r="B1676">
            <v>124</v>
          </cell>
        </row>
        <row r="1677">
          <cell r="A1677">
            <v>44411</v>
          </cell>
          <cell r="B1677">
            <v>125</v>
          </cell>
        </row>
        <row r="1678">
          <cell r="A1678">
            <v>44412</v>
          </cell>
          <cell r="B1678">
            <v>126</v>
          </cell>
        </row>
        <row r="1679">
          <cell r="A1679">
            <v>44413</v>
          </cell>
          <cell r="B1679">
            <v>127</v>
          </cell>
        </row>
        <row r="1680">
          <cell r="A1680">
            <v>44414</v>
          </cell>
          <cell r="B1680">
            <v>128</v>
          </cell>
        </row>
        <row r="1681">
          <cell r="A1681">
            <v>44415</v>
          </cell>
          <cell r="B1681">
            <v>129</v>
          </cell>
        </row>
        <row r="1682">
          <cell r="A1682">
            <v>44416</v>
          </cell>
          <cell r="B1682">
            <v>130</v>
          </cell>
        </row>
        <row r="1683">
          <cell r="A1683">
            <v>44417</v>
          </cell>
          <cell r="B1683">
            <v>131</v>
          </cell>
        </row>
        <row r="1684">
          <cell r="A1684">
            <v>44418</v>
          </cell>
          <cell r="B1684">
            <v>132</v>
          </cell>
        </row>
        <row r="1685">
          <cell r="A1685">
            <v>44419</v>
          </cell>
          <cell r="B1685">
            <v>133</v>
          </cell>
        </row>
        <row r="1686">
          <cell r="A1686">
            <v>44420</v>
          </cell>
          <cell r="B1686">
            <v>134</v>
          </cell>
        </row>
        <row r="1687">
          <cell r="A1687">
            <v>44421</v>
          </cell>
          <cell r="B1687">
            <v>135</v>
          </cell>
        </row>
        <row r="1688">
          <cell r="A1688">
            <v>44422</v>
          </cell>
          <cell r="B1688">
            <v>136</v>
          </cell>
        </row>
        <row r="1689">
          <cell r="A1689">
            <v>44423</v>
          </cell>
          <cell r="B1689">
            <v>137</v>
          </cell>
        </row>
        <row r="1690">
          <cell r="A1690">
            <v>44424</v>
          </cell>
          <cell r="B1690">
            <v>138</v>
          </cell>
        </row>
        <row r="1691">
          <cell r="A1691">
            <v>44425</v>
          </cell>
          <cell r="B1691">
            <v>139</v>
          </cell>
        </row>
        <row r="1692">
          <cell r="A1692">
            <v>44426</v>
          </cell>
          <cell r="B1692">
            <v>140</v>
          </cell>
        </row>
        <row r="1693">
          <cell r="A1693">
            <v>44427</v>
          </cell>
          <cell r="B1693">
            <v>141</v>
          </cell>
        </row>
        <row r="1694">
          <cell r="A1694">
            <v>44428</v>
          </cell>
          <cell r="B1694">
            <v>142</v>
          </cell>
        </row>
        <row r="1695">
          <cell r="A1695">
            <v>44429</v>
          </cell>
          <cell r="B1695">
            <v>143</v>
          </cell>
        </row>
        <row r="1696">
          <cell r="A1696">
            <v>44430</v>
          </cell>
          <cell r="B1696">
            <v>144</v>
          </cell>
        </row>
        <row r="1697">
          <cell r="A1697">
            <v>44431</v>
          </cell>
          <cell r="B1697">
            <v>145</v>
          </cell>
        </row>
        <row r="1698">
          <cell r="A1698">
            <v>44432</v>
          </cell>
          <cell r="B1698">
            <v>146</v>
          </cell>
        </row>
        <row r="1699">
          <cell r="A1699">
            <v>44433</v>
          </cell>
          <cell r="B1699">
            <v>147</v>
          </cell>
        </row>
        <row r="1700">
          <cell r="A1700">
            <v>44434</v>
          </cell>
          <cell r="B1700">
            <v>148</v>
          </cell>
        </row>
        <row r="1701">
          <cell r="A1701">
            <v>44435</v>
          </cell>
          <cell r="B1701">
            <v>149</v>
          </cell>
        </row>
        <row r="1702">
          <cell r="A1702">
            <v>44436</v>
          </cell>
          <cell r="B1702">
            <v>150</v>
          </cell>
        </row>
        <row r="1703">
          <cell r="A1703">
            <v>44437</v>
          </cell>
          <cell r="B1703">
            <v>151</v>
          </cell>
        </row>
        <row r="1704">
          <cell r="A1704">
            <v>44438</v>
          </cell>
          <cell r="B1704">
            <v>152</v>
          </cell>
        </row>
        <row r="1705">
          <cell r="A1705">
            <v>44439</v>
          </cell>
          <cell r="B1705">
            <v>153</v>
          </cell>
        </row>
        <row r="1706">
          <cell r="A1706">
            <v>44440</v>
          </cell>
          <cell r="B1706">
            <v>154</v>
          </cell>
        </row>
        <row r="1707">
          <cell r="A1707">
            <v>44441</v>
          </cell>
          <cell r="B1707">
            <v>155</v>
          </cell>
        </row>
        <row r="1708">
          <cell r="A1708">
            <v>44442</v>
          </cell>
          <cell r="B1708">
            <v>156</v>
          </cell>
        </row>
        <row r="1709">
          <cell r="A1709">
            <v>44443</v>
          </cell>
          <cell r="B1709">
            <v>157</v>
          </cell>
        </row>
        <row r="1710">
          <cell r="A1710">
            <v>44444</v>
          </cell>
          <cell r="B1710">
            <v>158</v>
          </cell>
        </row>
        <row r="1711">
          <cell r="A1711">
            <v>44445</v>
          </cell>
          <cell r="B1711">
            <v>159</v>
          </cell>
        </row>
        <row r="1712">
          <cell r="A1712">
            <v>44446</v>
          </cell>
          <cell r="B1712">
            <v>160</v>
          </cell>
        </row>
        <row r="1713">
          <cell r="A1713">
            <v>44447</v>
          </cell>
          <cell r="B1713">
            <v>161</v>
          </cell>
        </row>
        <row r="1714">
          <cell r="A1714">
            <v>44448</v>
          </cell>
          <cell r="B1714">
            <v>162</v>
          </cell>
        </row>
        <row r="1715">
          <cell r="A1715">
            <v>44449</v>
          </cell>
          <cell r="B1715">
            <v>163</v>
          </cell>
        </row>
        <row r="1716">
          <cell r="A1716">
            <v>44450</v>
          </cell>
          <cell r="B1716">
            <v>164</v>
          </cell>
        </row>
        <row r="1717">
          <cell r="A1717">
            <v>44451</v>
          </cell>
          <cell r="B1717">
            <v>165</v>
          </cell>
        </row>
        <row r="1718">
          <cell r="A1718">
            <v>44452</v>
          </cell>
          <cell r="B1718">
            <v>166</v>
          </cell>
        </row>
        <row r="1719">
          <cell r="A1719">
            <v>44453</v>
          </cell>
          <cell r="B1719">
            <v>167</v>
          </cell>
        </row>
        <row r="1720">
          <cell r="A1720">
            <v>44454</v>
          </cell>
          <cell r="B1720">
            <v>168</v>
          </cell>
        </row>
        <row r="1721">
          <cell r="A1721">
            <v>44455</v>
          </cell>
          <cell r="B1721">
            <v>169</v>
          </cell>
        </row>
        <row r="1722">
          <cell r="A1722">
            <v>44456</v>
          </cell>
          <cell r="B1722">
            <v>170</v>
          </cell>
        </row>
        <row r="1723">
          <cell r="A1723">
            <v>44457</v>
          </cell>
          <cell r="B1723">
            <v>171</v>
          </cell>
        </row>
        <row r="1724">
          <cell r="A1724">
            <v>44458</v>
          </cell>
          <cell r="B1724">
            <v>172</v>
          </cell>
        </row>
        <row r="1725">
          <cell r="A1725">
            <v>44459</v>
          </cell>
          <cell r="B1725">
            <v>173</v>
          </cell>
        </row>
        <row r="1726">
          <cell r="A1726">
            <v>44460</v>
          </cell>
          <cell r="B1726">
            <v>174</v>
          </cell>
        </row>
        <row r="1727">
          <cell r="A1727">
            <v>44461</v>
          </cell>
          <cell r="B1727">
            <v>175</v>
          </cell>
        </row>
        <row r="1728">
          <cell r="A1728">
            <v>44462</v>
          </cell>
          <cell r="B1728">
            <v>176</v>
          </cell>
        </row>
        <row r="1729">
          <cell r="A1729">
            <v>44463</v>
          </cell>
          <cell r="B1729">
            <v>177</v>
          </cell>
        </row>
        <row r="1730">
          <cell r="A1730">
            <v>44464</v>
          </cell>
          <cell r="B1730">
            <v>178</v>
          </cell>
        </row>
        <row r="1731">
          <cell r="A1731">
            <v>44465</v>
          </cell>
          <cell r="B1731">
            <v>179</v>
          </cell>
        </row>
        <row r="1732">
          <cell r="A1732">
            <v>44466</v>
          </cell>
          <cell r="B1732">
            <v>180</v>
          </cell>
        </row>
        <row r="1733">
          <cell r="A1733">
            <v>44467</v>
          </cell>
          <cell r="B1733">
            <v>181</v>
          </cell>
        </row>
        <row r="1734">
          <cell r="A1734">
            <v>44468</v>
          </cell>
          <cell r="B1734">
            <v>182</v>
          </cell>
        </row>
        <row r="1735">
          <cell r="A1735">
            <v>44469</v>
          </cell>
          <cell r="B1735">
            <v>183</v>
          </cell>
        </row>
        <row r="1736">
          <cell r="A1736">
            <v>44470</v>
          </cell>
          <cell r="B1736">
            <v>184</v>
          </cell>
        </row>
        <row r="1737">
          <cell r="A1737">
            <v>44471</v>
          </cell>
          <cell r="B1737">
            <v>185</v>
          </cell>
        </row>
        <row r="1738">
          <cell r="A1738">
            <v>44472</v>
          </cell>
          <cell r="B1738">
            <v>186</v>
          </cell>
        </row>
        <row r="1739">
          <cell r="A1739">
            <v>44473</v>
          </cell>
          <cell r="B1739">
            <v>187</v>
          </cell>
        </row>
        <row r="1740">
          <cell r="A1740">
            <v>44474</v>
          </cell>
          <cell r="B1740">
            <v>188</v>
          </cell>
        </row>
        <row r="1741">
          <cell r="A1741">
            <v>44475</v>
          </cell>
          <cell r="B1741">
            <v>189</v>
          </cell>
        </row>
        <row r="1742">
          <cell r="A1742">
            <v>44476</v>
          </cell>
          <cell r="B1742">
            <v>190</v>
          </cell>
        </row>
        <row r="1743">
          <cell r="A1743">
            <v>44477</v>
          </cell>
          <cell r="B1743">
            <v>191</v>
          </cell>
        </row>
        <row r="1744">
          <cell r="A1744">
            <v>44478</v>
          </cell>
          <cell r="B1744">
            <v>192</v>
          </cell>
        </row>
        <row r="1745">
          <cell r="A1745">
            <v>44479</v>
          </cell>
          <cell r="B1745">
            <v>193</v>
          </cell>
        </row>
        <row r="1746">
          <cell r="A1746">
            <v>44480</v>
          </cell>
          <cell r="B1746">
            <v>194</v>
          </cell>
        </row>
        <row r="1747">
          <cell r="A1747">
            <v>44481</v>
          </cell>
          <cell r="B1747">
            <v>195</v>
          </cell>
        </row>
        <row r="1748">
          <cell r="A1748">
            <v>44482</v>
          </cell>
          <cell r="B1748">
            <v>196</v>
          </cell>
        </row>
        <row r="1749">
          <cell r="A1749">
            <v>44483</v>
          </cell>
          <cell r="B1749">
            <v>197</v>
          </cell>
        </row>
        <row r="1750">
          <cell r="A1750">
            <v>44484</v>
          </cell>
          <cell r="B1750">
            <v>198</v>
          </cell>
        </row>
        <row r="1751">
          <cell r="A1751">
            <v>44485</v>
          </cell>
          <cell r="B1751">
            <v>199</v>
          </cell>
        </row>
        <row r="1752">
          <cell r="A1752">
            <v>44486</v>
          </cell>
          <cell r="B1752">
            <v>200</v>
          </cell>
        </row>
        <row r="1753">
          <cell r="A1753">
            <v>44487</v>
          </cell>
          <cell r="B1753">
            <v>201</v>
          </cell>
        </row>
        <row r="1754">
          <cell r="A1754">
            <v>44488</v>
          </cell>
          <cell r="B1754">
            <v>202</v>
          </cell>
        </row>
        <row r="1755">
          <cell r="A1755">
            <v>44489</v>
          </cell>
          <cell r="B1755">
            <v>203</v>
          </cell>
        </row>
        <row r="1756">
          <cell r="A1756">
            <v>44490</v>
          </cell>
          <cell r="B1756">
            <v>204</v>
          </cell>
        </row>
        <row r="1757">
          <cell r="A1757">
            <v>44491</v>
          </cell>
          <cell r="B1757">
            <v>205</v>
          </cell>
        </row>
        <row r="1758">
          <cell r="A1758">
            <v>44492</v>
          </cell>
          <cell r="B1758">
            <v>206</v>
          </cell>
        </row>
        <row r="1759">
          <cell r="A1759">
            <v>44493</v>
          </cell>
          <cell r="B1759">
            <v>207</v>
          </cell>
        </row>
        <row r="1760">
          <cell r="A1760">
            <v>44494</v>
          </cell>
          <cell r="B1760">
            <v>208</v>
          </cell>
        </row>
        <row r="1761">
          <cell r="A1761">
            <v>44495</v>
          </cell>
          <cell r="B1761">
            <v>209</v>
          </cell>
        </row>
        <row r="1762">
          <cell r="A1762">
            <v>44496</v>
          </cell>
          <cell r="B1762">
            <v>210</v>
          </cell>
        </row>
        <row r="1763">
          <cell r="A1763">
            <v>44497</v>
          </cell>
          <cell r="B1763">
            <v>211</v>
          </cell>
        </row>
        <row r="1764">
          <cell r="A1764">
            <v>44498</v>
          </cell>
          <cell r="B1764">
            <v>212</v>
          </cell>
        </row>
        <row r="1765">
          <cell r="A1765">
            <v>44499</v>
          </cell>
          <cell r="B1765">
            <v>213</v>
          </cell>
        </row>
        <row r="1766">
          <cell r="A1766">
            <v>44500</v>
          </cell>
          <cell r="B1766">
            <v>214</v>
          </cell>
        </row>
        <row r="1767">
          <cell r="A1767">
            <v>44501</v>
          </cell>
          <cell r="B1767">
            <v>215</v>
          </cell>
        </row>
        <row r="1768">
          <cell r="A1768">
            <v>44502</v>
          </cell>
          <cell r="B1768">
            <v>216</v>
          </cell>
        </row>
        <row r="1769">
          <cell r="A1769">
            <v>44503</v>
          </cell>
          <cell r="B1769">
            <v>217</v>
          </cell>
        </row>
        <row r="1770">
          <cell r="A1770">
            <v>44504</v>
          </cell>
          <cell r="B1770">
            <v>218</v>
          </cell>
        </row>
        <row r="1771">
          <cell r="A1771">
            <v>44505</v>
          </cell>
          <cell r="B1771">
            <v>219</v>
          </cell>
        </row>
        <row r="1772">
          <cell r="A1772">
            <v>44506</v>
          </cell>
          <cell r="B1772">
            <v>220</v>
          </cell>
        </row>
        <row r="1773">
          <cell r="A1773">
            <v>44507</v>
          </cell>
          <cell r="B1773">
            <v>221</v>
          </cell>
        </row>
        <row r="1774">
          <cell r="A1774">
            <v>44508</v>
          </cell>
          <cell r="B1774">
            <v>222</v>
          </cell>
        </row>
        <row r="1775">
          <cell r="A1775">
            <v>44509</v>
          </cell>
          <cell r="B1775">
            <v>223</v>
          </cell>
        </row>
        <row r="1776">
          <cell r="A1776">
            <v>44510</v>
          </cell>
          <cell r="B1776">
            <v>224</v>
          </cell>
        </row>
        <row r="1777">
          <cell r="A1777">
            <v>44511</v>
          </cell>
          <cell r="B1777">
            <v>225</v>
          </cell>
        </row>
        <row r="1778">
          <cell r="A1778">
            <v>44512</v>
          </cell>
          <cell r="B1778">
            <v>226</v>
          </cell>
        </row>
        <row r="1779">
          <cell r="A1779">
            <v>44513</v>
          </cell>
          <cell r="B1779">
            <v>227</v>
          </cell>
        </row>
        <row r="1780">
          <cell r="A1780">
            <v>44514</v>
          </cell>
          <cell r="B1780">
            <v>228</v>
          </cell>
        </row>
        <row r="1781">
          <cell r="A1781">
            <v>44515</v>
          </cell>
          <cell r="B1781">
            <v>229</v>
          </cell>
        </row>
        <row r="1782">
          <cell r="A1782">
            <v>44516</v>
          </cell>
          <cell r="B1782">
            <v>230</v>
          </cell>
        </row>
        <row r="1783">
          <cell r="A1783">
            <v>44517</v>
          </cell>
          <cell r="B1783">
            <v>231</v>
          </cell>
        </row>
        <row r="1784">
          <cell r="A1784">
            <v>44518</v>
          </cell>
          <cell r="B1784">
            <v>232</v>
          </cell>
        </row>
        <row r="1785">
          <cell r="A1785">
            <v>44519</v>
          </cell>
          <cell r="B1785">
            <v>233</v>
          </cell>
        </row>
        <row r="1786">
          <cell r="A1786">
            <v>44520</v>
          </cell>
          <cell r="B1786">
            <v>234</v>
          </cell>
        </row>
        <row r="1787">
          <cell r="A1787">
            <v>44521</v>
          </cell>
          <cell r="B1787">
            <v>235</v>
          </cell>
        </row>
        <row r="1788">
          <cell r="A1788">
            <v>44522</v>
          </cell>
          <cell r="B1788">
            <v>236</v>
          </cell>
        </row>
        <row r="1789">
          <cell r="A1789">
            <v>44523</v>
          </cell>
          <cell r="B1789">
            <v>237</v>
          </cell>
        </row>
        <row r="1790">
          <cell r="A1790">
            <v>44524</v>
          </cell>
          <cell r="B1790">
            <v>238</v>
          </cell>
        </row>
        <row r="1791">
          <cell r="A1791">
            <v>44525</v>
          </cell>
          <cell r="B1791">
            <v>239</v>
          </cell>
        </row>
        <row r="1792">
          <cell r="A1792">
            <v>44526</v>
          </cell>
          <cell r="B1792">
            <v>240</v>
          </cell>
        </row>
        <row r="1793">
          <cell r="A1793">
            <v>44527</v>
          </cell>
          <cell r="B1793">
            <v>241</v>
          </cell>
        </row>
        <row r="1794">
          <cell r="A1794">
            <v>44528</v>
          </cell>
          <cell r="B1794">
            <v>242</v>
          </cell>
        </row>
        <row r="1795">
          <cell r="A1795">
            <v>44529</v>
          </cell>
          <cell r="B1795">
            <v>243</v>
          </cell>
        </row>
        <row r="1796">
          <cell r="A1796">
            <v>44530</v>
          </cell>
          <cell r="B1796">
            <v>244</v>
          </cell>
        </row>
        <row r="1797">
          <cell r="A1797">
            <v>44531</v>
          </cell>
          <cell r="B1797">
            <v>245</v>
          </cell>
        </row>
        <row r="1798">
          <cell r="A1798">
            <v>44532</v>
          </cell>
          <cell r="B1798">
            <v>246</v>
          </cell>
        </row>
        <row r="1799">
          <cell r="A1799">
            <v>44533</v>
          </cell>
          <cell r="B1799">
            <v>247</v>
          </cell>
        </row>
        <row r="1800">
          <cell r="A1800">
            <v>44534</v>
          </cell>
          <cell r="B1800">
            <v>248</v>
          </cell>
        </row>
        <row r="1801">
          <cell r="A1801">
            <v>44535</v>
          </cell>
          <cell r="B1801">
            <v>249</v>
          </cell>
        </row>
        <row r="1802">
          <cell r="A1802">
            <v>44536</v>
          </cell>
          <cell r="B1802">
            <v>250</v>
          </cell>
        </row>
        <row r="1803">
          <cell r="A1803">
            <v>44537</v>
          </cell>
          <cell r="B1803">
            <v>251</v>
          </cell>
        </row>
        <row r="1804">
          <cell r="A1804">
            <v>44538</v>
          </cell>
          <cell r="B1804">
            <v>252</v>
          </cell>
        </row>
        <row r="1805">
          <cell r="A1805">
            <v>44539</v>
          </cell>
          <cell r="B1805">
            <v>253</v>
          </cell>
        </row>
        <row r="1806">
          <cell r="A1806">
            <v>44540</v>
          </cell>
          <cell r="B1806">
            <v>254</v>
          </cell>
        </row>
        <row r="1807">
          <cell r="A1807">
            <v>44541</v>
          </cell>
          <cell r="B1807">
            <v>255</v>
          </cell>
        </row>
        <row r="1808">
          <cell r="A1808">
            <v>44542</v>
          </cell>
          <cell r="B1808">
            <v>256</v>
          </cell>
        </row>
        <row r="1809">
          <cell r="A1809">
            <v>44543</v>
          </cell>
          <cell r="B1809">
            <v>257</v>
          </cell>
        </row>
        <row r="1810">
          <cell r="A1810">
            <v>44544</v>
          </cell>
          <cell r="B1810">
            <v>258</v>
          </cell>
        </row>
        <row r="1811">
          <cell r="A1811">
            <v>44545</v>
          </cell>
          <cell r="B1811">
            <v>259</v>
          </cell>
        </row>
        <row r="1812">
          <cell r="A1812">
            <v>44546</v>
          </cell>
          <cell r="B1812">
            <v>260</v>
          </cell>
        </row>
        <row r="1813">
          <cell r="A1813">
            <v>44547</v>
          </cell>
          <cell r="B1813">
            <v>261</v>
          </cell>
        </row>
        <row r="1814">
          <cell r="A1814">
            <v>44548</v>
          </cell>
          <cell r="B1814">
            <v>262</v>
          </cell>
        </row>
        <row r="1815">
          <cell r="A1815">
            <v>44549</v>
          </cell>
          <cell r="B1815">
            <v>263</v>
          </cell>
        </row>
        <row r="1816">
          <cell r="A1816">
            <v>44550</v>
          </cell>
          <cell r="B1816">
            <v>264</v>
          </cell>
        </row>
        <row r="1817">
          <cell r="A1817">
            <v>44551</v>
          </cell>
          <cell r="B1817">
            <v>265</v>
          </cell>
        </row>
        <row r="1818">
          <cell r="A1818">
            <v>44552</v>
          </cell>
          <cell r="B1818">
            <v>266</v>
          </cell>
        </row>
        <row r="1819">
          <cell r="A1819">
            <v>44553</v>
          </cell>
          <cell r="B1819">
            <v>267</v>
          </cell>
        </row>
        <row r="1820">
          <cell r="A1820">
            <v>44554</v>
          </cell>
          <cell r="B1820">
            <v>268</v>
          </cell>
        </row>
        <row r="1821">
          <cell r="A1821">
            <v>44555</v>
          </cell>
          <cell r="B1821">
            <v>269</v>
          </cell>
        </row>
        <row r="1822">
          <cell r="A1822">
            <v>44556</v>
          </cell>
          <cell r="B1822">
            <v>270</v>
          </cell>
        </row>
        <row r="1823">
          <cell r="A1823">
            <v>44557</v>
          </cell>
          <cell r="B1823">
            <v>271</v>
          </cell>
        </row>
        <row r="1824">
          <cell r="A1824">
            <v>44558</v>
          </cell>
          <cell r="B1824">
            <v>272</v>
          </cell>
        </row>
        <row r="1825">
          <cell r="A1825">
            <v>44559</v>
          </cell>
          <cell r="B1825">
            <v>273</v>
          </cell>
        </row>
        <row r="1826">
          <cell r="A1826">
            <v>44560</v>
          </cell>
          <cell r="B1826">
            <v>274</v>
          </cell>
        </row>
        <row r="1827">
          <cell r="A1827">
            <v>44561</v>
          </cell>
          <cell r="B1827">
            <v>275</v>
          </cell>
        </row>
        <row r="1828">
          <cell r="A1828">
            <v>44562</v>
          </cell>
          <cell r="B1828">
            <v>276</v>
          </cell>
        </row>
        <row r="1829">
          <cell r="A1829">
            <v>44563</v>
          </cell>
          <cell r="B1829">
            <v>277</v>
          </cell>
        </row>
        <row r="1830">
          <cell r="A1830">
            <v>44564</v>
          </cell>
          <cell r="B1830">
            <v>278</v>
          </cell>
        </row>
        <row r="1831">
          <cell r="A1831">
            <v>44565</v>
          </cell>
          <cell r="B1831">
            <v>279</v>
          </cell>
        </row>
        <row r="1832">
          <cell r="A1832">
            <v>44566</v>
          </cell>
          <cell r="B1832">
            <v>280</v>
          </cell>
        </row>
        <row r="1833">
          <cell r="A1833">
            <v>44567</v>
          </cell>
          <cell r="B1833">
            <v>281</v>
          </cell>
        </row>
        <row r="1834">
          <cell r="A1834">
            <v>44568</v>
          </cell>
          <cell r="B1834">
            <v>282</v>
          </cell>
        </row>
        <row r="1835">
          <cell r="A1835">
            <v>44569</v>
          </cell>
          <cell r="B1835">
            <v>283</v>
          </cell>
        </row>
        <row r="1836">
          <cell r="A1836">
            <v>44570</v>
          </cell>
          <cell r="B1836">
            <v>284</v>
          </cell>
        </row>
        <row r="1837">
          <cell r="A1837">
            <v>44571</v>
          </cell>
          <cell r="B1837">
            <v>285</v>
          </cell>
        </row>
        <row r="1838">
          <cell r="A1838">
            <v>44572</v>
          </cell>
          <cell r="B1838">
            <v>286</v>
          </cell>
        </row>
        <row r="1839">
          <cell r="A1839">
            <v>44573</v>
          </cell>
          <cell r="B1839">
            <v>287</v>
          </cell>
        </row>
        <row r="1840">
          <cell r="A1840">
            <v>44574</v>
          </cell>
          <cell r="B1840">
            <v>288</v>
          </cell>
        </row>
        <row r="1841">
          <cell r="A1841">
            <v>44575</v>
          </cell>
          <cell r="B1841">
            <v>289</v>
          </cell>
        </row>
        <row r="1842">
          <cell r="A1842">
            <v>44576</v>
          </cell>
          <cell r="B1842">
            <v>290</v>
          </cell>
        </row>
        <row r="1843">
          <cell r="A1843">
            <v>44577</v>
          </cell>
          <cell r="B1843">
            <v>291</v>
          </cell>
        </row>
        <row r="1844">
          <cell r="A1844">
            <v>44578</v>
          </cell>
          <cell r="B1844">
            <v>292</v>
          </cell>
        </row>
        <row r="1845">
          <cell r="A1845">
            <v>44579</v>
          </cell>
          <cell r="B1845">
            <v>293</v>
          </cell>
        </row>
        <row r="1846">
          <cell r="A1846">
            <v>44580</v>
          </cell>
          <cell r="B1846">
            <v>294</v>
          </cell>
        </row>
        <row r="1847">
          <cell r="A1847">
            <v>44581</v>
          </cell>
          <cell r="B1847">
            <v>295</v>
          </cell>
        </row>
        <row r="1848">
          <cell r="A1848">
            <v>44582</v>
          </cell>
          <cell r="B1848">
            <v>296</v>
          </cell>
        </row>
        <row r="1849">
          <cell r="A1849">
            <v>44583</v>
          </cell>
          <cell r="B1849">
            <v>297</v>
          </cell>
        </row>
        <row r="1850">
          <cell r="A1850">
            <v>44584</v>
          </cell>
          <cell r="B1850">
            <v>298</v>
          </cell>
        </row>
        <row r="1851">
          <cell r="A1851">
            <v>44585</v>
          </cell>
          <cell r="B1851">
            <v>299</v>
          </cell>
        </row>
        <row r="1852">
          <cell r="A1852">
            <v>44586</v>
          </cell>
          <cell r="B1852">
            <v>300</v>
          </cell>
        </row>
        <row r="1853">
          <cell r="A1853">
            <v>44587</v>
          </cell>
          <cell r="B1853">
            <v>301</v>
          </cell>
        </row>
        <row r="1854">
          <cell r="A1854">
            <v>44588</v>
          </cell>
          <cell r="B1854">
            <v>302</v>
          </cell>
        </row>
        <row r="1855">
          <cell r="A1855">
            <v>44589</v>
          </cell>
          <cell r="B1855">
            <v>303</v>
          </cell>
        </row>
        <row r="1856">
          <cell r="A1856">
            <v>44590</v>
          </cell>
          <cell r="B1856">
            <v>304</v>
          </cell>
        </row>
        <row r="1857">
          <cell r="A1857">
            <v>44591</v>
          </cell>
          <cell r="B1857">
            <v>305</v>
          </cell>
        </row>
        <row r="1858">
          <cell r="A1858">
            <v>44592</v>
          </cell>
          <cell r="B1858">
            <v>306</v>
          </cell>
        </row>
        <row r="1859">
          <cell r="A1859">
            <v>44593</v>
          </cell>
          <cell r="B1859">
            <v>307</v>
          </cell>
        </row>
        <row r="1860">
          <cell r="A1860">
            <v>44594</v>
          </cell>
          <cell r="B1860">
            <v>308</v>
          </cell>
        </row>
        <row r="1861">
          <cell r="A1861">
            <v>44595</v>
          </cell>
          <cell r="B1861">
            <v>309</v>
          </cell>
        </row>
        <row r="1862">
          <cell r="A1862">
            <v>44596</v>
          </cell>
          <cell r="B1862">
            <v>310</v>
          </cell>
        </row>
        <row r="1863">
          <cell r="A1863">
            <v>44597</v>
          </cell>
          <cell r="B1863">
            <v>311</v>
          </cell>
        </row>
        <row r="1864">
          <cell r="A1864">
            <v>44598</v>
          </cell>
          <cell r="B1864">
            <v>312</v>
          </cell>
        </row>
        <row r="1865">
          <cell r="A1865">
            <v>44599</v>
          </cell>
          <cell r="B1865">
            <v>313</v>
          </cell>
        </row>
        <row r="1866">
          <cell r="A1866">
            <v>44600</v>
          </cell>
          <cell r="B1866">
            <v>314</v>
          </cell>
        </row>
        <row r="1867">
          <cell r="A1867">
            <v>44601</v>
          </cell>
          <cell r="B1867">
            <v>315</v>
          </cell>
        </row>
        <row r="1868">
          <cell r="A1868">
            <v>44602</v>
          </cell>
          <cell r="B1868">
            <v>316</v>
          </cell>
        </row>
        <row r="1869">
          <cell r="A1869">
            <v>44603</v>
          </cell>
          <cell r="B1869">
            <v>317</v>
          </cell>
        </row>
        <row r="1870">
          <cell r="A1870">
            <v>44604</v>
          </cell>
          <cell r="B1870">
            <v>318</v>
          </cell>
        </row>
        <row r="1871">
          <cell r="A1871">
            <v>44605</v>
          </cell>
          <cell r="B1871">
            <v>319</v>
          </cell>
        </row>
        <row r="1872">
          <cell r="A1872">
            <v>44606</v>
          </cell>
          <cell r="B1872">
            <v>320</v>
          </cell>
        </row>
        <row r="1873">
          <cell r="A1873">
            <v>44607</v>
          </cell>
          <cell r="B1873">
            <v>321</v>
          </cell>
        </row>
        <row r="1874">
          <cell r="A1874">
            <v>44608</v>
          </cell>
          <cell r="B1874">
            <v>322</v>
          </cell>
        </row>
        <row r="1875">
          <cell r="A1875">
            <v>44609</v>
          </cell>
          <cell r="B1875">
            <v>323</v>
          </cell>
        </row>
        <row r="1876">
          <cell r="A1876">
            <v>44610</v>
          </cell>
          <cell r="B1876">
            <v>324</v>
          </cell>
        </row>
        <row r="1877">
          <cell r="A1877">
            <v>44611</v>
          </cell>
          <cell r="B1877">
            <v>325</v>
          </cell>
        </row>
        <row r="1878">
          <cell r="A1878">
            <v>44612</v>
          </cell>
          <cell r="B1878">
            <v>326</v>
          </cell>
        </row>
        <row r="1879">
          <cell r="A1879">
            <v>44613</v>
          </cell>
          <cell r="B1879">
            <v>327</v>
          </cell>
        </row>
        <row r="1880">
          <cell r="A1880">
            <v>44614</v>
          </cell>
          <cell r="B1880">
            <v>328</v>
          </cell>
        </row>
        <row r="1881">
          <cell r="A1881">
            <v>44615</v>
          </cell>
          <cell r="B1881">
            <v>329</v>
          </cell>
        </row>
        <row r="1882">
          <cell r="A1882">
            <v>44616</v>
          </cell>
          <cell r="B1882">
            <v>330</v>
          </cell>
        </row>
        <row r="1883">
          <cell r="A1883">
            <v>44617</v>
          </cell>
          <cell r="B1883">
            <v>331</v>
          </cell>
        </row>
        <row r="1884">
          <cell r="A1884">
            <v>44618</v>
          </cell>
          <cell r="B1884">
            <v>332</v>
          </cell>
        </row>
        <row r="1885">
          <cell r="A1885">
            <v>44619</v>
          </cell>
          <cell r="B1885">
            <v>333</v>
          </cell>
        </row>
        <row r="1886">
          <cell r="A1886">
            <v>44620</v>
          </cell>
          <cell r="B1886">
            <v>334</v>
          </cell>
        </row>
        <row r="1887">
          <cell r="A1887">
            <v>44621</v>
          </cell>
          <cell r="B1887">
            <v>335</v>
          </cell>
        </row>
        <row r="1888">
          <cell r="A1888">
            <v>44622</v>
          </cell>
          <cell r="B1888">
            <v>336</v>
          </cell>
        </row>
        <row r="1889">
          <cell r="A1889">
            <v>44623</v>
          </cell>
          <cell r="B1889">
            <v>337</v>
          </cell>
        </row>
        <row r="1890">
          <cell r="A1890">
            <v>44624</v>
          </cell>
          <cell r="B1890">
            <v>338</v>
          </cell>
        </row>
        <row r="1891">
          <cell r="A1891">
            <v>44625</v>
          </cell>
          <cell r="B1891">
            <v>339</v>
          </cell>
        </row>
        <row r="1892">
          <cell r="A1892">
            <v>44626</v>
          </cell>
          <cell r="B1892">
            <v>340</v>
          </cell>
        </row>
        <row r="1893">
          <cell r="A1893">
            <v>44627</v>
          </cell>
          <cell r="B1893">
            <v>341</v>
          </cell>
        </row>
        <row r="1894">
          <cell r="A1894">
            <v>44628</v>
          </cell>
          <cell r="B1894">
            <v>342</v>
          </cell>
        </row>
        <row r="1895">
          <cell r="A1895">
            <v>44629</v>
          </cell>
          <cell r="B1895">
            <v>343</v>
          </cell>
        </row>
        <row r="1896">
          <cell r="A1896">
            <v>44630</v>
          </cell>
          <cell r="B1896">
            <v>344</v>
          </cell>
        </row>
        <row r="1897">
          <cell r="A1897">
            <v>44631</v>
          </cell>
          <cell r="B1897">
            <v>345</v>
          </cell>
        </row>
        <row r="1898">
          <cell r="A1898">
            <v>44632</v>
          </cell>
          <cell r="B1898">
            <v>346</v>
          </cell>
        </row>
        <row r="1899">
          <cell r="A1899">
            <v>44633</v>
          </cell>
          <cell r="B1899">
            <v>347</v>
          </cell>
        </row>
        <row r="1900">
          <cell r="A1900">
            <v>44634</v>
          </cell>
          <cell r="B1900">
            <v>348</v>
          </cell>
        </row>
        <row r="1901">
          <cell r="A1901">
            <v>44635</v>
          </cell>
          <cell r="B1901">
            <v>349</v>
          </cell>
        </row>
        <row r="1902">
          <cell r="A1902">
            <v>44636</v>
          </cell>
          <cell r="B1902">
            <v>350</v>
          </cell>
        </row>
        <row r="1903">
          <cell r="A1903">
            <v>44637</v>
          </cell>
          <cell r="B1903">
            <v>351</v>
          </cell>
        </row>
        <row r="1904">
          <cell r="A1904">
            <v>44638</v>
          </cell>
          <cell r="B1904">
            <v>352</v>
          </cell>
        </row>
        <row r="1905">
          <cell r="A1905">
            <v>44639</v>
          </cell>
          <cell r="B1905">
            <v>353</v>
          </cell>
        </row>
        <row r="1906">
          <cell r="A1906">
            <v>44640</v>
          </cell>
          <cell r="B1906">
            <v>354</v>
          </cell>
        </row>
        <row r="1907">
          <cell r="A1907">
            <v>44641</v>
          </cell>
          <cell r="B1907">
            <v>355</v>
          </cell>
        </row>
        <row r="1908">
          <cell r="A1908">
            <v>44642</v>
          </cell>
          <cell r="B1908">
            <v>356</v>
          </cell>
        </row>
        <row r="1909">
          <cell r="A1909">
            <v>44643</v>
          </cell>
          <cell r="B1909">
            <v>357</v>
          </cell>
        </row>
        <row r="1910">
          <cell r="A1910">
            <v>44644</v>
          </cell>
          <cell r="B1910">
            <v>358</v>
          </cell>
        </row>
        <row r="1911">
          <cell r="A1911">
            <v>44645</v>
          </cell>
          <cell r="B1911">
            <v>359</v>
          </cell>
        </row>
        <row r="1912">
          <cell r="A1912">
            <v>44646</v>
          </cell>
          <cell r="B1912">
            <v>360</v>
          </cell>
        </row>
        <row r="1913">
          <cell r="A1913">
            <v>44647</v>
          </cell>
          <cell r="B1913">
            <v>361</v>
          </cell>
        </row>
        <row r="1914">
          <cell r="A1914">
            <v>44648</v>
          </cell>
          <cell r="B1914">
            <v>362</v>
          </cell>
        </row>
        <row r="1915">
          <cell r="A1915">
            <v>44649</v>
          </cell>
          <cell r="B1915">
            <v>363</v>
          </cell>
        </row>
        <row r="1916">
          <cell r="A1916">
            <v>44650</v>
          </cell>
          <cell r="B1916">
            <v>364</v>
          </cell>
        </row>
        <row r="1917">
          <cell r="A1917">
            <v>44651</v>
          </cell>
          <cell r="B1917">
            <v>365</v>
          </cell>
        </row>
        <row r="1918">
          <cell r="A1918">
            <v>44652</v>
          </cell>
          <cell r="B1918">
            <v>1</v>
          </cell>
        </row>
        <row r="1919">
          <cell r="A1919">
            <v>44653</v>
          </cell>
          <cell r="B1919">
            <v>2</v>
          </cell>
        </row>
        <row r="1920">
          <cell r="A1920">
            <v>44654</v>
          </cell>
          <cell r="B1920">
            <v>3</v>
          </cell>
        </row>
        <row r="1921">
          <cell r="A1921">
            <v>44655</v>
          </cell>
          <cell r="B1921">
            <v>4</v>
          </cell>
        </row>
        <row r="1922">
          <cell r="A1922">
            <v>44656</v>
          </cell>
          <cell r="B1922">
            <v>5</v>
          </cell>
        </row>
        <row r="1923">
          <cell r="A1923">
            <v>44657</v>
          </cell>
          <cell r="B1923">
            <v>6</v>
          </cell>
        </row>
        <row r="1924">
          <cell r="A1924">
            <v>44658</v>
          </cell>
          <cell r="B1924">
            <v>7</v>
          </cell>
        </row>
        <row r="1925">
          <cell r="A1925">
            <v>44659</v>
          </cell>
          <cell r="B1925">
            <v>8</v>
          </cell>
        </row>
        <row r="1926">
          <cell r="A1926">
            <v>44660</v>
          </cell>
          <cell r="B1926">
            <v>9</v>
          </cell>
        </row>
        <row r="1927">
          <cell r="A1927">
            <v>44661</v>
          </cell>
          <cell r="B1927">
            <v>10</v>
          </cell>
        </row>
        <row r="1928">
          <cell r="A1928">
            <v>44662</v>
          </cell>
          <cell r="B1928">
            <v>11</v>
          </cell>
        </row>
        <row r="1929">
          <cell r="A1929">
            <v>44663</v>
          </cell>
          <cell r="B1929">
            <v>12</v>
          </cell>
        </row>
        <row r="1930">
          <cell r="A1930">
            <v>44664</v>
          </cell>
          <cell r="B1930">
            <v>13</v>
          </cell>
        </row>
        <row r="1931">
          <cell r="A1931">
            <v>44665</v>
          </cell>
          <cell r="B1931">
            <v>14</v>
          </cell>
        </row>
        <row r="1932">
          <cell r="A1932">
            <v>44666</v>
          </cell>
          <cell r="B1932">
            <v>15</v>
          </cell>
        </row>
        <row r="1933">
          <cell r="A1933">
            <v>44667</v>
          </cell>
          <cell r="B1933">
            <v>16</v>
          </cell>
        </row>
        <row r="1934">
          <cell r="A1934">
            <v>44668</v>
          </cell>
          <cell r="B1934">
            <v>17</v>
          </cell>
        </row>
        <row r="1935">
          <cell r="A1935">
            <v>44669</v>
          </cell>
          <cell r="B1935">
            <v>18</v>
          </cell>
        </row>
        <row r="1936">
          <cell r="A1936">
            <v>44670</v>
          </cell>
          <cell r="B1936">
            <v>19</v>
          </cell>
        </row>
        <row r="1937">
          <cell r="A1937">
            <v>44671</v>
          </cell>
          <cell r="B1937">
            <v>20</v>
          </cell>
        </row>
        <row r="1938">
          <cell r="A1938">
            <v>44672</v>
          </cell>
          <cell r="B1938">
            <v>21</v>
          </cell>
        </row>
        <row r="1939">
          <cell r="A1939">
            <v>44673</v>
          </cell>
          <cell r="B1939">
            <v>22</v>
          </cell>
        </row>
        <row r="1940">
          <cell r="A1940">
            <v>44674</v>
          </cell>
          <cell r="B1940">
            <v>23</v>
          </cell>
        </row>
        <row r="1941">
          <cell r="A1941">
            <v>44675</v>
          </cell>
          <cell r="B1941">
            <v>24</v>
          </cell>
        </row>
        <row r="1942">
          <cell r="A1942">
            <v>44676</v>
          </cell>
          <cell r="B1942">
            <v>25</v>
          </cell>
        </row>
        <row r="1943">
          <cell r="A1943">
            <v>44677</v>
          </cell>
          <cell r="B1943">
            <v>26</v>
          </cell>
        </row>
        <row r="1944">
          <cell r="A1944">
            <v>44678</v>
          </cell>
          <cell r="B1944">
            <v>27</v>
          </cell>
        </row>
        <row r="1945">
          <cell r="A1945">
            <v>44679</v>
          </cell>
          <cell r="B1945">
            <v>28</v>
          </cell>
        </row>
        <row r="1946">
          <cell r="A1946">
            <v>44680</v>
          </cell>
          <cell r="B1946">
            <v>29</v>
          </cell>
        </row>
        <row r="1947">
          <cell r="A1947">
            <v>44681</v>
          </cell>
          <cell r="B1947">
            <v>30</v>
          </cell>
        </row>
        <row r="1948">
          <cell r="A1948">
            <v>44682</v>
          </cell>
          <cell r="B1948">
            <v>31</v>
          </cell>
        </row>
        <row r="1949">
          <cell r="A1949">
            <v>44683</v>
          </cell>
          <cell r="B1949">
            <v>32</v>
          </cell>
        </row>
        <row r="1950">
          <cell r="A1950">
            <v>44684</v>
          </cell>
          <cell r="B1950">
            <v>33</v>
          </cell>
        </row>
        <row r="1951">
          <cell r="A1951">
            <v>44685</v>
          </cell>
          <cell r="B1951">
            <v>34</v>
          </cell>
        </row>
        <row r="1952">
          <cell r="A1952">
            <v>44686</v>
          </cell>
          <cell r="B1952">
            <v>35</v>
          </cell>
        </row>
        <row r="1953">
          <cell r="A1953">
            <v>44687</v>
          </cell>
          <cell r="B1953">
            <v>36</v>
          </cell>
        </row>
        <row r="1954">
          <cell r="A1954">
            <v>44688</v>
          </cell>
          <cell r="B1954">
            <v>37</v>
          </cell>
        </row>
        <row r="1955">
          <cell r="A1955">
            <v>44689</v>
          </cell>
          <cell r="B1955">
            <v>38</v>
          </cell>
        </row>
        <row r="1956">
          <cell r="A1956">
            <v>44690</v>
          </cell>
          <cell r="B1956">
            <v>39</v>
          </cell>
        </row>
        <row r="1957">
          <cell r="A1957">
            <v>44691</v>
          </cell>
          <cell r="B1957">
            <v>40</v>
          </cell>
        </row>
        <row r="1958">
          <cell r="A1958">
            <v>44692</v>
          </cell>
          <cell r="B1958">
            <v>41</v>
          </cell>
        </row>
        <row r="1959">
          <cell r="A1959">
            <v>44693</v>
          </cell>
          <cell r="B1959">
            <v>42</v>
          </cell>
        </row>
        <row r="1960">
          <cell r="A1960">
            <v>44694</v>
          </cell>
          <cell r="B1960">
            <v>43</v>
          </cell>
        </row>
        <row r="1961">
          <cell r="A1961">
            <v>44695</v>
          </cell>
          <cell r="B1961">
            <v>44</v>
          </cell>
        </row>
        <row r="1962">
          <cell r="A1962">
            <v>44696</v>
          </cell>
          <cell r="B1962">
            <v>45</v>
          </cell>
        </row>
        <row r="1963">
          <cell r="A1963">
            <v>44697</v>
          </cell>
          <cell r="B1963">
            <v>46</v>
          </cell>
        </row>
        <row r="1964">
          <cell r="A1964">
            <v>44698</v>
          </cell>
          <cell r="B1964">
            <v>47</v>
          </cell>
        </row>
        <row r="1965">
          <cell r="A1965">
            <v>44699</v>
          </cell>
          <cell r="B1965">
            <v>48</v>
          </cell>
        </row>
        <row r="1966">
          <cell r="A1966">
            <v>44700</v>
          </cell>
          <cell r="B1966">
            <v>49</v>
          </cell>
        </row>
        <row r="1967">
          <cell r="A1967">
            <v>44701</v>
          </cell>
          <cell r="B1967">
            <v>50</v>
          </cell>
        </row>
        <row r="1968">
          <cell r="A1968">
            <v>44702</v>
          </cell>
          <cell r="B1968">
            <v>51</v>
          </cell>
        </row>
        <row r="1969">
          <cell r="A1969">
            <v>44703</v>
          </cell>
          <cell r="B1969">
            <v>52</v>
          </cell>
        </row>
        <row r="1970">
          <cell r="A1970">
            <v>44704</v>
          </cell>
          <cell r="B1970">
            <v>53</v>
          </cell>
        </row>
        <row r="1971">
          <cell r="A1971">
            <v>44705</v>
          </cell>
          <cell r="B1971">
            <v>54</v>
          </cell>
        </row>
        <row r="1972">
          <cell r="A1972">
            <v>44706</v>
          </cell>
          <cell r="B1972">
            <v>55</v>
          </cell>
        </row>
        <row r="1973">
          <cell r="A1973">
            <v>44707</v>
          </cell>
          <cell r="B1973">
            <v>56</v>
          </cell>
        </row>
        <row r="1974">
          <cell r="A1974">
            <v>44708</v>
          </cell>
          <cell r="B1974">
            <v>57</v>
          </cell>
        </row>
        <row r="1975">
          <cell r="A1975">
            <v>44709</v>
          </cell>
          <cell r="B1975">
            <v>58</v>
          </cell>
        </row>
        <row r="1976">
          <cell r="A1976">
            <v>44710</v>
          </cell>
          <cell r="B1976">
            <v>59</v>
          </cell>
        </row>
        <row r="1977">
          <cell r="A1977">
            <v>44711</v>
          </cell>
          <cell r="B1977">
            <v>60</v>
          </cell>
        </row>
        <row r="1978">
          <cell r="A1978">
            <v>44712</v>
          </cell>
          <cell r="B1978">
            <v>61</v>
          </cell>
        </row>
        <row r="1979">
          <cell r="A1979">
            <v>44713</v>
          </cell>
          <cell r="B1979">
            <v>62</v>
          </cell>
        </row>
        <row r="1980">
          <cell r="A1980">
            <v>44714</v>
          </cell>
          <cell r="B1980">
            <v>63</v>
          </cell>
        </row>
        <row r="1981">
          <cell r="A1981">
            <v>44715</v>
          </cell>
          <cell r="B1981">
            <v>64</v>
          </cell>
        </row>
        <row r="1982">
          <cell r="A1982">
            <v>44716</v>
          </cell>
          <cell r="B1982">
            <v>65</v>
          </cell>
        </row>
        <row r="1983">
          <cell r="A1983">
            <v>44717</v>
          </cell>
          <cell r="B1983">
            <v>66</v>
          </cell>
        </row>
        <row r="1984">
          <cell r="A1984">
            <v>44718</v>
          </cell>
          <cell r="B1984">
            <v>67</v>
          </cell>
        </row>
        <row r="1985">
          <cell r="A1985">
            <v>44719</v>
          </cell>
          <cell r="B1985">
            <v>68</v>
          </cell>
        </row>
        <row r="1986">
          <cell r="A1986">
            <v>44720</v>
          </cell>
          <cell r="B1986">
            <v>69</v>
          </cell>
        </row>
        <row r="1987">
          <cell r="A1987">
            <v>44721</v>
          </cell>
          <cell r="B1987">
            <v>70</v>
          </cell>
        </row>
        <row r="1988">
          <cell r="A1988">
            <v>44722</v>
          </cell>
          <cell r="B1988">
            <v>71</v>
          </cell>
        </row>
        <row r="1989">
          <cell r="A1989">
            <v>44723</v>
          </cell>
          <cell r="B1989">
            <v>72</v>
          </cell>
        </row>
        <row r="1990">
          <cell r="A1990">
            <v>44724</v>
          </cell>
          <cell r="B1990">
            <v>73</v>
          </cell>
        </row>
        <row r="1991">
          <cell r="A1991">
            <v>44725</v>
          </cell>
          <cell r="B1991">
            <v>74</v>
          </cell>
        </row>
        <row r="1992">
          <cell r="A1992">
            <v>44726</v>
          </cell>
          <cell r="B1992">
            <v>75</v>
          </cell>
        </row>
        <row r="1993">
          <cell r="A1993">
            <v>44727</v>
          </cell>
          <cell r="B1993">
            <v>76</v>
          </cell>
        </row>
        <row r="1994">
          <cell r="A1994">
            <v>44728</v>
          </cell>
          <cell r="B1994">
            <v>77</v>
          </cell>
        </row>
        <row r="1995">
          <cell r="A1995">
            <v>44729</v>
          </cell>
          <cell r="B1995">
            <v>78</v>
          </cell>
        </row>
        <row r="1996">
          <cell r="A1996">
            <v>44730</v>
          </cell>
          <cell r="B1996">
            <v>79</v>
          </cell>
        </row>
        <row r="1997">
          <cell r="A1997">
            <v>44731</v>
          </cell>
          <cell r="B1997">
            <v>80</v>
          </cell>
        </row>
        <row r="1998">
          <cell r="A1998">
            <v>44732</v>
          </cell>
          <cell r="B1998">
            <v>81</v>
          </cell>
        </row>
        <row r="1999">
          <cell r="A1999">
            <v>44733</v>
          </cell>
          <cell r="B1999">
            <v>82</v>
          </cell>
        </row>
        <row r="2000">
          <cell r="A2000">
            <v>44734</v>
          </cell>
          <cell r="B2000">
            <v>83</v>
          </cell>
        </row>
        <row r="2001">
          <cell r="A2001">
            <v>44735</v>
          </cell>
          <cell r="B2001">
            <v>84</v>
          </cell>
        </row>
        <row r="2002">
          <cell r="A2002">
            <v>44736</v>
          </cell>
          <cell r="B2002">
            <v>85</v>
          </cell>
        </row>
        <row r="2003">
          <cell r="A2003">
            <v>44737</v>
          </cell>
          <cell r="B2003">
            <v>86</v>
          </cell>
        </row>
        <row r="2004">
          <cell r="A2004">
            <v>44738</v>
          </cell>
          <cell r="B2004">
            <v>87</v>
          </cell>
        </row>
        <row r="2005">
          <cell r="A2005">
            <v>44739</v>
          </cell>
          <cell r="B2005">
            <v>88</v>
          </cell>
        </row>
        <row r="2006">
          <cell r="A2006">
            <v>44740</v>
          </cell>
          <cell r="B2006">
            <v>89</v>
          </cell>
        </row>
        <row r="2007">
          <cell r="A2007">
            <v>44741</v>
          </cell>
          <cell r="B2007">
            <v>90</v>
          </cell>
        </row>
        <row r="2008">
          <cell r="A2008">
            <v>44742</v>
          </cell>
          <cell r="B2008">
            <v>91</v>
          </cell>
        </row>
        <row r="2009">
          <cell r="A2009">
            <v>44743</v>
          </cell>
          <cell r="B2009">
            <v>92</v>
          </cell>
        </row>
        <row r="2010">
          <cell r="A2010">
            <v>44744</v>
          </cell>
          <cell r="B2010">
            <v>93</v>
          </cell>
        </row>
        <row r="2011">
          <cell r="A2011">
            <v>44745</v>
          </cell>
          <cell r="B2011">
            <v>94</v>
          </cell>
        </row>
        <row r="2012">
          <cell r="A2012">
            <v>44746</v>
          </cell>
          <cell r="B2012">
            <v>95</v>
          </cell>
        </row>
        <row r="2013">
          <cell r="A2013">
            <v>44747</v>
          </cell>
          <cell r="B2013">
            <v>96</v>
          </cell>
        </row>
        <row r="2014">
          <cell r="A2014">
            <v>44748</v>
          </cell>
          <cell r="B2014">
            <v>97</v>
          </cell>
        </row>
        <row r="2015">
          <cell r="A2015">
            <v>44749</v>
          </cell>
          <cell r="B2015">
            <v>98</v>
          </cell>
        </row>
        <row r="2016">
          <cell r="A2016">
            <v>44750</v>
          </cell>
          <cell r="B2016">
            <v>99</v>
          </cell>
        </row>
        <row r="2017">
          <cell r="A2017">
            <v>44751</v>
          </cell>
          <cell r="B2017">
            <v>100</v>
          </cell>
        </row>
        <row r="2018">
          <cell r="A2018">
            <v>44752</v>
          </cell>
          <cell r="B2018">
            <v>101</v>
          </cell>
        </row>
        <row r="2019">
          <cell r="A2019">
            <v>44753</v>
          </cell>
          <cell r="B2019">
            <v>102</v>
          </cell>
        </row>
        <row r="2020">
          <cell r="A2020">
            <v>44754</v>
          </cell>
          <cell r="B2020">
            <v>103</v>
          </cell>
        </row>
        <row r="2021">
          <cell r="A2021">
            <v>44755</v>
          </cell>
          <cell r="B2021">
            <v>104</v>
          </cell>
        </row>
        <row r="2022">
          <cell r="A2022">
            <v>44756</v>
          </cell>
          <cell r="B2022">
            <v>105</v>
          </cell>
        </row>
        <row r="2023">
          <cell r="A2023">
            <v>44757</v>
          </cell>
          <cell r="B2023">
            <v>106</v>
          </cell>
        </row>
        <row r="2024">
          <cell r="A2024">
            <v>44758</v>
          </cell>
          <cell r="B2024">
            <v>107</v>
          </cell>
        </row>
        <row r="2025">
          <cell r="A2025">
            <v>44759</v>
          </cell>
          <cell r="B2025">
            <v>108</v>
          </cell>
        </row>
        <row r="2026">
          <cell r="A2026">
            <v>44760</v>
          </cell>
          <cell r="B2026">
            <v>109</v>
          </cell>
        </row>
        <row r="2027">
          <cell r="A2027">
            <v>44761</v>
          </cell>
          <cell r="B2027">
            <v>110</v>
          </cell>
        </row>
        <row r="2028">
          <cell r="A2028">
            <v>44762</v>
          </cell>
          <cell r="B2028">
            <v>111</v>
          </cell>
        </row>
        <row r="2029">
          <cell r="A2029">
            <v>44763</v>
          </cell>
          <cell r="B2029">
            <v>112</v>
          </cell>
        </row>
        <row r="2030">
          <cell r="A2030">
            <v>44764</v>
          </cell>
          <cell r="B2030">
            <v>113</v>
          </cell>
        </row>
        <row r="2031">
          <cell r="A2031">
            <v>44765</v>
          </cell>
          <cell r="B2031">
            <v>114</v>
          </cell>
        </row>
        <row r="2032">
          <cell r="A2032">
            <v>44766</v>
          </cell>
          <cell r="B2032">
            <v>115</v>
          </cell>
        </row>
        <row r="2033">
          <cell r="A2033">
            <v>44767</v>
          </cell>
          <cell r="B2033">
            <v>116</v>
          </cell>
        </row>
        <row r="2034">
          <cell r="A2034">
            <v>44768</v>
          </cell>
          <cell r="B2034">
            <v>117</v>
          </cell>
        </row>
        <row r="2035">
          <cell r="A2035">
            <v>44769</v>
          </cell>
          <cell r="B2035">
            <v>118</v>
          </cell>
        </row>
        <row r="2036">
          <cell r="A2036">
            <v>44770</v>
          </cell>
          <cell r="B2036">
            <v>119</v>
          </cell>
        </row>
        <row r="2037">
          <cell r="A2037">
            <v>44771</v>
          </cell>
          <cell r="B2037">
            <v>120</v>
          </cell>
        </row>
        <row r="2038">
          <cell r="A2038">
            <v>44772</v>
          </cell>
          <cell r="B2038">
            <v>121</v>
          </cell>
        </row>
        <row r="2039">
          <cell r="A2039">
            <v>44773</v>
          </cell>
          <cell r="B2039">
            <v>122</v>
          </cell>
        </row>
        <row r="2040">
          <cell r="A2040">
            <v>44774</v>
          </cell>
          <cell r="B2040">
            <v>123</v>
          </cell>
        </row>
        <row r="2041">
          <cell r="A2041">
            <v>44775</v>
          </cell>
          <cell r="B2041">
            <v>124</v>
          </cell>
        </row>
        <row r="2042">
          <cell r="A2042">
            <v>44776</v>
          </cell>
          <cell r="B2042">
            <v>125</v>
          </cell>
        </row>
        <row r="2043">
          <cell r="A2043">
            <v>44777</v>
          </cell>
          <cell r="B2043">
            <v>126</v>
          </cell>
        </row>
        <row r="2044">
          <cell r="A2044">
            <v>44778</v>
          </cell>
          <cell r="B2044">
            <v>127</v>
          </cell>
        </row>
        <row r="2045">
          <cell r="A2045">
            <v>44779</v>
          </cell>
          <cell r="B2045">
            <v>128</v>
          </cell>
        </row>
        <row r="2046">
          <cell r="A2046">
            <v>44780</v>
          </cell>
          <cell r="B2046">
            <v>129</v>
          </cell>
        </row>
        <row r="2047">
          <cell r="A2047">
            <v>44781</v>
          </cell>
          <cell r="B2047">
            <v>130</v>
          </cell>
        </row>
        <row r="2048">
          <cell r="A2048">
            <v>44782</v>
          </cell>
          <cell r="B2048">
            <v>131</v>
          </cell>
        </row>
        <row r="2049">
          <cell r="A2049">
            <v>44783</v>
          </cell>
          <cell r="B2049">
            <v>132</v>
          </cell>
        </row>
        <row r="2050">
          <cell r="A2050">
            <v>44784</v>
          </cell>
          <cell r="B2050">
            <v>133</v>
          </cell>
        </row>
        <row r="2051">
          <cell r="A2051">
            <v>44785</v>
          </cell>
          <cell r="B2051">
            <v>134</v>
          </cell>
        </row>
        <row r="2052">
          <cell r="A2052">
            <v>44786</v>
          </cell>
          <cell r="B2052">
            <v>135</v>
          </cell>
        </row>
        <row r="2053">
          <cell r="A2053">
            <v>44787</v>
          </cell>
          <cell r="B2053">
            <v>136</v>
          </cell>
        </row>
        <row r="2054">
          <cell r="A2054">
            <v>44788</v>
          </cell>
          <cell r="B2054">
            <v>137</v>
          </cell>
        </row>
        <row r="2055">
          <cell r="A2055">
            <v>44789</v>
          </cell>
          <cell r="B2055">
            <v>138</v>
          </cell>
        </row>
        <row r="2056">
          <cell r="A2056">
            <v>44790</v>
          </cell>
          <cell r="B2056">
            <v>139</v>
          </cell>
        </row>
        <row r="2057">
          <cell r="A2057">
            <v>44791</v>
          </cell>
          <cell r="B2057">
            <v>140</v>
          </cell>
        </row>
        <row r="2058">
          <cell r="A2058">
            <v>44792</v>
          </cell>
          <cell r="B2058">
            <v>141</v>
          </cell>
        </row>
        <row r="2059">
          <cell r="A2059">
            <v>44793</v>
          </cell>
          <cell r="B2059">
            <v>142</v>
          </cell>
        </row>
        <row r="2060">
          <cell r="A2060">
            <v>44794</v>
          </cell>
          <cell r="B2060">
            <v>143</v>
          </cell>
        </row>
        <row r="2061">
          <cell r="A2061">
            <v>44795</v>
          </cell>
          <cell r="B2061">
            <v>144</v>
          </cell>
        </row>
        <row r="2062">
          <cell r="A2062">
            <v>44796</v>
          </cell>
          <cell r="B2062">
            <v>145</v>
          </cell>
        </row>
        <row r="2063">
          <cell r="A2063">
            <v>44797</v>
          </cell>
          <cell r="B2063">
            <v>146</v>
          </cell>
        </row>
        <row r="2064">
          <cell r="A2064">
            <v>44798</v>
          </cell>
          <cell r="B2064">
            <v>147</v>
          </cell>
        </row>
        <row r="2065">
          <cell r="A2065">
            <v>44799</v>
          </cell>
          <cell r="B2065">
            <v>148</v>
          </cell>
        </row>
        <row r="2066">
          <cell r="A2066">
            <v>44800</v>
          </cell>
          <cell r="B2066">
            <v>149</v>
          </cell>
        </row>
        <row r="2067">
          <cell r="A2067">
            <v>44801</v>
          </cell>
          <cell r="B2067">
            <v>150</v>
          </cell>
        </row>
        <row r="2068">
          <cell r="A2068">
            <v>44802</v>
          </cell>
          <cell r="B2068">
            <v>151</v>
          </cell>
        </row>
        <row r="2069">
          <cell r="A2069">
            <v>44803</v>
          </cell>
          <cell r="B2069">
            <v>152</v>
          </cell>
        </row>
        <row r="2070">
          <cell r="A2070">
            <v>44804</v>
          </cell>
          <cell r="B2070">
            <v>153</v>
          </cell>
        </row>
        <row r="2071">
          <cell r="A2071">
            <v>44805</v>
          </cell>
          <cell r="B2071">
            <v>154</v>
          </cell>
        </row>
        <row r="2072">
          <cell r="A2072">
            <v>44806</v>
          </cell>
          <cell r="B2072">
            <v>155</v>
          </cell>
        </row>
        <row r="2073">
          <cell r="A2073">
            <v>44807</v>
          </cell>
          <cell r="B2073">
            <v>156</v>
          </cell>
        </row>
        <row r="2074">
          <cell r="A2074">
            <v>44808</v>
          </cell>
          <cell r="B2074">
            <v>157</v>
          </cell>
        </row>
        <row r="2075">
          <cell r="A2075">
            <v>44809</v>
          </cell>
          <cell r="B2075">
            <v>158</v>
          </cell>
        </row>
        <row r="2076">
          <cell r="A2076">
            <v>44810</v>
          </cell>
          <cell r="B2076">
            <v>159</v>
          </cell>
        </row>
        <row r="2077">
          <cell r="A2077">
            <v>44811</v>
          </cell>
          <cell r="B2077">
            <v>160</v>
          </cell>
        </row>
        <row r="2078">
          <cell r="A2078">
            <v>44812</v>
          </cell>
          <cell r="B2078">
            <v>161</v>
          </cell>
        </row>
        <row r="2079">
          <cell r="A2079">
            <v>44813</v>
          </cell>
          <cell r="B2079">
            <v>162</v>
          </cell>
        </row>
        <row r="2080">
          <cell r="A2080">
            <v>44814</v>
          </cell>
          <cell r="B2080">
            <v>163</v>
          </cell>
        </row>
        <row r="2081">
          <cell r="A2081">
            <v>44815</v>
          </cell>
          <cell r="B2081">
            <v>164</v>
          </cell>
        </row>
        <row r="2082">
          <cell r="A2082">
            <v>44816</v>
          </cell>
          <cell r="B2082">
            <v>165</v>
          </cell>
        </row>
        <row r="2083">
          <cell r="A2083">
            <v>44817</v>
          </cell>
          <cell r="B2083">
            <v>166</v>
          </cell>
        </row>
        <row r="2084">
          <cell r="A2084">
            <v>44818</v>
          </cell>
          <cell r="B2084">
            <v>167</v>
          </cell>
        </row>
        <row r="2085">
          <cell r="A2085">
            <v>44819</v>
          </cell>
          <cell r="B2085">
            <v>168</v>
          </cell>
        </row>
        <row r="2086">
          <cell r="A2086">
            <v>44820</v>
          </cell>
          <cell r="B2086">
            <v>169</v>
          </cell>
        </row>
        <row r="2087">
          <cell r="A2087">
            <v>44821</v>
          </cell>
          <cell r="B2087">
            <v>170</v>
          </cell>
        </row>
        <row r="2088">
          <cell r="A2088">
            <v>44822</v>
          </cell>
          <cell r="B2088">
            <v>171</v>
          </cell>
        </row>
        <row r="2089">
          <cell r="A2089">
            <v>44823</v>
          </cell>
          <cell r="B2089">
            <v>172</v>
          </cell>
        </row>
        <row r="2090">
          <cell r="A2090">
            <v>44824</v>
          </cell>
          <cell r="B2090">
            <v>173</v>
          </cell>
        </row>
        <row r="2091">
          <cell r="A2091">
            <v>44825</v>
          </cell>
          <cell r="B2091">
            <v>174</v>
          </cell>
        </row>
        <row r="2092">
          <cell r="A2092">
            <v>44826</v>
          </cell>
          <cell r="B2092">
            <v>175</v>
          </cell>
        </row>
        <row r="2093">
          <cell r="A2093">
            <v>44827</v>
          </cell>
          <cell r="B2093">
            <v>176</v>
          </cell>
        </row>
        <row r="2094">
          <cell r="A2094">
            <v>44828</v>
          </cell>
          <cell r="B2094">
            <v>177</v>
          </cell>
        </row>
        <row r="2095">
          <cell r="A2095">
            <v>44829</v>
          </cell>
          <cell r="B2095">
            <v>178</v>
          </cell>
        </row>
        <row r="2096">
          <cell r="A2096">
            <v>44830</v>
          </cell>
          <cell r="B2096">
            <v>179</v>
          </cell>
        </row>
        <row r="2097">
          <cell r="A2097">
            <v>44831</v>
          </cell>
          <cell r="B2097">
            <v>180</v>
          </cell>
        </row>
        <row r="2098">
          <cell r="A2098">
            <v>44832</v>
          </cell>
          <cell r="B2098">
            <v>181</v>
          </cell>
        </row>
        <row r="2099">
          <cell r="A2099">
            <v>44833</v>
          </cell>
          <cell r="B2099">
            <v>182</v>
          </cell>
        </row>
        <row r="2100">
          <cell r="A2100">
            <v>44834</v>
          </cell>
          <cell r="B2100">
            <v>183</v>
          </cell>
        </row>
        <row r="2101">
          <cell r="A2101">
            <v>44835</v>
          </cell>
          <cell r="B2101">
            <v>184</v>
          </cell>
        </row>
        <row r="2102">
          <cell r="A2102">
            <v>44836</v>
          </cell>
          <cell r="B2102">
            <v>185</v>
          </cell>
        </row>
        <row r="2103">
          <cell r="A2103">
            <v>44837</v>
          </cell>
          <cell r="B2103">
            <v>186</v>
          </cell>
        </row>
        <row r="2104">
          <cell r="A2104">
            <v>44838</v>
          </cell>
          <cell r="B2104">
            <v>187</v>
          </cell>
        </row>
        <row r="2105">
          <cell r="A2105">
            <v>44839</v>
          </cell>
          <cell r="B2105">
            <v>188</v>
          </cell>
        </row>
        <row r="2106">
          <cell r="A2106">
            <v>44840</v>
          </cell>
          <cell r="B2106">
            <v>189</v>
          </cell>
        </row>
        <row r="2107">
          <cell r="A2107">
            <v>44841</v>
          </cell>
          <cell r="B2107">
            <v>190</v>
          </cell>
        </row>
        <row r="2108">
          <cell r="A2108">
            <v>44842</v>
          </cell>
          <cell r="B2108">
            <v>191</v>
          </cell>
        </row>
        <row r="2109">
          <cell r="A2109">
            <v>44843</v>
          </cell>
          <cell r="B2109">
            <v>192</v>
          </cell>
        </row>
        <row r="2110">
          <cell r="A2110">
            <v>44844</v>
          </cell>
          <cell r="B2110">
            <v>193</v>
          </cell>
        </row>
        <row r="2111">
          <cell r="A2111">
            <v>44845</v>
          </cell>
          <cell r="B2111">
            <v>194</v>
          </cell>
        </row>
        <row r="2112">
          <cell r="A2112">
            <v>44846</v>
          </cell>
          <cell r="B2112">
            <v>195</v>
          </cell>
        </row>
        <row r="2113">
          <cell r="A2113">
            <v>44847</v>
          </cell>
          <cell r="B2113">
            <v>196</v>
          </cell>
        </row>
        <row r="2114">
          <cell r="A2114">
            <v>44848</v>
          </cell>
          <cell r="B2114">
            <v>197</v>
          </cell>
        </row>
        <row r="2115">
          <cell r="A2115">
            <v>44849</v>
          </cell>
          <cell r="B2115">
            <v>198</v>
          </cell>
        </row>
        <row r="2116">
          <cell r="A2116">
            <v>44850</v>
          </cell>
          <cell r="B2116">
            <v>199</v>
          </cell>
        </row>
        <row r="2117">
          <cell r="A2117">
            <v>44851</v>
          </cell>
          <cell r="B2117">
            <v>200</v>
          </cell>
        </row>
        <row r="2118">
          <cell r="A2118">
            <v>44852</v>
          </cell>
          <cell r="B2118">
            <v>201</v>
          </cell>
        </row>
        <row r="2119">
          <cell r="A2119">
            <v>44853</v>
          </cell>
          <cell r="B2119">
            <v>202</v>
          </cell>
        </row>
        <row r="2120">
          <cell r="A2120">
            <v>44854</v>
          </cell>
          <cell r="B2120">
            <v>203</v>
          </cell>
        </row>
        <row r="2121">
          <cell r="A2121">
            <v>44855</v>
          </cell>
          <cell r="B2121">
            <v>204</v>
          </cell>
        </row>
        <row r="2122">
          <cell r="A2122">
            <v>44856</v>
          </cell>
          <cell r="B2122">
            <v>205</v>
          </cell>
        </row>
        <row r="2123">
          <cell r="A2123">
            <v>44857</v>
          </cell>
          <cell r="B2123">
            <v>206</v>
          </cell>
        </row>
        <row r="2124">
          <cell r="A2124">
            <v>44858</v>
          </cell>
          <cell r="B2124">
            <v>207</v>
          </cell>
        </row>
        <row r="2125">
          <cell r="A2125">
            <v>44859</v>
          </cell>
          <cell r="B2125">
            <v>208</v>
          </cell>
        </row>
        <row r="2126">
          <cell r="A2126">
            <v>44860</v>
          </cell>
          <cell r="B2126">
            <v>209</v>
          </cell>
        </row>
        <row r="2127">
          <cell r="A2127">
            <v>44861</v>
          </cell>
          <cell r="B2127">
            <v>210</v>
          </cell>
        </row>
        <row r="2128">
          <cell r="A2128">
            <v>44862</v>
          </cell>
          <cell r="B2128">
            <v>211</v>
          </cell>
        </row>
        <row r="2129">
          <cell r="A2129">
            <v>44863</v>
          </cell>
          <cell r="B2129">
            <v>212</v>
          </cell>
        </row>
        <row r="2130">
          <cell r="A2130">
            <v>44864</v>
          </cell>
          <cell r="B2130">
            <v>213</v>
          </cell>
        </row>
        <row r="2131">
          <cell r="A2131">
            <v>44865</v>
          </cell>
          <cell r="B2131">
            <v>214</v>
          </cell>
        </row>
        <row r="2132">
          <cell r="A2132">
            <v>44866</v>
          </cell>
          <cell r="B2132">
            <v>215</v>
          </cell>
        </row>
        <row r="2133">
          <cell r="A2133">
            <v>44867</v>
          </cell>
          <cell r="B2133">
            <v>216</v>
          </cell>
        </row>
        <row r="2134">
          <cell r="A2134">
            <v>44868</v>
          </cell>
          <cell r="B2134">
            <v>217</v>
          </cell>
        </row>
        <row r="2135">
          <cell r="A2135">
            <v>44869</v>
          </cell>
          <cell r="B2135">
            <v>218</v>
          </cell>
        </row>
        <row r="2136">
          <cell r="A2136">
            <v>44870</v>
          </cell>
          <cell r="B2136">
            <v>219</v>
          </cell>
        </row>
        <row r="2137">
          <cell r="A2137">
            <v>44871</v>
          </cell>
          <cell r="B2137">
            <v>220</v>
          </cell>
        </row>
        <row r="2138">
          <cell r="A2138">
            <v>44872</v>
          </cell>
          <cell r="B2138">
            <v>221</v>
          </cell>
        </row>
        <row r="2139">
          <cell r="A2139">
            <v>44873</v>
          </cell>
          <cell r="B2139">
            <v>222</v>
          </cell>
        </row>
        <row r="2140">
          <cell r="A2140">
            <v>44874</v>
          </cell>
          <cell r="B2140">
            <v>223</v>
          </cell>
        </row>
        <row r="2141">
          <cell r="A2141">
            <v>44875</v>
          </cell>
          <cell r="B2141">
            <v>224</v>
          </cell>
        </row>
        <row r="2142">
          <cell r="A2142">
            <v>44876</v>
          </cell>
          <cell r="B2142">
            <v>225</v>
          </cell>
        </row>
        <row r="2143">
          <cell r="A2143">
            <v>44877</v>
          </cell>
          <cell r="B2143">
            <v>226</v>
          </cell>
        </row>
        <row r="2144">
          <cell r="A2144">
            <v>44878</v>
          </cell>
          <cell r="B2144">
            <v>227</v>
          </cell>
        </row>
        <row r="2145">
          <cell r="A2145">
            <v>44879</v>
          </cell>
          <cell r="B2145">
            <v>228</v>
          </cell>
        </row>
        <row r="2146">
          <cell r="A2146">
            <v>44880</v>
          </cell>
          <cell r="B2146">
            <v>229</v>
          </cell>
        </row>
        <row r="2147">
          <cell r="A2147">
            <v>44881</v>
          </cell>
          <cell r="B2147">
            <v>230</v>
          </cell>
        </row>
        <row r="2148">
          <cell r="A2148">
            <v>44882</v>
          </cell>
          <cell r="B2148">
            <v>231</v>
          </cell>
        </row>
        <row r="2149">
          <cell r="A2149">
            <v>44883</v>
          </cell>
          <cell r="B2149">
            <v>232</v>
          </cell>
        </row>
        <row r="2150">
          <cell r="A2150">
            <v>44884</v>
          </cell>
          <cell r="B2150">
            <v>233</v>
          </cell>
        </row>
        <row r="2151">
          <cell r="A2151">
            <v>44885</v>
          </cell>
          <cell r="B2151">
            <v>234</v>
          </cell>
        </row>
        <row r="2152">
          <cell r="A2152">
            <v>44886</v>
          </cell>
          <cell r="B2152">
            <v>235</v>
          </cell>
        </row>
        <row r="2153">
          <cell r="A2153">
            <v>44887</v>
          </cell>
          <cell r="B2153">
            <v>236</v>
          </cell>
        </row>
        <row r="2154">
          <cell r="A2154">
            <v>44888</v>
          </cell>
          <cell r="B2154">
            <v>237</v>
          </cell>
        </row>
        <row r="2155">
          <cell r="A2155">
            <v>44889</v>
          </cell>
          <cell r="B2155">
            <v>238</v>
          </cell>
        </row>
        <row r="2156">
          <cell r="A2156">
            <v>44890</v>
          </cell>
          <cell r="B2156">
            <v>239</v>
          </cell>
        </row>
        <row r="2157">
          <cell r="A2157">
            <v>44891</v>
          </cell>
          <cell r="B2157">
            <v>240</v>
          </cell>
        </row>
        <row r="2158">
          <cell r="A2158">
            <v>44892</v>
          </cell>
          <cell r="B2158">
            <v>241</v>
          </cell>
        </row>
        <row r="2159">
          <cell r="A2159">
            <v>44893</v>
          </cell>
          <cell r="B2159">
            <v>242</v>
          </cell>
        </row>
        <row r="2160">
          <cell r="A2160">
            <v>44894</v>
          </cell>
          <cell r="B2160">
            <v>243</v>
          </cell>
        </row>
        <row r="2161">
          <cell r="A2161">
            <v>44895</v>
          </cell>
          <cell r="B2161">
            <v>244</v>
          </cell>
        </row>
        <row r="2162">
          <cell r="A2162">
            <v>44896</v>
          </cell>
          <cell r="B2162">
            <v>245</v>
          </cell>
        </row>
        <row r="2163">
          <cell r="A2163">
            <v>44897</v>
          </cell>
          <cell r="B2163">
            <v>246</v>
          </cell>
        </row>
        <row r="2164">
          <cell r="A2164">
            <v>44898</v>
          </cell>
          <cell r="B2164">
            <v>247</v>
          </cell>
        </row>
        <row r="2165">
          <cell r="A2165">
            <v>44899</v>
          </cell>
          <cell r="B2165">
            <v>248</v>
          </cell>
        </row>
        <row r="2166">
          <cell r="A2166">
            <v>44900</v>
          </cell>
          <cell r="B2166">
            <v>249</v>
          </cell>
        </row>
        <row r="2167">
          <cell r="A2167">
            <v>44901</v>
          </cell>
          <cell r="B2167">
            <v>250</v>
          </cell>
        </row>
        <row r="2168">
          <cell r="A2168">
            <v>44902</v>
          </cell>
          <cell r="B2168">
            <v>251</v>
          </cell>
        </row>
        <row r="2169">
          <cell r="A2169">
            <v>44903</v>
          </cell>
          <cell r="B2169">
            <v>252</v>
          </cell>
        </row>
        <row r="2170">
          <cell r="A2170">
            <v>44904</v>
          </cell>
          <cell r="B2170">
            <v>253</v>
          </cell>
        </row>
        <row r="2171">
          <cell r="A2171">
            <v>44905</v>
          </cell>
          <cell r="B2171">
            <v>254</v>
          </cell>
        </row>
        <row r="2172">
          <cell r="A2172">
            <v>44906</v>
          </cell>
          <cell r="B2172">
            <v>255</v>
          </cell>
        </row>
        <row r="2173">
          <cell r="A2173">
            <v>44907</v>
          </cell>
          <cell r="B2173">
            <v>256</v>
          </cell>
        </row>
        <row r="2174">
          <cell r="A2174">
            <v>44908</v>
          </cell>
          <cell r="B2174">
            <v>257</v>
          </cell>
        </row>
        <row r="2175">
          <cell r="A2175">
            <v>44909</v>
          </cell>
          <cell r="B2175">
            <v>258</v>
          </cell>
        </row>
        <row r="2176">
          <cell r="A2176">
            <v>44910</v>
          </cell>
          <cell r="B2176">
            <v>259</v>
          </cell>
        </row>
        <row r="2177">
          <cell r="A2177">
            <v>44911</v>
          </cell>
          <cell r="B2177">
            <v>260</v>
          </cell>
        </row>
        <row r="2178">
          <cell r="A2178">
            <v>44912</v>
          </cell>
          <cell r="B2178">
            <v>261</v>
          </cell>
        </row>
        <row r="2179">
          <cell r="A2179">
            <v>44913</v>
          </cell>
          <cell r="B2179">
            <v>262</v>
          </cell>
        </row>
        <row r="2180">
          <cell r="A2180">
            <v>44914</v>
          </cell>
          <cell r="B2180">
            <v>263</v>
          </cell>
        </row>
        <row r="2181">
          <cell r="A2181">
            <v>44915</v>
          </cell>
          <cell r="B2181">
            <v>264</v>
          </cell>
        </row>
        <row r="2182">
          <cell r="A2182">
            <v>44916</v>
          </cell>
          <cell r="B2182">
            <v>265</v>
          </cell>
        </row>
        <row r="2183">
          <cell r="A2183">
            <v>44917</v>
          </cell>
          <cell r="B2183">
            <v>266</v>
          </cell>
        </row>
        <row r="2184">
          <cell r="A2184">
            <v>44918</v>
          </cell>
          <cell r="B2184">
            <v>267</v>
          </cell>
        </row>
        <row r="2185">
          <cell r="A2185">
            <v>44919</v>
          </cell>
          <cell r="B2185">
            <v>268</v>
          </cell>
        </row>
        <row r="2186">
          <cell r="A2186">
            <v>44920</v>
          </cell>
          <cell r="B2186">
            <v>269</v>
          </cell>
        </row>
        <row r="2187">
          <cell r="A2187">
            <v>44921</v>
          </cell>
          <cell r="B2187">
            <v>270</v>
          </cell>
        </row>
        <row r="2188">
          <cell r="A2188">
            <v>44922</v>
          </cell>
          <cell r="B2188">
            <v>271</v>
          </cell>
        </row>
        <row r="2189">
          <cell r="A2189">
            <v>44923</v>
          </cell>
          <cell r="B2189">
            <v>272</v>
          </cell>
        </row>
        <row r="2190">
          <cell r="A2190">
            <v>44924</v>
          </cell>
          <cell r="B2190">
            <v>273</v>
          </cell>
        </row>
        <row r="2191">
          <cell r="A2191">
            <v>44925</v>
          </cell>
          <cell r="B2191">
            <v>274</v>
          </cell>
        </row>
        <row r="2192">
          <cell r="A2192">
            <v>44926</v>
          </cell>
          <cell r="B2192">
            <v>275</v>
          </cell>
        </row>
        <row r="2193">
          <cell r="A2193">
            <v>44927</v>
          </cell>
          <cell r="B2193">
            <v>276</v>
          </cell>
        </row>
        <row r="2194">
          <cell r="A2194">
            <v>44928</v>
          </cell>
          <cell r="B2194">
            <v>277</v>
          </cell>
        </row>
        <row r="2195">
          <cell r="A2195">
            <v>44929</v>
          </cell>
          <cell r="B2195">
            <v>278</v>
          </cell>
        </row>
        <row r="2196">
          <cell r="A2196">
            <v>44930</v>
          </cell>
          <cell r="B2196">
            <v>279</v>
          </cell>
        </row>
        <row r="2197">
          <cell r="A2197">
            <v>44931</v>
          </cell>
          <cell r="B2197">
            <v>280</v>
          </cell>
        </row>
        <row r="2198">
          <cell r="A2198">
            <v>44932</v>
          </cell>
          <cell r="B2198">
            <v>281</v>
          </cell>
        </row>
        <row r="2199">
          <cell r="A2199">
            <v>44933</v>
          </cell>
          <cell r="B2199">
            <v>282</v>
          </cell>
        </row>
        <row r="2200">
          <cell r="A2200">
            <v>44934</v>
          </cell>
          <cell r="B2200">
            <v>283</v>
          </cell>
        </row>
        <row r="2201">
          <cell r="A2201">
            <v>44935</v>
          </cell>
          <cell r="B2201">
            <v>284</v>
          </cell>
        </row>
        <row r="2202">
          <cell r="A2202">
            <v>44936</v>
          </cell>
          <cell r="B2202">
            <v>285</v>
          </cell>
        </row>
        <row r="2203">
          <cell r="A2203">
            <v>44937</v>
          </cell>
          <cell r="B2203">
            <v>286</v>
          </cell>
        </row>
        <row r="2204">
          <cell r="A2204">
            <v>44938</v>
          </cell>
          <cell r="B2204">
            <v>287</v>
          </cell>
        </row>
        <row r="2205">
          <cell r="A2205">
            <v>44939</v>
          </cell>
          <cell r="B2205">
            <v>288</v>
          </cell>
        </row>
        <row r="2206">
          <cell r="A2206">
            <v>44940</v>
          </cell>
          <cell r="B2206">
            <v>289</v>
          </cell>
        </row>
        <row r="2207">
          <cell r="A2207">
            <v>44941</v>
          </cell>
          <cell r="B2207">
            <v>290</v>
          </cell>
        </row>
        <row r="2208">
          <cell r="A2208">
            <v>44942</v>
          </cell>
          <cell r="B2208">
            <v>291</v>
          </cell>
        </row>
        <row r="2209">
          <cell r="A2209">
            <v>44943</v>
          </cell>
          <cell r="B2209">
            <v>292</v>
          </cell>
        </row>
        <row r="2210">
          <cell r="A2210">
            <v>44944</v>
          </cell>
          <cell r="B2210">
            <v>293</v>
          </cell>
        </row>
        <row r="2211">
          <cell r="A2211">
            <v>44945</v>
          </cell>
          <cell r="B2211">
            <v>294</v>
          </cell>
        </row>
        <row r="2212">
          <cell r="A2212">
            <v>44946</v>
          </cell>
          <cell r="B2212">
            <v>295</v>
          </cell>
        </row>
        <row r="2213">
          <cell r="A2213">
            <v>44947</v>
          </cell>
          <cell r="B2213">
            <v>296</v>
          </cell>
        </row>
        <row r="2214">
          <cell r="A2214">
            <v>44948</v>
          </cell>
          <cell r="B2214">
            <v>297</v>
          </cell>
        </row>
        <row r="2215">
          <cell r="A2215">
            <v>44949</v>
          </cell>
          <cell r="B2215">
            <v>298</v>
          </cell>
        </row>
        <row r="2216">
          <cell r="A2216">
            <v>44950</v>
          </cell>
          <cell r="B2216">
            <v>299</v>
          </cell>
        </row>
        <row r="2217">
          <cell r="A2217">
            <v>44951</v>
          </cell>
          <cell r="B2217">
            <v>300</v>
          </cell>
        </row>
        <row r="2218">
          <cell r="A2218">
            <v>44952</v>
          </cell>
          <cell r="B2218">
            <v>301</v>
          </cell>
        </row>
        <row r="2219">
          <cell r="A2219">
            <v>44953</v>
          </cell>
          <cell r="B2219">
            <v>302</v>
          </cell>
        </row>
        <row r="2220">
          <cell r="A2220">
            <v>44954</v>
          </cell>
          <cell r="B2220">
            <v>303</v>
          </cell>
        </row>
        <row r="2221">
          <cell r="A2221">
            <v>44955</v>
          </cell>
          <cell r="B2221">
            <v>304</v>
          </cell>
        </row>
        <row r="2222">
          <cell r="A2222">
            <v>44956</v>
          </cell>
          <cell r="B2222">
            <v>305</v>
          </cell>
        </row>
        <row r="2223">
          <cell r="A2223">
            <v>44957</v>
          </cell>
          <cell r="B2223">
            <v>306</v>
          </cell>
        </row>
        <row r="2224">
          <cell r="A2224">
            <v>44958</v>
          </cell>
          <cell r="B2224">
            <v>307</v>
          </cell>
        </row>
        <row r="2225">
          <cell r="A2225">
            <v>44959</v>
          </cell>
          <cell r="B2225">
            <v>308</v>
          </cell>
        </row>
        <row r="2226">
          <cell r="A2226">
            <v>44960</v>
          </cell>
          <cell r="B2226">
            <v>309</v>
          </cell>
        </row>
        <row r="2227">
          <cell r="A2227">
            <v>44961</v>
          </cell>
          <cell r="B2227">
            <v>310</v>
          </cell>
        </row>
        <row r="2228">
          <cell r="A2228">
            <v>44962</v>
          </cell>
          <cell r="B2228">
            <v>311</v>
          </cell>
        </row>
        <row r="2229">
          <cell r="A2229">
            <v>44963</v>
          </cell>
          <cell r="B2229">
            <v>312</v>
          </cell>
        </row>
        <row r="2230">
          <cell r="A2230">
            <v>44964</v>
          </cell>
          <cell r="B2230">
            <v>313</v>
          </cell>
        </row>
        <row r="2231">
          <cell r="A2231">
            <v>44965</v>
          </cell>
          <cell r="B2231">
            <v>314</v>
          </cell>
        </row>
        <row r="2232">
          <cell r="A2232">
            <v>44966</v>
          </cell>
          <cell r="B2232">
            <v>315</v>
          </cell>
        </row>
        <row r="2233">
          <cell r="A2233">
            <v>44967</v>
          </cell>
          <cell r="B2233">
            <v>316</v>
          </cell>
        </row>
        <row r="2234">
          <cell r="A2234">
            <v>44968</v>
          </cell>
          <cell r="B2234">
            <v>317</v>
          </cell>
        </row>
        <row r="2235">
          <cell r="A2235">
            <v>44969</v>
          </cell>
          <cell r="B2235">
            <v>318</v>
          </cell>
        </row>
        <row r="2236">
          <cell r="A2236">
            <v>44970</v>
          </cell>
          <cell r="B2236">
            <v>319</v>
          </cell>
        </row>
        <row r="2237">
          <cell r="A2237">
            <v>44971</v>
          </cell>
          <cell r="B2237">
            <v>320</v>
          </cell>
        </row>
        <row r="2238">
          <cell r="A2238">
            <v>44972</v>
          </cell>
          <cell r="B2238">
            <v>321</v>
          </cell>
        </row>
        <row r="2239">
          <cell r="A2239">
            <v>44973</v>
          </cell>
          <cell r="B2239">
            <v>322</v>
          </cell>
        </row>
        <row r="2240">
          <cell r="A2240">
            <v>44974</v>
          </cell>
          <cell r="B2240">
            <v>323</v>
          </cell>
        </row>
        <row r="2241">
          <cell r="A2241">
            <v>44975</v>
          </cell>
          <cell r="B2241">
            <v>324</v>
          </cell>
        </row>
        <row r="2242">
          <cell r="A2242">
            <v>44976</v>
          </cell>
          <cell r="B2242">
            <v>325</v>
          </cell>
        </row>
        <row r="2243">
          <cell r="A2243">
            <v>44977</v>
          </cell>
          <cell r="B2243">
            <v>326</v>
          </cell>
        </row>
        <row r="2244">
          <cell r="A2244">
            <v>44978</v>
          </cell>
          <cell r="B2244">
            <v>327</v>
          </cell>
        </row>
        <row r="2245">
          <cell r="A2245">
            <v>44979</v>
          </cell>
          <cell r="B2245">
            <v>328</v>
          </cell>
        </row>
        <row r="2246">
          <cell r="A2246">
            <v>44980</v>
          </cell>
          <cell r="B2246">
            <v>329</v>
          </cell>
        </row>
        <row r="2247">
          <cell r="A2247">
            <v>44981</v>
          </cell>
          <cell r="B2247">
            <v>330</v>
          </cell>
        </row>
        <row r="2248">
          <cell r="A2248">
            <v>44982</v>
          </cell>
          <cell r="B2248">
            <v>331</v>
          </cell>
        </row>
        <row r="2249">
          <cell r="A2249">
            <v>44983</v>
          </cell>
          <cell r="B2249">
            <v>332</v>
          </cell>
        </row>
        <row r="2250">
          <cell r="A2250">
            <v>44984</v>
          </cell>
          <cell r="B2250">
            <v>333</v>
          </cell>
        </row>
        <row r="2251">
          <cell r="A2251">
            <v>44985</v>
          </cell>
          <cell r="B2251">
            <v>334</v>
          </cell>
        </row>
        <row r="2252">
          <cell r="A2252">
            <v>44986</v>
          </cell>
          <cell r="B2252">
            <v>335</v>
          </cell>
        </row>
        <row r="2253">
          <cell r="A2253">
            <v>44987</v>
          </cell>
          <cell r="B2253">
            <v>336</v>
          </cell>
        </row>
        <row r="2254">
          <cell r="A2254">
            <v>44988</v>
          </cell>
          <cell r="B2254">
            <v>337</v>
          </cell>
        </row>
        <row r="2255">
          <cell r="A2255">
            <v>44989</v>
          </cell>
          <cell r="B2255">
            <v>338</v>
          </cell>
        </row>
        <row r="2256">
          <cell r="A2256">
            <v>44990</v>
          </cell>
          <cell r="B2256">
            <v>339</v>
          </cell>
        </row>
        <row r="2257">
          <cell r="A2257">
            <v>44991</v>
          </cell>
          <cell r="B2257">
            <v>340</v>
          </cell>
        </row>
        <row r="2258">
          <cell r="A2258">
            <v>44992</v>
          </cell>
          <cell r="B2258">
            <v>341</v>
          </cell>
        </row>
        <row r="2259">
          <cell r="A2259">
            <v>44993</v>
          </cell>
          <cell r="B2259">
            <v>342</v>
          </cell>
        </row>
        <row r="2260">
          <cell r="A2260">
            <v>44994</v>
          </cell>
          <cell r="B2260">
            <v>343</v>
          </cell>
        </row>
        <row r="2261">
          <cell r="A2261">
            <v>44995</v>
          </cell>
          <cell r="B2261">
            <v>344</v>
          </cell>
        </row>
        <row r="2262">
          <cell r="A2262">
            <v>44996</v>
          </cell>
          <cell r="B2262">
            <v>345</v>
          </cell>
        </row>
        <row r="2263">
          <cell r="A2263">
            <v>44997</v>
          </cell>
          <cell r="B2263">
            <v>346</v>
          </cell>
        </row>
        <row r="2264">
          <cell r="A2264">
            <v>44998</v>
          </cell>
          <cell r="B2264">
            <v>347</v>
          </cell>
        </row>
        <row r="2265">
          <cell r="A2265">
            <v>44999</v>
          </cell>
          <cell r="B2265">
            <v>348</v>
          </cell>
        </row>
        <row r="2266">
          <cell r="A2266">
            <v>45000</v>
          </cell>
          <cell r="B2266">
            <v>349</v>
          </cell>
        </row>
        <row r="2267">
          <cell r="A2267">
            <v>45001</v>
          </cell>
          <cell r="B2267">
            <v>350</v>
          </cell>
        </row>
        <row r="2268">
          <cell r="A2268">
            <v>45002</v>
          </cell>
          <cell r="B2268">
            <v>351</v>
          </cell>
        </row>
        <row r="2269">
          <cell r="A2269">
            <v>45003</v>
          </cell>
          <cell r="B2269">
            <v>352</v>
          </cell>
        </row>
        <row r="2270">
          <cell r="A2270">
            <v>45004</v>
          </cell>
          <cell r="B2270">
            <v>353</v>
          </cell>
        </row>
        <row r="2271">
          <cell r="A2271">
            <v>45005</v>
          </cell>
          <cell r="B2271">
            <v>354</v>
          </cell>
        </row>
        <row r="2272">
          <cell r="A2272">
            <v>45006</v>
          </cell>
          <cell r="B2272">
            <v>355</v>
          </cell>
        </row>
        <row r="2273">
          <cell r="A2273">
            <v>45007</v>
          </cell>
          <cell r="B2273">
            <v>356</v>
          </cell>
        </row>
        <row r="2274">
          <cell r="A2274">
            <v>45008</v>
          </cell>
          <cell r="B2274">
            <v>357</v>
          </cell>
        </row>
        <row r="2275">
          <cell r="A2275">
            <v>45009</v>
          </cell>
          <cell r="B2275">
            <v>358</v>
          </cell>
        </row>
        <row r="2276">
          <cell r="A2276">
            <v>45010</v>
          </cell>
          <cell r="B2276">
            <v>359</v>
          </cell>
        </row>
        <row r="2277">
          <cell r="A2277">
            <v>45011</v>
          </cell>
          <cell r="B2277">
            <v>360</v>
          </cell>
        </row>
        <row r="2278">
          <cell r="A2278">
            <v>45012</v>
          </cell>
          <cell r="B2278">
            <v>361</v>
          </cell>
        </row>
        <row r="2279">
          <cell r="A2279">
            <v>45013</v>
          </cell>
          <cell r="B2279">
            <v>362</v>
          </cell>
        </row>
        <row r="2280">
          <cell r="A2280">
            <v>45014</v>
          </cell>
          <cell r="B2280">
            <v>363</v>
          </cell>
        </row>
        <row r="2281">
          <cell r="A2281">
            <v>45015</v>
          </cell>
          <cell r="B2281">
            <v>364</v>
          </cell>
        </row>
        <row r="2282">
          <cell r="A2282">
            <v>45016</v>
          </cell>
          <cell r="B2282">
            <v>365</v>
          </cell>
        </row>
        <row r="2283">
          <cell r="A2283">
            <v>45017</v>
          </cell>
          <cell r="B2283">
            <v>1</v>
          </cell>
        </row>
        <row r="2284">
          <cell r="A2284">
            <v>45018</v>
          </cell>
          <cell r="B2284">
            <v>2</v>
          </cell>
        </row>
        <row r="2285">
          <cell r="A2285">
            <v>45019</v>
          </cell>
          <cell r="B2285">
            <v>3</v>
          </cell>
        </row>
        <row r="2286">
          <cell r="A2286">
            <v>45020</v>
          </cell>
          <cell r="B2286">
            <v>4</v>
          </cell>
        </row>
        <row r="2287">
          <cell r="A2287">
            <v>45021</v>
          </cell>
          <cell r="B2287">
            <v>5</v>
          </cell>
        </row>
        <row r="2288">
          <cell r="A2288">
            <v>45022</v>
          </cell>
          <cell r="B2288">
            <v>6</v>
          </cell>
        </row>
        <row r="2289">
          <cell r="A2289">
            <v>45023</v>
          </cell>
          <cell r="B2289">
            <v>7</v>
          </cell>
        </row>
        <row r="2290">
          <cell r="A2290">
            <v>45024</v>
          </cell>
          <cell r="B2290">
            <v>8</v>
          </cell>
        </row>
        <row r="2291">
          <cell r="A2291">
            <v>45025</v>
          </cell>
          <cell r="B2291">
            <v>9</v>
          </cell>
        </row>
        <row r="2292">
          <cell r="A2292">
            <v>45026</v>
          </cell>
          <cell r="B2292">
            <v>10</v>
          </cell>
        </row>
        <row r="2293">
          <cell r="A2293">
            <v>45027</v>
          </cell>
          <cell r="B2293">
            <v>11</v>
          </cell>
        </row>
        <row r="2294">
          <cell r="A2294">
            <v>45028</v>
          </cell>
          <cell r="B2294">
            <v>12</v>
          </cell>
        </row>
        <row r="2295">
          <cell r="A2295">
            <v>45029</v>
          </cell>
          <cell r="B2295">
            <v>13</v>
          </cell>
        </row>
        <row r="2296">
          <cell r="A2296">
            <v>45030</v>
          </cell>
          <cell r="B2296">
            <v>14</v>
          </cell>
        </row>
        <row r="2297">
          <cell r="A2297">
            <v>45031</v>
          </cell>
          <cell r="B2297">
            <v>15</v>
          </cell>
        </row>
        <row r="2298">
          <cell r="A2298">
            <v>45032</v>
          </cell>
          <cell r="B2298">
            <v>16</v>
          </cell>
        </row>
        <row r="2299">
          <cell r="A2299">
            <v>45033</v>
          </cell>
          <cell r="B2299">
            <v>17</v>
          </cell>
        </row>
        <row r="2300">
          <cell r="A2300">
            <v>45034</v>
          </cell>
          <cell r="B2300">
            <v>18</v>
          </cell>
        </row>
        <row r="2301">
          <cell r="A2301">
            <v>45035</v>
          </cell>
          <cell r="B2301">
            <v>19</v>
          </cell>
        </row>
        <row r="2302">
          <cell r="A2302">
            <v>45036</v>
          </cell>
          <cell r="B2302">
            <v>20</v>
          </cell>
        </row>
        <row r="2303">
          <cell r="A2303">
            <v>45037</v>
          </cell>
          <cell r="B2303">
            <v>21</v>
          </cell>
        </row>
        <row r="2304">
          <cell r="A2304">
            <v>45038</v>
          </cell>
          <cell r="B2304">
            <v>22</v>
          </cell>
        </row>
        <row r="2305">
          <cell r="A2305">
            <v>45039</v>
          </cell>
          <cell r="B2305">
            <v>23</v>
          </cell>
        </row>
        <row r="2306">
          <cell r="A2306">
            <v>45040</v>
          </cell>
          <cell r="B2306">
            <v>24</v>
          </cell>
        </row>
        <row r="2307">
          <cell r="A2307">
            <v>45041</v>
          </cell>
          <cell r="B2307">
            <v>25</v>
          </cell>
        </row>
        <row r="2308">
          <cell r="A2308">
            <v>45042</v>
          </cell>
          <cell r="B2308">
            <v>26</v>
          </cell>
        </row>
        <row r="2309">
          <cell r="A2309">
            <v>45043</v>
          </cell>
          <cell r="B2309">
            <v>27</v>
          </cell>
        </row>
        <row r="2310">
          <cell r="A2310">
            <v>45044</v>
          </cell>
          <cell r="B2310">
            <v>28</v>
          </cell>
        </row>
        <row r="2311">
          <cell r="A2311">
            <v>45045</v>
          </cell>
          <cell r="B2311">
            <v>29</v>
          </cell>
        </row>
        <row r="2312">
          <cell r="A2312">
            <v>45046</v>
          </cell>
          <cell r="B2312">
            <v>30</v>
          </cell>
        </row>
        <row r="2313">
          <cell r="A2313">
            <v>45047</v>
          </cell>
          <cell r="B2313">
            <v>31</v>
          </cell>
        </row>
        <row r="2314">
          <cell r="A2314">
            <v>45048</v>
          </cell>
          <cell r="B2314">
            <v>32</v>
          </cell>
        </row>
        <row r="2315">
          <cell r="A2315">
            <v>45049</v>
          </cell>
          <cell r="B2315">
            <v>33</v>
          </cell>
        </row>
        <row r="2316">
          <cell r="A2316">
            <v>45050</v>
          </cell>
          <cell r="B2316">
            <v>34</v>
          </cell>
        </row>
        <row r="2317">
          <cell r="A2317">
            <v>45051</v>
          </cell>
          <cell r="B2317">
            <v>35</v>
          </cell>
        </row>
        <row r="2318">
          <cell r="A2318">
            <v>45052</v>
          </cell>
          <cell r="B2318">
            <v>36</v>
          </cell>
        </row>
        <row r="2319">
          <cell r="A2319">
            <v>45053</v>
          </cell>
          <cell r="B2319">
            <v>37</v>
          </cell>
        </row>
        <row r="2320">
          <cell r="A2320">
            <v>45054</v>
          </cell>
          <cell r="B2320">
            <v>38</v>
          </cell>
        </row>
        <row r="2321">
          <cell r="A2321">
            <v>45055</v>
          </cell>
          <cell r="B2321">
            <v>39</v>
          </cell>
        </row>
        <row r="2322">
          <cell r="A2322">
            <v>45056</v>
          </cell>
          <cell r="B2322">
            <v>40</v>
          </cell>
        </row>
        <row r="2323">
          <cell r="A2323">
            <v>45057</v>
          </cell>
          <cell r="B2323">
            <v>41</v>
          </cell>
        </row>
        <row r="2324">
          <cell r="A2324">
            <v>45058</v>
          </cell>
          <cell r="B2324">
            <v>42</v>
          </cell>
        </row>
        <row r="2325">
          <cell r="A2325">
            <v>45059</v>
          </cell>
          <cell r="B2325">
            <v>43</v>
          </cell>
        </row>
        <row r="2326">
          <cell r="A2326">
            <v>45060</v>
          </cell>
          <cell r="B2326">
            <v>44</v>
          </cell>
        </row>
        <row r="2327">
          <cell r="A2327">
            <v>45061</v>
          </cell>
          <cell r="B2327">
            <v>45</v>
          </cell>
        </row>
        <row r="2328">
          <cell r="A2328">
            <v>45062</v>
          </cell>
          <cell r="B2328">
            <v>46</v>
          </cell>
        </row>
        <row r="2329">
          <cell r="A2329">
            <v>45063</v>
          </cell>
          <cell r="B2329">
            <v>47</v>
          </cell>
        </row>
        <row r="2330">
          <cell r="A2330">
            <v>45064</v>
          </cell>
          <cell r="B2330">
            <v>48</v>
          </cell>
        </row>
        <row r="2331">
          <cell r="A2331">
            <v>45065</v>
          </cell>
          <cell r="B2331">
            <v>49</v>
          </cell>
        </row>
        <row r="2332">
          <cell r="A2332">
            <v>45066</v>
          </cell>
          <cell r="B2332">
            <v>50</v>
          </cell>
        </row>
        <row r="2333">
          <cell r="A2333">
            <v>45067</v>
          </cell>
          <cell r="B2333">
            <v>51</v>
          </cell>
        </row>
        <row r="2334">
          <cell r="A2334">
            <v>45068</v>
          </cell>
          <cell r="B2334">
            <v>52</v>
          </cell>
        </row>
        <row r="2335">
          <cell r="A2335">
            <v>45069</v>
          </cell>
          <cell r="B2335">
            <v>53</v>
          </cell>
        </row>
        <row r="2336">
          <cell r="A2336">
            <v>45070</v>
          </cell>
          <cell r="B2336">
            <v>54</v>
          </cell>
        </row>
        <row r="2337">
          <cell r="A2337">
            <v>45071</v>
          </cell>
          <cell r="B2337">
            <v>55</v>
          </cell>
        </row>
        <row r="2338">
          <cell r="A2338">
            <v>45072</v>
          </cell>
          <cell r="B2338">
            <v>56</v>
          </cell>
        </row>
        <row r="2339">
          <cell r="A2339">
            <v>45073</v>
          </cell>
          <cell r="B2339">
            <v>57</v>
          </cell>
        </row>
        <row r="2340">
          <cell r="A2340">
            <v>45074</v>
          </cell>
          <cell r="B2340">
            <v>58</v>
          </cell>
        </row>
        <row r="2341">
          <cell r="A2341">
            <v>45075</v>
          </cell>
          <cell r="B2341">
            <v>59</v>
          </cell>
        </row>
        <row r="2342">
          <cell r="A2342">
            <v>45076</v>
          </cell>
          <cell r="B2342">
            <v>60</v>
          </cell>
        </row>
        <row r="2343">
          <cell r="A2343">
            <v>45077</v>
          </cell>
          <cell r="B2343">
            <v>61</v>
          </cell>
        </row>
        <row r="2344">
          <cell r="A2344">
            <v>45078</v>
          </cell>
          <cell r="B2344">
            <v>62</v>
          </cell>
        </row>
        <row r="2345">
          <cell r="A2345">
            <v>45079</v>
          </cell>
          <cell r="B2345">
            <v>63</v>
          </cell>
        </row>
        <row r="2346">
          <cell r="A2346">
            <v>45080</v>
          </cell>
          <cell r="B2346">
            <v>64</v>
          </cell>
        </row>
        <row r="2347">
          <cell r="A2347">
            <v>45081</v>
          </cell>
          <cell r="B2347">
            <v>65</v>
          </cell>
        </row>
        <row r="2348">
          <cell r="A2348">
            <v>45082</v>
          </cell>
          <cell r="B2348">
            <v>66</v>
          </cell>
        </row>
        <row r="2349">
          <cell r="A2349">
            <v>45083</v>
          </cell>
          <cell r="B2349">
            <v>67</v>
          </cell>
        </row>
        <row r="2350">
          <cell r="A2350">
            <v>45084</v>
          </cell>
          <cell r="B2350">
            <v>68</v>
          </cell>
        </row>
        <row r="2351">
          <cell r="A2351">
            <v>45085</v>
          </cell>
          <cell r="B2351">
            <v>69</v>
          </cell>
        </row>
        <row r="2352">
          <cell r="A2352">
            <v>45086</v>
          </cell>
          <cell r="B2352">
            <v>70</v>
          </cell>
        </row>
        <row r="2353">
          <cell r="A2353">
            <v>45087</v>
          </cell>
          <cell r="B2353">
            <v>71</v>
          </cell>
        </row>
        <row r="2354">
          <cell r="A2354">
            <v>45088</v>
          </cell>
          <cell r="B2354">
            <v>72</v>
          </cell>
        </row>
        <row r="2355">
          <cell r="A2355">
            <v>45089</v>
          </cell>
          <cell r="B2355">
            <v>73</v>
          </cell>
        </row>
        <row r="2356">
          <cell r="A2356">
            <v>45090</v>
          </cell>
          <cell r="B2356">
            <v>74</v>
          </cell>
        </row>
        <row r="2357">
          <cell r="A2357">
            <v>45091</v>
          </cell>
          <cell r="B2357">
            <v>75</v>
          </cell>
        </row>
        <row r="2358">
          <cell r="A2358">
            <v>45092</v>
          </cell>
          <cell r="B2358">
            <v>76</v>
          </cell>
        </row>
        <row r="2359">
          <cell r="A2359">
            <v>45093</v>
          </cell>
          <cell r="B2359">
            <v>77</v>
          </cell>
        </row>
        <row r="2360">
          <cell r="A2360">
            <v>45094</v>
          </cell>
          <cell r="B2360">
            <v>78</v>
          </cell>
        </row>
        <row r="2361">
          <cell r="A2361">
            <v>45095</v>
          </cell>
          <cell r="B2361">
            <v>79</v>
          </cell>
        </row>
        <row r="2362">
          <cell r="A2362">
            <v>45096</v>
          </cell>
          <cell r="B2362">
            <v>80</v>
          </cell>
        </row>
        <row r="2363">
          <cell r="A2363">
            <v>45097</v>
          </cell>
          <cell r="B2363">
            <v>81</v>
          </cell>
        </row>
        <row r="2364">
          <cell r="A2364">
            <v>45098</v>
          </cell>
          <cell r="B2364">
            <v>82</v>
          </cell>
        </row>
        <row r="2365">
          <cell r="A2365">
            <v>45099</v>
          </cell>
          <cell r="B2365">
            <v>83</v>
          </cell>
        </row>
        <row r="2366">
          <cell r="A2366">
            <v>45100</v>
          </cell>
          <cell r="B2366">
            <v>84</v>
          </cell>
        </row>
        <row r="2367">
          <cell r="A2367">
            <v>45101</v>
          </cell>
          <cell r="B2367">
            <v>85</v>
          </cell>
        </row>
        <row r="2368">
          <cell r="A2368">
            <v>45102</v>
          </cell>
          <cell r="B2368">
            <v>86</v>
          </cell>
        </row>
        <row r="2369">
          <cell r="A2369">
            <v>45103</v>
          </cell>
          <cell r="B2369">
            <v>87</v>
          </cell>
        </row>
        <row r="2370">
          <cell r="A2370">
            <v>45104</v>
          </cell>
          <cell r="B2370">
            <v>88</v>
          </cell>
        </row>
        <row r="2371">
          <cell r="A2371">
            <v>45105</v>
          </cell>
          <cell r="B2371">
            <v>89</v>
          </cell>
        </row>
        <row r="2372">
          <cell r="A2372">
            <v>45106</v>
          </cell>
          <cell r="B2372">
            <v>90</v>
          </cell>
        </row>
        <row r="2373">
          <cell r="A2373">
            <v>45107</v>
          </cell>
          <cell r="B2373">
            <v>91</v>
          </cell>
        </row>
        <row r="2374">
          <cell r="A2374">
            <v>45108</v>
          </cell>
          <cell r="B2374">
            <v>92</v>
          </cell>
        </row>
        <row r="2375">
          <cell r="A2375">
            <v>45109</v>
          </cell>
          <cell r="B2375">
            <v>93</v>
          </cell>
        </row>
        <row r="2376">
          <cell r="A2376">
            <v>45110</v>
          </cell>
          <cell r="B2376">
            <v>94</v>
          </cell>
        </row>
        <row r="2377">
          <cell r="A2377">
            <v>45111</v>
          </cell>
          <cell r="B2377">
            <v>95</v>
          </cell>
        </row>
        <row r="2378">
          <cell r="A2378">
            <v>45112</v>
          </cell>
          <cell r="B2378">
            <v>96</v>
          </cell>
        </row>
        <row r="2379">
          <cell r="A2379">
            <v>45113</v>
          </cell>
          <cell r="B2379">
            <v>97</v>
          </cell>
        </row>
        <row r="2380">
          <cell r="A2380">
            <v>45114</v>
          </cell>
          <cell r="B2380">
            <v>98</v>
          </cell>
        </row>
        <row r="2381">
          <cell r="A2381">
            <v>45115</v>
          </cell>
          <cell r="B2381">
            <v>99</v>
          </cell>
        </row>
        <row r="2382">
          <cell r="A2382">
            <v>45116</v>
          </cell>
          <cell r="B2382">
            <v>100</v>
          </cell>
        </row>
        <row r="2383">
          <cell r="A2383">
            <v>45117</v>
          </cell>
          <cell r="B2383">
            <v>101</v>
          </cell>
        </row>
        <row r="2384">
          <cell r="A2384">
            <v>45118</v>
          </cell>
          <cell r="B2384">
            <v>102</v>
          </cell>
        </row>
        <row r="2385">
          <cell r="A2385">
            <v>45119</v>
          </cell>
          <cell r="B2385">
            <v>103</v>
          </cell>
        </row>
        <row r="2386">
          <cell r="A2386">
            <v>45120</v>
          </cell>
          <cell r="B2386">
            <v>104</v>
          </cell>
        </row>
        <row r="2387">
          <cell r="A2387">
            <v>45121</v>
          </cell>
          <cell r="B2387">
            <v>105</v>
          </cell>
        </row>
        <row r="2388">
          <cell r="A2388">
            <v>45122</v>
          </cell>
          <cell r="B2388">
            <v>106</v>
          </cell>
        </row>
        <row r="2389">
          <cell r="A2389">
            <v>45123</v>
          </cell>
          <cell r="B2389">
            <v>107</v>
          </cell>
        </row>
        <row r="2390">
          <cell r="A2390">
            <v>45124</v>
          </cell>
          <cell r="B2390">
            <v>108</v>
          </cell>
        </row>
        <row r="2391">
          <cell r="A2391">
            <v>45125</v>
          </cell>
          <cell r="B2391">
            <v>109</v>
          </cell>
        </row>
        <row r="2392">
          <cell r="A2392">
            <v>45126</v>
          </cell>
          <cell r="B2392">
            <v>110</v>
          </cell>
        </row>
        <row r="2393">
          <cell r="A2393">
            <v>45127</v>
          </cell>
          <cell r="B2393">
            <v>111</v>
          </cell>
        </row>
        <row r="2394">
          <cell r="A2394">
            <v>45128</v>
          </cell>
          <cell r="B2394">
            <v>112</v>
          </cell>
        </row>
        <row r="2395">
          <cell r="A2395">
            <v>45129</v>
          </cell>
          <cell r="B2395">
            <v>113</v>
          </cell>
        </row>
        <row r="2396">
          <cell r="A2396">
            <v>45130</v>
          </cell>
          <cell r="B2396">
            <v>114</v>
          </cell>
        </row>
        <row r="2397">
          <cell r="A2397">
            <v>45131</v>
          </cell>
          <cell r="B2397">
            <v>115</v>
          </cell>
        </row>
        <row r="2398">
          <cell r="A2398">
            <v>45132</v>
          </cell>
          <cell r="B2398">
            <v>116</v>
          </cell>
        </row>
        <row r="2399">
          <cell r="A2399">
            <v>45133</v>
          </cell>
          <cell r="B2399">
            <v>117</v>
          </cell>
        </row>
        <row r="2400">
          <cell r="A2400">
            <v>45134</v>
          </cell>
          <cell r="B2400">
            <v>118</v>
          </cell>
        </row>
        <row r="2401">
          <cell r="A2401">
            <v>45135</v>
          </cell>
          <cell r="B2401">
            <v>119</v>
          </cell>
        </row>
        <row r="2402">
          <cell r="A2402">
            <v>45136</v>
          </cell>
          <cell r="B2402">
            <v>120</v>
          </cell>
        </row>
        <row r="2403">
          <cell r="A2403">
            <v>45137</v>
          </cell>
          <cell r="B2403">
            <v>121</v>
          </cell>
        </row>
        <row r="2404">
          <cell r="A2404">
            <v>45138</v>
          </cell>
          <cell r="B2404">
            <v>122</v>
          </cell>
        </row>
        <row r="2405">
          <cell r="A2405">
            <v>45139</v>
          </cell>
          <cell r="B2405">
            <v>123</v>
          </cell>
        </row>
        <row r="2406">
          <cell r="A2406">
            <v>45140</v>
          </cell>
          <cell r="B2406">
            <v>124</v>
          </cell>
        </row>
        <row r="2407">
          <cell r="A2407">
            <v>45141</v>
          </cell>
          <cell r="B2407">
            <v>125</v>
          </cell>
        </row>
        <row r="2408">
          <cell r="A2408">
            <v>45142</v>
          </cell>
          <cell r="B2408">
            <v>126</v>
          </cell>
        </row>
        <row r="2409">
          <cell r="A2409">
            <v>45143</v>
          </cell>
          <cell r="B2409">
            <v>127</v>
          </cell>
        </row>
        <row r="2410">
          <cell r="A2410">
            <v>45144</v>
          </cell>
          <cell r="B2410">
            <v>128</v>
          </cell>
        </row>
        <row r="2411">
          <cell r="A2411">
            <v>45145</v>
          </cell>
          <cell r="B2411">
            <v>129</v>
          </cell>
        </row>
        <row r="2412">
          <cell r="A2412">
            <v>45146</v>
          </cell>
          <cell r="B2412">
            <v>130</v>
          </cell>
        </row>
        <row r="2413">
          <cell r="A2413">
            <v>45147</v>
          </cell>
          <cell r="B2413">
            <v>131</v>
          </cell>
        </row>
        <row r="2414">
          <cell r="A2414">
            <v>45148</v>
          </cell>
          <cell r="B2414">
            <v>132</v>
          </cell>
        </row>
        <row r="2415">
          <cell r="A2415">
            <v>45149</v>
          </cell>
          <cell r="B2415">
            <v>133</v>
          </cell>
        </row>
        <row r="2416">
          <cell r="A2416">
            <v>45150</v>
          </cell>
          <cell r="B2416">
            <v>134</v>
          </cell>
        </row>
        <row r="2417">
          <cell r="A2417">
            <v>45151</v>
          </cell>
          <cell r="B2417">
            <v>135</v>
          </cell>
        </row>
        <row r="2418">
          <cell r="A2418">
            <v>45152</v>
          </cell>
          <cell r="B2418">
            <v>136</v>
          </cell>
        </row>
        <row r="2419">
          <cell r="A2419">
            <v>45153</v>
          </cell>
          <cell r="B2419">
            <v>137</v>
          </cell>
        </row>
        <row r="2420">
          <cell r="A2420">
            <v>45154</v>
          </cell>
          <cell r="B2420">
            <v>138</v>
          </cell>
        </row>
        <row r="2421">
          <cell r="A2421">
            <v>45155</v>
          </cell>
          <cell r="B2421">
            <v>139</v>
          </cell>
        </row>
        <row r="2422">
          <cell r="A2422">
            <v>45156</v>
          </cell>
          <cell r="B2422">
            <v>140</v>
          </cell>
        </row>
        <row r="2423">
          <cell r="A2423">
            <v>45157</v>
          </cell>
          <cell r="B2423">
            <v>141</v>
          </cell>
        </row>
        <row r="2424">
          <cell r="A2424">
            <v>45158</v>
          </cell>
          <cell r="B2424">
            <v>142</v>
          </cell>
        </row>
        <row r="2425">
          <cell r="A2425">
            <v>45159</v>
          </cell>
          <cell r="B2425">
            <v>143</v>
          </cell>
        </row>
        <row r="2426">
          <cell r="A2426">
            <v>45160</v>
          </cell>
          <cell r="B2426">
            <v>144</v>
          </cell>
        </row>
        <row r="2427">
          <cell r="A2427">
            <v>45161</v>
          </cell>
          <cell r="B2427">
            <v>145</v>
          </cell>
        </row>
        <row r="2428">
          <cell r="A2428">
            <v>45162</v>
          </cell>
          <cell r="B2428">
            <v>146</v>
          </cell>
        </row>
        <row r="2429">
          <cell r="A2429">
            <v>45163</v>
          </cell>
          <cell r="B2429">
            <v>147</v>
          </cell>
        </row>
        <row r="2430">
          <cell r="A2430">
            <v>45164</v>
          </cell>
          <cell r="B2430">
            <v>148</v>
          </cell>
        </row>
        <row r="2431">
          <cell r="A2431">
            <v>45165</v>
          </cell>
          <cell r="B2431">
            <v>149</v>
          </cell>
        </row>
        <row r="2432">
          <cell r="A2432">
            <v>45166</v>
          </cell>
          <cell r="B2432">
            <v>150</v>
          </cell>
        </row>
        <row r="2433">
          <cell r="A2433">
            <v>45167</v>
          </cell>
          <cell r="B2433">
            <v>151</v>
          </cell>
        </row>
        <row r="2434">
          <cell r="A2434">
            <v>45168</v>
          </cell>
          <cell r="B2434">
            <v>152</v>
          </cell>
        </row>
        <row r="2435">
          <cell r="A2435">
            <v>45169</v>
          </cell>
          <cell r="B2435">
            <v>153</v>
          </cell>
        </row>
        <row r="2436">
          <cell r="A2436">
            <v>45170</v>
          </cell>
          <cell r="B2436">
            <v>154</v>
          </cell>
        </row>
        <row r="2437">
          <cell r="A2437">
            <v>45171</v>
          </cell>
          <cell r="B2437">
            <v>155</v>
          </cell>
        </row>
        <row r="2438">
          <cell r="A2438">
            <v>45172</v>
          </cell>
          <cell r="B2438">
            <v>156</v>
          </cell>
        </row>
        <row r="2439">
          <cell r="A2439">
            <v>45173</v>
          </cell>
          <cell r="B2439">
            <v>157</v>
          </cell>
        </row>
        <row r="2440">
          <cell r="A2440">
            <v>45174</v>
          </cell>
          <cell r="B2440">
            <v>158</v>
          </cell>
        </row>
        <row r="2441">
          <cell r="A2441">
            <v>45175</v>
          </cell>
          <cell r="B2441">
            <v>159</v>
          </cell>
        </row>
        <row r="2442">
          <cell r="A2442">
            <v>45176</v>
          </cell>
          <cell r="B2442">
            <v>160</v>
          </cell>
        </row>
        <row r="2443">
          <cell r="A2443">
            <v>45177</v>
          </cell>
          <cell r="B2443">
            <v>161</v>
          </cell>
        </row>
        <row r="2444">
          <cell r="A2444">
            <v>45178</v>
          </cell>
          <cell r="B2444">
            <v>162</v>
          </cell>
        </row>
        <row r="2445">
          <cell r="A2445">
            <v>45179</v>
          </cell>
          <cell r="B2445">
            <v>163</v>
          </cell>
        </row>
        <row r="2446">
          <cell r="A2446">
            <v>45180</v>
          </cell>
          <cell r="B2446">
            <v>164</v>
          </cell>
        </row>
        <row r="2447">
          <cell r="A2447">
            <v>45181</v>
          </cell>
          <cell r="B2447">
            <v>165</v>
          </cell>
        </row>
        <row r="2448">
          <cell r="A2448">
            <v>45182</v>
          </cell>
          <cell r="B2448">
            <v>166</v>
          </cell>
        </row>
        <row r="2449">
          <cell r="A2449">
            <v>45183</v>
          </cell>
          <cell r="B2449">
            <v>167</v>
          </cell>
        </row>
        <row r="2450">
          <cell r="A2450">
            <v>45184</v>
          </cell>
          <cell r="B2450">
            <v>168</v>
          </cell>
        </row>
        <row r="2451">
          <cell r="A2451">
            <v>45185</v>
          </cell>
          <cell r="B2451">
            <v>169</v>
          </cell>
        </row>
        <row r="2452">
          <cell r="A2452">
            <v>45186</v>
          </cell>
          <cell r="B2452">
            <v>170</v>
          </cell>
        </row>
        <row r="2453">
          <cell r="A2453">
            <v>45187</v>
          </cell>
          <cell r="B2453">
            <v>171</v>
          </cell>
        </row>
        <row r="2454">
          <cell r="A2454">
            <v>45188</v>
          </cell>
          <cell r="B2454">
            <v>172</v>
          </cell>
        </row>
        <row r="2455">
          <cell r="A2455">
            <v>45189</v>
          </cell>
          <cell r="B2455">
            <v>173</v>
          </cell>
        </row>
        <row r="2456">
          <cell r="A2456">
            <v>45190</v>
          </cell>
          <cell r="B2456">
            <v>174</v>
          </cell>
        </row>
        <row r="2457">
          <cell r="A2457">
            <v>45191</v>
          </cell>
          <cell r="B2457">
            <v>175</v>
          </cell>
        </row>
        <row r="2458">
          <cell r="A2458">
            <v>45192</v>
          </cell>
          <cell r="B2458">
            <v>176</v>
          </cell>
        </row>
        <row r="2459">
          <cell r="A2459">
            <v>45193</v>
          </cell>
          <cell r="B2459">
            <v>177</v>
          </cell>
        </row>
        <row r="2460">
          <cell r="A2460">
            <v>45194</v>
          </cell>
          <cell r="B2460">
            <v>178</v>
          </cell>
        </row>
        <row r="2461">
          <cell r="A2461">
            <v>45195</v>
          </cell>
          <cell r="B2461">
            <v>179</v>
          </cell>
        </row>
        <row r="2462">
          <cell r="A2462">
            <v>45196</v>
          </cell>
          <cell r="B2462">
            <v>180</v>
          </cell>
        </row>
        <row r="2463">
          <cell r="A2463">
            <v>45197</v>
          </cell>
          <cell r="B2463">
            <v>181</v>
          </cell>
        </row>
        <row r="2464">
          <cell r="A2464">
            <v>45198</v>
          </cell>
          <cell r="B2464">
            <v>182</v>
          </cell>
        </row>
        <row r="2465">
          <cell r="A2465">
            <v>45199</v>
          </cell>
          <cell r="B2465">
            <v>183</v>
          </cell>
        </row>
        <row r="2466">
          <cell r="A2466">
            <v>45200</v>
          </cell>
          <cell r="B2466">
            <v>184</v>
          </cell>
        </row>
        <row r="2467">
          <cell r="A2467">
            <v>45201</v>
          </cell>
          <cell r="B2467">
            <v>185</v>
          </cell>
        </row>
        <row r="2468">
          <cell r="A2468">
            <v>45202</v>
          </cell>
          <cell r="B2468">
            <v>186</v>
          </cell>
        </row>
        <row r="2469">
          <cell r="A2469">
            <v>45203</v>
          </cell>
          <cell r="B2469">
            <v>187</v>
          </cell>
        </row>
        <row r="2470">
          <cell r="A2470">
            <v>45204</v>
          </cell>
          <cell r="B2470">
            <v>188</v>
          </cell>
        </row>
        <row r="2471">
          <cell r="A2471">
            <v>45205</v>
          </cell>
          <cell r="B2471">
            <v>189</v>
          </cell>
        </row>
        <row r="2472">
          <cell r="A2472">
            <v>45206</v>
          </cell>
          <cell r="B2472">
            <v>190</v>
          </cell>
        </row>
        <row r="2473">
          <cell r="A2473">
            <v>45207</v>
          </cell>
          <cell r="B2473">
            <v>191</v>
          </cell>
        </row>
        <row r="2474">
          <cell r="A2474">
            <v>45208</v>
          </cell>
          <cell r="B2474">
            <v>192</v>
          </cell>
        </row>
        <row r="2475">
          <cell r="A2475">
            <v>45209</v>
          </cell>
          <cell r="B2475">
            <v>193</v>
          </cell>
        </row>
        <row r="2476">
          <cell r="A2476">
            <v>45210</v>
          </cell>
          <cell r="B2476">
            <v>194</v>
          </cell>
        </row>
        <row r="2477">
          <cell r="A2477">
            <v>45211</v>
          </cell>
          <cell r="B2477">
            <v>195</v>
          </cell>
        </row>
        <row r="2478">
          <cell r="A2478">
            <v>45212</v>
          </cell>
          <cell r="B2478">
            <v>196</v>
          </cell>
        </row>
        <row r="2479">
          <cell r="A2479">
            <v>45213</v>
          </cell>
          <cell r="B2479">
            <v>197</v>
          </cell>
        </row>
        <row r="2480">
          <cell r="A2480">
            <v>45214</v>
          </cell>
          <cell r="B2480">
            <v>198</v>
          </cell>
        </row>
        <row r="2481">
          <cell r="A2481">
            <v>45215</v>
          </cell>
          <cell r="B2481">
            <v>199</v>
          </cell>
        </row>
        <row r="2482">
          <cell r="A2482">
            <v>45216</v>
          </cell>
          <cell r="B2482">
            <v>200</v>
          </cell>
        </row>
        <row r="2483">
          <cell r="A2483">
            <v>45217</v>
          </cell>
          <cell r="B2483">
            <v>201</v>
          </cell>
        </row>
        <row r="2484">
          <cell r="A2484">
            <v>45218</v>
          </cell>
          <cell r="B2484">
            <v>202</v>
          </cell>
        </row>
        <row r="2485">
          <cell r="A2485">
            <v>45219</v>
          </cell>
          <cell r="B2485">
            <v>203</v>
          </cell>
        </row>
        <row r="2486">
          <cell r="A2486">
            <v>45220</v>
          </cell>
          <cell r="B2486">
            <v>204</v>
          </cell>
        </row>
        <row r="2487">
          <cell r="A2487">
            <v>45221</v>
          </cell>
          <cell r="B2487">
            <v>205</v>
          </cell>
        </row>
        <row r="2488">
          <cell r="A2488">
            <v>45222</v>
          </cell>
          <cell r="B2488">
            <v>206</v>
          </cell>
        </row>
        <row r="2489">
          <cell r="A2489">
            <v>45223</v>
          </cell>
          <cell r="B2489">
            <v>207</v>
          </cell>
        </row>
        <row r="2490">
          <cell r="A2490">
            <v>45224</v>
          </cell>
          <cell r="B2490">
            <v>208</v>
          </cell>
        </row>
        <row r="2491">
          <cell r="A2491">
            <v>45225</v>
          </cell>
          <cell r="B2491">
            <v>209</v>
          </cell>
        </row>
        <row r="2492">
          <cell r="A2492">
            <v>45226</v>
          </cell>
          <cell r="B2492">
            <v>210</v>
          </cell>
        </row>
        <row r="2493">
          <cell r="A2493">
            <v>45227</v>
          </cell>
          <cell r="B2493">
            <v>211</v>
          </cell>
        </row>
        <row r="2494">
          <cell r="A2494">
            <v>45228</v>
          </cell>
          <cell r="B2494">
            <v>212</v>
          </cell>
        </row>
        <row r="2495">
          <cell r="A2495">
            <v>45229</v>
          </cell>
          <cell r="B2495">
            <v>213</v>
          </cell>
        </row>
        <row r="2496">
          <cell r="A2496">
            <v>45230</v>
          </cell>
          <cell r="B2496">
            <v>214</v>
          </cell>
        </row>
        <row r="2497">
          <cell r="A2497">
            <v>45231</v>
          </cell>
          <cell r="B2497">
            <v>215</v>
          </cell>
        </row>
        <row r="2498">
          <cell r="A2498">
            <v>45232</v>
          </cell>
          <cell r="B2498">
            <v>216</v>
          </cell>
        </row>
        <row r="2499">
          <cell r="A2499">
            <v>45233</v>
          </cell>
          <cell r="B2499">
            <v>217</v>
          </cell>
        </row>
        <row r="2500">
          <cell r="A2500">
            <v>45234</v>
          </cell>
          <cell r="B2500">
            <v>218</v>
          </cell>
        </row>
        <row r="2501">
          <cell r="A2501">
            <v>45235</v>
          </cell>
          <cell r="B2501">
            <v>219</v>
          </cell>
        </row>
        <row r="2502">
          <cell r="A2502">
            <v>45236</v>
          </cell>
          <cell r="B2502">
            <v>220</v>
          </cell>
        </row>
        <row r="2503">
          <cell r="A2503">
            <v>45237</v>
          </cell>
          <cell r="B2503">
            <v>221</v>
          </cell>
        </row>
        <row r="2504">
          <cell r="A2504">
            <v>45238</v>
          </cell>
          <cell r="B2504">
            <v>222</v>
          </cell>
        </row>
        <row r="2505">
          <cell r="A2505">
            <v>45239</v>
          </cell>
          <cell r="B2505">
            <v>223</v>
          </cell>
        </row>
        <row r="2506">
          <cell r="A2506">
            <v>45240</v>
          </cell>
          <cell r="B2506">
            <v>224</v>
          </cell>
        </row>
        <row r="2507">
          <cell r="A2507">
            <v>45241</v>
          </cell>
          <cell r="B2507">
            <v>225</v>
          </cell>
        </row>
        <row r="2508">
          <cell r="A2508">
            <v>45242</v>
          </cell>
          <cell r="B2508">
            <v>226</v>
          </cell>
        </row>
        <row r="2509">
          <cell r="A2509">
            <v>45243</v>
          </cell>
          <cell r="B2509">
            <v>227</v>
          </cell>
        </row>
        <row r="2510">
          <cell r="A2510">
            <v>45244</v>
          </cell>
          <cell r="B2510">
            <v>228</v>
          </cell>
        </row>
        <row r="2511">
          <cell r="A2511">
            <v>45245</v>
          </cell>
          <cell r="B2511">
            <v>229</v>
          </cell>
        </row>
        <row r="2512">
          <cell r="A2512">
            <v>45246</v>
          </cell>
          <cell r="B2512">
            <v>230</v>
          </cell>
        </row>
        <row r="2513">
          <cell r="A2513">
            <v>45247</v>
          </cell>
          <cell r="B2513">
            <v>231</v>
          </cell>
        </row>
        <row r="2514">
          <cell r="A2514">
            <v>45248</v>
          </cell>
          <cell r="B2514">
            <v>232</v>
          </cell>
        </row>
        <row r="2515">
          <cell r="A2515">
            <v>45249</v>
          </cell>
          <cell r="B2515">
            <v>233</v>
          </cell>
        </row>
        <row r="2516">
          <cell r="A2516">
            <v>45250</v>
          </cell>
          <cell r="B2516">
            <v>234</v>
          </cell>
        </row>
        <row r="2517">
          <cell r="A2517">
            <v>45251</v>
          </cell>
          <cell r="B2517">
            <v>235</v>
          </cell>
        </row>
        <row r="2518">
          <cell r="A2518">
            <v>45252</v>
          </cell>
          <cell r="B2518">
            <v>236</v>
          </cell>
        </row>
        <row r="2519">
          <cell r="A2519">
            <v>45253</v>
          </cell>
          <cell r="B2519">
            <v>237</v>
          </cell>
        </row>
        <row r="2520">
          <cell r="A2520">
            <v>45254</v>
          </cell>
          <cell r="B2520">
            <v>238</v>
          </cell>
        </row>
        <row r="2521">
          <cell r="A2521">
            <v>45255</v>
          </cell>
          <cell r="B2521">
            <v>239</v>
          </cell>
        </row>
        <row r="2522">
          <cell r="A2522">
            <v>45256</v>
          </cell>
          <cell r="B2522">
            <v>240</v>
          </cell>
        </row>
        <row r="2523">
          <cell r="A2523">
            <v>45257</v>
          </cell>
          <cell r="B2523">
            <v>241</v>
          </cell>
        </row>
        <row r="2524">
          <cell r="A2524">
            <v>45258</v>
          </cell>
          <cell r="B2524">
            <v>242</v>
          </cell>
        </row>
        <row r="2525">
          <cell r="A2525">
            <v>45259</v>
          </cell>
          <cell r="B2525">
            <v>243</v>
          </cell>
        </row>
        <row r="2526">
          <cell r="A2526">
            <v>45260</v>
          </cell>
          <cell r="B2526">
            <v>244</v>
          </cell>
        </row>
        <row r="2527">
          <cell r="A2527">
            <v>45261</v>
          </cell>
          <cell r="B2527">
            <v>245</v>
          </cell>
        </row>
        <row r="2528">
          <cell r="A2528">
            <v>45262</v>
          </cell>
          <cell r="B2528">
            <v>246</v>
          </cell>
        </row>
        <row r="2529">
          <cell r="A2529">
            <v>45263</v>
          </cell>
          <cell r="B2529">
            <v>247</v>
          </cell>
        </row>
        <row r="2530">
          <cell r="A2530">
            <v>45264</v>
          </cell>
          <cell r="B2530">
            <v>248</v>
          </cell>
        </row>
        <row r="2531">
          <cell r="A2531">
            <v>45265</v>
          </cell>
          <cell r="B2531">
            <v>249</v>
          </cell>
        </row>
        <row r="2532">
          <cell r="A2532">
            <v>45266</v>
          </cell>
          <cell r="B2532">
            <v>250</v>
          </cell>
        </row>
        <row r="2533">
          <cell r="A2533">
            <v>45267</v>
          </cell>
          <cell r="B2533">
            <v>251</v>
          </cell>
        </row>
        <row r="2534">
          <cell r="A2534">
            <v>45268</v>
          </cell>
          <cell r="B2534">
            <v>252</v>
          </cell>
        </row>
        <row r="2535">
          <cell r="A2535">
            <v>45269</v>
          </cell>
          <cell r="B2535">
            <v>253</v>
          </cell>
        </row>
        <row r="2536">
          <cell r="A2536">
            <v>45270</v>
          </cell>
          <cell r="B2536">
            <v>254</v>
          </cell>
        </row>
        <row r="2537">
          <cell r="A2537">
            <v>45271</v>
          </cell>
          <cell r="B2537">
            <v>255</v>
          </cell>
        </row>
        <row r="2538">
          <cell r="A2538">
            <v>45272</v>
          </cell>
          <cell r="B2538">
            <v>256</v>
          </cell>
        </row>
        <row r="2539">
          <cell r="A2539">
            <v>45273</v>
          </cell>
          <cell r="B2539">
            <v>257</v>
          </cell>
        </row>
        <row r="2540">
          <cell r="A2540">
            <v>45274</v>
          </cell>
          <cell r="B2540">
            <v>258</v>
          </cell>
        </row>
        <row r="2541">
          <cell r="A2541">
            <v>45275</v>
          </cell>
          <cell r="B2541">
            <v>259</v>
          </cell>
        </row>
        <row r="2542">
          <cell r="A2542">
            <v>45276</v>
          </cell>
          <cell r="B2542">
            <v>260</v>
          </cell>
        </row>
        <row r="2543">
          <cell r="A2543">
            <v>45277</v>
          </cell>
          <cell r="B2543">
            <v>261</v>
          </cell>
        </row>
        <row r="2544">
          <cell r="A2544">
            <v>45278</v>
          </cell>
          <cell r="B2544">
            <v>262</v>
          </cell>
        </row>
        <row r="2545">
          <cell r="A2545">
            <v>45279</v>
          </cell>
          <cell r="B2545">
            <v>263</v>
          </cell>
        </row>
        <row r="2546">
          <cell r="A2546">
            <v>45280</v>
          </cell>
          <cell r="B2546">
            <v>264</v>
          </cell>
        </row>
        <row r="2547">
          <cell r="A2547">
            <v>45281</v>
          </cell>
          <cell r="B2547">
            <v>265</v>
          </cell>
        </row>
        <row r="2548">
          <cell r="A2548">
            <v>45282</v>
          </cell>
          <cell r="B2548">
            <v>266</v>
          </cell>
        </row>
        <row r="2549">
          <cell r="A2549">
            <v>45283</v>
          </cell>
          <cell r="B2549">
            <v>267</v>
          </cell>
        </row>
        <row r="2550">
          <cell r="A2550">
            <v>45284</v>
          </cell>
          <cell r="B2550">
            <v>268</v>
          </cell>
        </row>
        <row r="2551">
          <cell r="A2551">
            <v>45285</v>
          </cell>
          <cell r="B2551">
            <v>269</v>
          </cell>
        </row>
        <row r="2552">
          <cell r="A2552">
            <v>45286</v>
          </cell>
          <cell r="B2552">
            <v>270</v>
          </cell>
        </row>
        <row r="2553">
          <cell r="A2553">
            <v>45287</v>
          </cell>
          <cell r="B2553">
            <v>271</v>
          </cell>
        </row>
        <row r="2554">
          <cell r="A2554">
            <v>45288</v>
          </cell>
          <cell r="B2554">
            <v>272</v>
          </cell>
        </row>
        <row r="2555">
          <cell r="A2555">
            <v>45289</v>
          </cell>
          <cell r="B2555">
            <v>273</v>
          </cell>
        </row>
        <row r="2556">
          <cell r="A2556">
            <v>45290</v>
          </cell>
          <cell r="B2556">
            <v>274</v>
          </cell>
        </row>
        <row r="2557">
          <cell r="A2557">
            <v>45291</v>
          </cell>
          <cell r="B2557">
            <v>275</v>
          </cell>
        </row>
        <row r="2558">
          <cell r="A2558">
            <v>45292</v>
          </cell>
          <cell r="B2558">
            <v>276</v>
          </cell>
        </row>
        <row r="2559">
          <cell r="A2559">
            <v>45293</v>
          </cell>
          <cell r="B2559">
            <v>277</v>
          </cell>
        </row>
        <row r="2560">
          <cell r="A2560">
            <v>45294</v>
          </cell>
          <cell r="B2560">
            <v>278</v>
          </cell>
        </row>
        <row r="2561">
          <cell r="A2561">
            <v>45295</v>
          </cell>
          <cell r="B2561">
            <v>279</v>
          </cell>
        </row>
        <row r="2562">
          <cell r="A2562">
            <v>45296</v>
          </cell>
          <cell r="B2562">
            <v>280</v>
          </cell>
        </row>
        <row r="2563">
          <cell r="A2563">
            <v>45297</v>
          </cell>
          <cell r="B2563">
            <v>281</v>
          </cell>
        </row>
        <row r="2564">
          <cell r="A2564">
            <v>45298</v>
          </cell>
          <cell r="B2564">
            <v>282</v>
          </cell>
        </row>
        <row r="2565">
          <cell r="A2565">
            <v>45299</v>
          </cell>
          <cell r="B2565">
            <v>283</v>
          </cell>
        </row>
        <row r="2566">
          <cell r="A2566">
            <v>45300</v>
          </cell>
          <cell r="B2566">
            <v>284</v>
          </cell>
        </row>
        <row r="2567">
          <cell r="A2567">
            <v>45301</v>
          </cell>
          <cell r="B2567">
            <v>285</v>
          </cell>
        </row>
        <row r="2568">
          <cell r="A2568">
            <v>45302</v>
          </cell>
          <cell r="B2568">
            <v>286</v>
          </cell>
        </row>
        <row r="2569">
          <cell r="A2569">
            <v>45303</v>
          </cell>
          <cell r="B2569">
            <v>287</v>
          </cell>
        </row>
        <row r="2570">
          <cell r="A2570">
            <v>45304</v>
          </cell>
          <cell r="B2570">
            <v>288</v>
          </cell>
        </row>
        <row r="2571">
          <cell r="A2571">
            <v>45305</v>
          </cell>
          <cell r="B2571">
            <v>289</v>
          </cell>
        </row>
        <row r="2572">
          <cell r="A2572">
            <v>45306</v>
          </cell>
          <cell r="B2572">
            <v>290</v>
          </cell>
        </row>
        <row r="2573">
          <cell r="A2573">
            <v>45307</v>
          </cell>
          <cell r="B2573">
            <v>291</v>
          </cell>
        </row>
        <row r="2574">
          <cell r="A2574">
            <v>45308</v>
          </cell>
          <cell r="B2574">
            <v>292</v>
          </cell>
        </row>
        <row r="2575">
          <cell r="A2575">
            <v>45309</v>
          </cell>
          <cell r="B2575">
            <v>293</v>
          </cell>
        </row>
        <row r="2576">
          <cell r="A2576">
            <v>45310</v>
          </cell>
          <cell r="B2576">
            <v>294</v>
          </cell>
        </row>
        <row r="2577">
          <cell r="A2577">
            <v>45311</v>
          </cell>
          <cell r="B2577">
            <v>295</v>
          </cell>
        </row>
        <row r="2578">
          <cell r="A2578">
            <v>45312</v>
          </cell>
          <cell r="B2578">
            <v>296</v>
          </cell>
        </row>
        <row r="2579">
          <cell r="A2579">
            <v>45313</v>
          </cell>
          <cell r="B2579">
            <v>297</v>
          </cell>
        </row>
        <row r="2580">
          <cell r="A2580">
            <v>45314</v>
          </cell>
          <cell r="B2580">
            <v>298</v>
          </cell>
        </row>
        <row r="2581">
          <cell r="A2581">
            <v>45315</v>
          </cell>
          <cell r="B2581">
            <v>299</v>
          </cell>
        </row>
        <row r="2582">
          <cell r="A2582">
            <v>45316</v>
          </cell>
          <cell r="B2582">
            <v>300</v>
          </cell>
        </row>
        <row r="2583">
          <cell r="A2583">
            <v>45317</v>
          </cell>
          <cell r="B2583">
            <v>301</v>
          </cell>
        </row>
        <row r="2584">
          <cell r="A2584">
            <v>45318</v>
          </cell>
          <cell r="B2584">
            <v>302</v>
          </cell>
        </row>
        <row r="2585">
          <cell r="A2585">
            <v>45319</v>
          </cell>
          <cell r="B2585">
            <v>303</v>
          </cell>
        </row>
        <row r="2586">
          <cell r="A2586">
            <v>45320</v>
          </cell>
          <cell r="B2586">
            <v>304</v>
          </cell>
        </row>
        <row r="2587">
          <cell r="A2587">
            <v>45321</v>
          </cell>
          <cell r="B2587">
            <v>305</v>
          </cell>
        </row>
        <row r="2588">
          <cell r="A2588">
            <v>45322</v>
          </cell>
          <cell r="B2588">
            <v>306</v>
          </cell>
        </row>
        <row r="2589">
          <cell r="A2589">
            <v>45323</v>
          </cell>
          <cell r="B2589">
            <v>307</v>
          </cell>
        </row>
        <row r="2590">
          <cell r="A2590">
            <v>45324</v>
          </cell>
          <cell r="B2590">
            <v>308</v>
          </cell>
        </row>
        <row r="2591">
          <cell r="A2591">
            <v>45325</v>
          </cell>
          <cell r="B2591">
            <v>309</v>
          </cell>
        </row>
        <row r="2592">
          <cell r="A2592">
            <v>45326</v>
          </cell>
          <cell r="B2592">
            <v>310</v>
          </cell>
        </row>
        <row r="2593">
          <cell r="A2593">
            <v>45327</v>
          </cell>
          <cell r="B2593">
            <v>311</v>
          </cell>
        </row>
        <row r="2594">
          <cell r="A2594">
            <v>45328</v>
          </cell>
          <cell r="B2594">
            <v>312</v>
          </cell>
        </row>
        <row r="2595">
          <cell r="A2595">
            <v>45329</v>
          </cell>
          <cell r="B2595">
            <v>313</v>
          </cell>
        </row>
        <row r="2596">
          <cell r="A2596">
            <v>45330</v>
          </cell>
          <cell r="B2596">
            <v>314</v>
          </cell>
        </row>
        <row r="2597">
          <cell r="A2597">
            <v>45331</v>
          </cell>
          <cell r="B2597">
            <v>315</v>
          </cell>
        </row>
        <row r="2598">
          <cell r="A2598">
            <v>45332</v>
          </cell>
          <cell r="B2598">
            <v>316</v>
          </cell>
        </row>
        <row r="2599">
          <cell r="A2599">
            <v>45333</v>
          </cell>
          <cell r="B2599">
            <v>317</v>
          </cell>
        </row>
        <row r="2600">
          <cell r="A2600">
            <v>45334</v>
          </cell>
          <cell r="B2600">
            <v>318</v>
          </cell>
        </row>
        <row r="2601">
          <cell r="A2601">
            <v>45335</v>
          </cell>
          <cell r="B2601">
            <v>319</v>
          </cell>
        </row>
        <row r="2602">
          <cell r="A2602">
            <v>45336</v>
          </cell>
          <cell r="B2602">
            <v>320</v>
          </cell>
        </row>
        <row r="2603">
          <cell r="A2603">
            <v>45337</v>
          </cell>
          <cell r="B2603">
            <v>321</v>
          </cell>
        </row>
        <row r="2604">
          <cell r="A2604">
            <v>45338</v>
          </cell>
          <cell r="B2604">
            <v>322</v>
          </cell>
        </row>
        <row r="2605">
          <cell r="A2605">
            <v>45339</v>
          </cell>
          <cell r="B2605">
            <v>323</v>
          </cell>
        </row>
        <row r="2606">
          <cell r="A2606">
            <v>45340</v>
          </cell>
          <cell r="B2606">
            <v>324</v>
          </cell>
        </row>
        <row r="2607">
          <cell r="A2607">
            <v>45341</v>
          </cell>
          <cell r="B2607">
            <v>325</v>
          </cell>
        </row>
        <row r="2608">
          <cell r="A2608">
            <v>45342</v>
          </cell>
          <cell r="B2608">
            <v>326</v>
          </cell>
        </row>
        <row r="2609">
          <cell r="A2609">
            <v>45343</v>
          </cell>
          <cell r="B2609">
            <v>327</v>
          </cell>
        </row>
        <row r="2610">
          <cell r="A2610">
            <v>45344</v>
          </cell>
          <cell r="B2610">
            <v>328</v>
          </cell>
        </row>
        <row r="2611">
          <cell r="A2611">
            <v>45345</v>
          </cell>
          <cell r="B2611">
            <v>329</v>
          </cell>
        </row>
        <row r="2612">
          <cell r="A2612">
            <v>45346</v>
          </cell>
          <cell r="B2612">
            <v>330</v>
          </cell>
        </row>
        <row r="2613">
          <cell r="A2613">
            <v>45347</v>
          </cell>
          <cell r="B2613">
            <v>331</v>
          </cell>
        </row>
        <row r="2614">
          <cell r="A2614">
            <v>45348</v>
          </cell>
          <cell r="B2614">
            <v>332</v>
          </cell>
        </row>
        <row r="2615">
          <cell r="A2615">
            <v>45349</v>
          </cell>
          <cell r="B2615">
            <v>333</v>
          </cell>
        </row>
        <row r="2616">
          <cell r="A2616">
            <v>45350</v>
          </cell>
          <cell r="B2616">
            <v>334</v>
          </cell>
        </row>
        <row r="2617">
          <cell r="A2617">
            <v>45351</v>
          </cell>
          <cell r="B2617">
            <v>335</v>
          </cell>
        </row>
        <row r="2618">
          <cell r="A2618">
            <v>45352</v>
          </cell>
          <cell r="B2618">
            <v>336</v>
          </cell>
        </row>
        <row r="2619">
          <cell r="A2619">
            <v>45353</v>
          </cell>
          <cell r="B2619">
            <v>337</v>
          </cell>
        </row>
        <row r="2620">
          <cell r="A2620">
            <v>45354</v>
          </cell>
          <cell r="B2620">
            <v>338</v>
          </cell>
        </row>
        <row r="2621">
          <cell r="A2621">
            <v>45355</v>
          </cell>
          <cell r="B2621">
            <v>339</v>
          </cell>
        </row>
        <row r="2622">
          <cell r="A2622">
            <v>45356</v>
          </cell>
          <cell r="B2622">
            <v>340</v>
          </cell>
        </row>
        <row r="2623">
          <cell r="A2623">
            <v>45357</v>
          </cell>
          <cell r="B2623">
            <v>341</v>
          </cell>
        </row>
        <row r="2624">
          <cell r="A2624">
            <v>45358</v>
          </cell>
          <cell r="B2624">
            <v>342</v>
          </cell>
        </row>
        <row r="2625">
          <cell r="A2625">
            <v>45359</v>
          </cell>
          <cell r="B2625">
            <v>343</v>
          </cell>
        </row>
        <row r="2626">
          <cell r="A2626">
            <v>45360</v>
          </cell>
          <cell r="B2626">
            <v>344</v>
          </cell>
        </row>
        <row r="2627">
          <cell r="A2627">
            <v>45361</v>
          </cell>
          <cell r="B2627">
            <v>345</v>
          </cell>
        </row>
        <row r="2628">
          <cell r="A2628">
            <v>45362</v>
          </cell>
          <cell r="B2628">
            <v>346</v>
          </cell>
        </row>
        <row r="2629">
          <cell r="A2629">
            <v>45363</v>
          </cell>
          <cell r="B2629">
            <v>347</v>
          </cell>
        </row>
        <row r="2630">
          <cell r="A2630">
            <v>45364</v>
          </cell>
          <cell r="B2630">
            <v>348</v>
          </cell>
        </row>
        <row r="2631">
          <cell r="A2631">
            <v>45365</v>
          </cell>
          <cell r="B2631">
            <v>349</v>
          </cell>
        </row>
        <row r="2632">
          <cell r="A2632">
            <v>45366</v>
          </cell>
          <cell r="B2632">
            <v>350</v>
          </cell>
        </row>
        <row r="2633">
          <cell r="A2633">
            <v>45367</v>
          </cell>
          <cell r="B2633">
            <v>351</v>
          </cell>
        </row>
        <row r="2634">
          <cell r="A2634">
            <v>45368</v>
          </cell>
          <cell r="B2634">
            <v>352</v>
          </cell>
        </row>
        <row r="2635">
          <cell r="A2635">
            <v>45369</v>
          </cell>
          <cell r="B2635">
            <v>353</v>
          </cell>
        </row>
        <row r="2636">
          <cell r="A2636">
            <v>45370</v>
          </cell>
          <cell r="B2636">
            <v>354</v>
          </cell>
        </row>
        <row r="2637">
          <cell r="A2637">
            <v>45371</v>
          </cell>
          <cell r="B2637">
            <v>355</v>
          </cell>
        </row>
        <row r="2638">
          <cell r="A2638">
            <v>45372</v>
          </cell>
          <cell r="B2638">
            <v>356</v>
          </cell>
        </row>
        <row r="2639">
          <cell r="A2639">
            <v>45373</v>
          </cell>
          <cell r="B2639">
            <v>357</v>
          </cell>
        </row>
        <row r="2640">
          <cell r="A2640">
            <v>45374</v>
          </cell>
          <cell r="B2640">
            <v>358</v>
          </cell>
        </row>
        <row r="2641">
          <cell r="A2641">
            <v>45375</v>
          </cell>
          <cell r="B2641">
            <v>359</v>
          </cell>
        </row>
        <row r="2642">
          <cell r="A2642">
            <v>45376</v>
          </cell>
          <cell r="B2642">
            <v>360</v>
          </cell>
        </row>
        <row r="2643">
          <cell r="A2643">
            <v>45377</v>
          </cell>
          <cell r="B2643">
            <v>361</v>
          </cell>
        </row>
        <row r="2644">
          <cell r="A2644">
            <v>45378</v>
          </cell>
          <cell r="B2644">
            <v>362</v>
          </cell>
        </row>
        <row r="2645">
          <cell r="A2645">
            <v>45379</v>
          </cell>
          <cell r="B2645">
            <v>363</v>
          </cell>
        </row>
        <row r="2646">
          <cell r="A2646">
            <v>45380</v>
          </cell>
          <cell r="B2646">
            <v>364</v>
          </cell>
        </row>
        <row r="2647">
          <cell r="A2647">
            <v>45381</v>
          </cell>
          <cell r="B2647">
            <v>365</v>
          </cell>
        </row>
        <row r="2648">
          <cell r="A2648">
            <v>45382</v>
          </cell>
          <cell r="B2648">
            <v>366</v>
          </cell>
        </row>
        <row r="2649">
          <cell r="A2649">
            <v>45383</v>
          </cell>
          <cell r="B2649">
            <v>1</v>
          </cell>
        </row>
        <row r="2650">
          <cell r="A2650">
            <v>45384</v>
          </cell>
          <cell r="B2650">
            <v>2</v>
          </cell>
        </row>
        <row r="2651">
          <cell r="A2651">
            <v>45385</v>
          </cell>
          <cell r="B2651">
            <v>3</v>
          </cell>
        </row>
        <row r="2652">
          <cell r="A2652">
            <v>45386</v>
          </cell>
          <cell r="B2652">
            <v>4</v>
          </cell>
        </row>
        <row r="2653">
          <cell r="A2653">
            <v>45387</v>
          </cell>
          <cell r="B2653">
            <v>5</v>
          </cell>
        </row>
        <row r="2654">
          <cell r="A2654">
            <v>45388</v>
          </cell>
          <cell r="B2654">
            <v>6</v>
          </cell>
        </row>
        <row r="2655">
          <cell r="A2655">
            <v>45389</v>
          </cell>
          <cell r="B2655">
            <v>7</v>
          </cell>
        </row>
        <row r="2656">
          <cell r="A2656">
            <v>45390</v>
          </cell>
          <cell r="B2656">
            <v>8</v>
          </cell>
        </row>
        <row r="2657">
          <cell r="A2657">
            <v>45391</v>
          </cell>
          <cell r="B2657">
            <v>9</v>
          </cell>
        </row>
        <row r="2658">
          <cell r="A2658">
            <v>45392</v>
          </cell>
          <cell r="B2658">
            <v>10</v>
          </cell>
        </row>
        <row r="2659">
          <cell r="A2659">
            <v>45393</v>
          </cell>
          <cell r="B2659">
            <v>11</v>
          </cell>
        </row>
        <row r="2660">
          <cell r="A2660">
            <v>45394</v>
          </cell>
          <cell r="B2660">
            <v>12</v>
          </cell>
        </row>
        <row r="2661">
          <cell r="A2661">
            <v>45395</v>
          </cell>
          <cell r="B2661">
            <v>13</v>
          </cell>
        </row>
        <row r="2662">
          <cell r="A2662">
            <v>45396</v>
          </cell>
          <cell r="B2662">
            <v>14</v>
          </cell>
        </row>
        <row r="2663">
          <cell r="A2663">
            <v>45397</v>
          </cell>
          <cell r="B2663">
            <v>15</v>
          </cell>
        </row>
        <row r="2664">
          <cell r="A2664">
            <v>45398</v>
          </cell>
          <cell r="B2664">
            <v>16</v>
          </cell>
        </row>
        <row r="2665">
          <cell r="A2665">
            <v>45399</v>
          </cell>
          <cell r="B2665">
            <v>17</v>
          </cell>
        </row>
        <row r="2666">
          <cell r="A2666">
            <v>45400</v>
          </cell>
          <cell r="B2666">
            <v>18</v>
          </cell>
        </row>
        <row r="2667">
          <cell r="A2667">
            <v>45401</v>
          </cell>
          <cell r="B2667">
            <v>19</v>
          </cell>
        </row>
        <row r="2668">
          <cell r="A2668">
            <v>45402</v>
          </cell>
          <cell r="B2668">
            <v>20</v>
          </cell>
        </row>
        <row r="2669">
          <cell r="A2669">
            <v>45403</v>
          </cell>
          <cell r="B2669">
            <v>21</v>
          </cell>
        </row>
        <row r="2670">
          <cell r="A2670">
            <v>45404</v>
          </cell>
          <cell r="B2670">
            <v>22</v>
          </cell>
        </row>
        <row r="2671">
          <cell r="A2671">
            <v>45405</v>
          </cell>
          <cell r="B2671">
            <v>23</v>
          </cell>
        </row>
        <row r="2672">
          <cell r="A2672">
            <v>45406</v>
          </cell>
          <cell r="B2672">
            <v>24</v>
          </cell>
        </row>
        <row r="2673">
          <cell r="A2673">
            <v>45407</v>
          </cell>
          <cell r="B2673">
            <v>25</v>
          </cell>
        </row>
        <row r="2674">
          <cell r="A2674">
            <v>45408</v>
          </cell>
          <cell r="B2674">
            <v>26</v>
          </cell>
        </row>
        <row r="2675">
          <cell r="A2675">
            <v>45409</v>
          </cell>
          <cell r="B2675">
            <v>27</v>
          </cell>
        </row>
        <row r="2676">
          <cell r="A2676">
            <v>45410</v>
          </cell>
          <cell r="B2676">
            <v>28</v>
          </cell>
        </row>
        <row r="2677">
          <cell r="A2677">
            <v>45411</v>
          </cell>
          <cell r="B2677">
            <v>29</v>
          </cell>
        </row>
        <row r="2678">
          <cell r="A2678">
            <v>45412</v>
          </cell>
          <cell r="B2678">
            <v>30</v>
          </cell>
        </row>
        <row r="2679">
          <cell r="A2679">
            <v>45413</v>
          </cell>
          <cell r="B2679">
            <v>31</v>
          </cell>
        </row>
        <row r="2680">
          <cell r="A2680">
            <v>45414</v>
          </cell>
          <cell r="B2680">
            <v>32</v>
          </cell>
        </row>
        <row r="2681">
          <cell r="A2681">
            <v>45415</v>
          </cell>
          <cell r="B2681">
            <v>33</v>
          </cell>
        </row>
        <row r="2682">
          <cell r="A2682">
            <v>45416</v>
          </cell>
          <cell r="B2682">
            <v>34</v>
          </cell>
        </row>
        <row r="2683">
          <cell r="A2683">
            <v>45417</v>
          </cell>
          <cell r="B2683">
            <v>35</v>
          </cell>
        </row>
        <row r="2684">
          <cell r="A2684">
            <v>45418</v>
          </cell>
          <cell r="B2684">
            <v>36</v>
          </cell>
        </row>
        <row r="2685">
          <cell r="A2685">
            <v>45419</v>
          </cell>
          <cell r="B2685">
            <v>37</v>
          </cell>
        </row>
        <row r="2686">
          <cell r="A2686">
            <v>45420</v>
          </cell>
          <cell r="B2686">
            <v>38</v>
          </cell>
        </row>
        <row r="2687">
          <cell r="A2687">
            <v>45421</v>
          </cell>
          <cell r="B2687">
            <v>39</v>
          </cell>
        </row>
        <row r="2688">
          <cell r="A2688">
            <v>45422</v>
          </cell>
          <cell r="B2688">
            <v>40</v>
          </cell>
        </row>
        <row r="2689">
          <cell r="A2689">
            <v>45423</v>
          </cell>
          <cell r="B2689">
            <v>41</v>
          </cell>
        </row>
        <row r="2690">
          <cell r="A2690">
            <v>45424</v>
          </cell>
          <cell r="B2690">
            <v>42</v>
          </cell>
        </row>
        <row r="2691">
          <cell r="A2691">
            <v>45425</v>
          </cell>
          <cell r="B2691">
            <v>43</v>
          </cell>
        </row>
        <row r="2692">
          <cell r="A2692">
            <v>45426</v>
          </cell>
          <cell r="B2692">
            <v>44</v>
          </cell>
        </row>
        <row r="2693">
          <cell r="A2693">
            <v>45427</v>
          </cell>
          <cell r="B2693">
            <v>45</v>
          </cell>
        </row>
        <row r="2694">
          <cell r="A2694">
            <v>45428</v>
          </cell>
          <cell r="B2694">
            <v>46</v>
          </cell>
        </row>
        <row r="2695">
          <cell r="A2695">
            <v>45429</v>
          </cell>
          <cell r="B2695">
            <v>47</v>
          </cell>
        </row>
        <row r="2696">
          <cell r="A2696">
            <v>45430</v>
          </cell>
          <cell r="B2696">
            <v>48</v>
          </cell>
        </row>
        <row r="2697">
          <cell r="A2697">
            <v>45431</v>
          </cell>
          <cell r="B2697">
            <v>49</v>
          </cell>
        </row>
        <row r="2698">
          <cell r="A2698">
            <v>45432</v>
          </cell>
          <cell r="B2698">
            <v>50</v>
          </cell>
        </row>
        <row r="2699">
          <cell r="A2699">
            <v>45433</v>
          </cell>
          <cell r="B2699">
            <v>51</v>
          </cell>
        </row>
        <row r="2700">
          <cell r="A2700">
            <v>45434</v>
          </cell>
          <cell r="B2700">
            <v>52</v>
          </cell>
        </row>
        <row r="2701">
          <cell r="A2701">
            <v>45435</v>
          </cell>
          <cell r="B2701">
            <v>53</v>
          </cell>
        </row>
        <row r="2702">
          <cell r="A2702">
            <v>45436</v>
          </cell>
          <cell r="B2702">
            <v>54</v>
          </cell>
        </row>
        <row r="2703">
          <cell r="A2703">
            <v>45437</v>
          </cell>
          <cell r="B2703">
            <v>55</v>
          </cell>
        </row>
        <row r="2704">
          <cell r="A2704">
            <v>45438</v>
          </cell>
          <cell r="B2704">
            <v>56</v>
          </cell>
        </row>
        <row r="2705">
          <cell r="A2705">
            <v>45439</v>
          </cell>
          <cell r="B2705">
            <v>57</v>
          </cell>
        </row>
        <row r="2706">
          <cell r="A2706">
            <v>45440</v>
          </cell>
          <cell r="B2706">
            <v>58</v>
          </cell>
        </row>
        <row r="2707">
          <cell r="A2707">
            <v>45441</v>
          </cell>
          <cell r="B2707">
            <v>59</v>
          </cell>
        </row>
        <row r="2708">
          <cell r="A2708">
            <v>45442</v>
          </cell>
          <cell r="B2708">
            <v>60</v>
          </cell>
        </row>
        <row r="2709">
          <cell r="A2709">
            <v>45443</v>
          </cell>
          <cell r="B2709">
            <v>61</v>
          </cell>
        </row>
        <row r="2710">
          <cell r="A2710">
            <v>45444</v>
          </cell>
          <cell r="B2710">
            <v>62</v>
          </cell>
        </row>
        <row r="2711">
          <cell r="A2711">
            <v>45445</v>
          </cell>
          <cell r="B2711">
            <v>63</v>
          </cell>
        </row>
        <row r="2712">
          <cell r="A2712">
            <v>45446</v>
          </cell>
          <cell r="B2712">
            <v>64</v>
          </cell>
        </row>
        <row r="2713">
          <cell r="A2713">
            <v>45447</v>
          </cell>
          <cell r="B2713">
            <v>65</v>
          </cell>
        </row>
        <row r="2714">
          <cell r="A2714">
            <v>45448</v>
          </cell>
          <cell r="B2714">
            <v>66</v>
          </cell>
        </row>
        <row r="2715">
          <cell r="A2715">
            <v>45449</v>
          </cell>
          <cell r="B2715">
            <v>67</v>
          </cell>
        </row>
        <row r="2716">
          <cell r="A2716">
            <v>45450</v>
          </cell>
          <cell r="B2716">
            <v>68</v>
          </cell>
        </row>
        <row r="2717">
          <cell r="A2717">
            <v>45451</v>
          </cell>
          <cell r="B2717">
            <v>69</v>
          </cell>
        </row>
        <row r="2718">
          <cell r="A2718">
            <v>45452</v>
          </cell>
          <cell r="B2718">
            <v>70</v>
          </cell>
        </row>
        <row r="2719">
          <cell r="A2719">
            <v>45453</v>
          </cell>
          <cell r="B2719">
            <v>71</v>
          </cell>
        </row>
        <row r="2720">
          <cell r="A2720">
            <v>45454</v>
          </cell>
          <cell r="B2720">
            <v>72</v>
          </cell>
        </row>
        <row r="2721">
          <cell r="A2721">
            <v>45455</v>
          </cell>
          <cell r="B2721">
            <v>73</v>
          </cell>
        </row>
        <row r="2722">
          <cell r="A2722">
            <v>45456</v>
          </cell>
          <cell r="B2722">
            <v>74</v>
          </cell>
        </row>
        <row r="2723">
          <cell r="A2723">
            <v>45457</v>
          </cell>
          <cell r="B2723">
            <v>75</v>
          </cell>
        </row>
        <row r="2724">
          <cell r="A2724">
            <v>45458</v>
          </cell>
          <cell r="B2724">
            <v>76</v>
          </cell>
        </row>
        <row r="2725">
          <cell r="A2725">
            <v>45459</v>
          </cell>
          <cell r="B2725">
            <v>77</v>
          </cell>
        </row>
        <row r="2726">
          <cell r="A2726">
            <v>45460</v>
          </cell>
          <cell r="B2726">
            <v>78</v>
          </cell>
        </row>
        <row r="2727">
          <cell r="A2727">
            <v>45461</v>
          </cell>
          <cell r="B2727">
            <v>79</v>
          </cell>
        </row>
        <row r="2728">
          <cell r="A2728">
            <v>45462</v>
          </cell>
          <cell r="B2728">
            <v>80</v>
          </cell>
        </row>
        <row r="2729">
          <cell r="A2729">
            <v>45463</v>
          </cell>
          <cell r="B2729">
            <v>81</v>
          </cell>
        </row>
        <row r="2730">
          <cell r="A2730">
            <v>45464</v>
          </cell>
          <cell r="B2730">
            <v>82</v>
          </cell>
        </row>
        <row r="2731">
          <cell r="A2731">
            <v>45465</v>
          </cell>
          <cell r="B2731">
            <v>83</v>
          </cell>
        </row>
        <row r="2732">
          <cell r="A2732">
            <v>45466</v>
          </cell>
          <cell r="B2732">
            <v>84</v>
          </cell>
        </row>
        <row r="2733">
          <cell r="A2733">
            <v>45467</v>
          </cell>
          <cell r="B2733">
            <v>85</v>
          </cell>
        </row>
        <row r="2734">
          <cell r="A2734">
            <v>45468</v>
          </cell>
          <cell r="B2734">
            <v>86</v>
          </cell>
        </row>
        <row r="2735">
          <cell r="A2735">
            <v>45469</v>
          </cell>
          <cell r="B2735">
            <v>87</v>
          </cell>
        </row>
        <row r="2736">
          <cell r="A2736">
            <v>45470</v>
          </cell>
          <cell r="B2736">
            <v>88</v>
          </cell>
        </row>
        <row r="2737">
          <cell r="A2737">
            <v>45471</v>
          </cell>
          <cell r="B2737">
            <v>89</v>
          </cell>
        </row>
        <row r="2738">
          <cell r="A2738">
            <v>45472</v>
          </cell>
          <cell r="B2738">
            <v>90</v>
          </cell>
        </row>
        <row r="2739">
          <cell r="A2739">
            <v>45473</v>
          </cell>
          <cell r="B2739">
            <v>91</v>
          </cell>
        </row>
        <row r="2740">
          <cell r="A2740">
            <v>45474</v>
          </cell>
          <cell r="B2740">
            <v>92</v>
          </cell>
        </row>
        <row r="2741">
          <cell r="A2741">
            <v>45475</v>
          </cell>
          <cell r="B2741">
            <v>93</v>
          </cell>
        </row>
        <row r="2742">
          <cell r="A2742">
            <v>45476</v>
          </cell>
          <cell r="B2742">
            <v>94</v>
          </cell>
        </row>
        <row r="2743">
          <cell r="A2743">
            <v>45477</v>
          </cell>
          <cell r="B2743">
            <v>95</v>
          </cell>
        </row>
        <row r="2744">
          <cell r="A2744">
            <v>45478</v>
          </cell>
          <cell r="B2744">
            <v>96</v>
          </cell>
        </row>
        <row r="2745">
          <cell r="A2745">
            <v>45479</v>
          </cell>
          <cell r="B2745">
            <v>97</v>
          </cell>
        </row>
        <row r="2746">
          <cell r="A2746">
            <v>45480</v>
          </cell>
          <cell r="B2746">
            <v>98</v>
          </cell>
        </row>
        <row r="2747">
          <cell r="A2747">
            <v>45481</v>
          </cell>
          <cell r="B2747">
            <v>99</v>
          </cell>
        </row>
        <row r="2748">
          <cell r="A2748">
            <v>45482</v>
          </cell>
          <cell r="B2748">
            <v>100</v>
          </cell>
        </row>
        <row r="2749">
          <cell r="A2749">
            <v>45483</v>
          </cell>
          <cell r="B2749">
            <v>101</v>
          </cell>
        </row>
        <row r="2750">
          <cell r="A2750">
            <v>45484</v>
          </cell>
          <cell r="B2750">
            <v>102</v>
          </cell>
        </row>
        <row r="2751">
          <cell r="A2751">
            <v>45485</v>
          </cell>
          <cell r="B2751">
            <v>103</v>
          </cell>
        </row>
        <row r="2752">
          <cell r="A2752">
            <v>45486</v>
          </cell>
          <cell r="B2752">
            <v>104</v>
          </cell>
        </row>
        <row r="2753">
          <cell r="A2753">
            <v>45487</v>
          </cell>
          <cell r="B2753">
            <v>105</v>
          </cell>
        </row>
        <row r="2754">
          <cell r="A2754">
            <v>45488</v>
          </cell>
          <cell r="B2754">
            <v>106</v>
          </cell>
        </row>
        <row r="2755">
          <cell r="A2755">
            <v>45489</v>
          </cell>
          <cell r="B2755">
            <v>107</v>
          </cell>
        </row>
        <row r="2756">
          <cell r="A2756">
            <v>45490</v>
          </cell>
          <cell r="B2756">
            <v>108</v>
          </cell>
        </row>
        <row r="2757">
          <cell r="A2757">
            <v>45491</v>
          </cell>
          <cell r="B2757">
            <v>109</v>
          </cell>
        </row>
        <row r="2758">
          <cell r="A2758">
            <v>45492</v>
          </cell>
          <cell r="B2758">
            <v>110</v>
          </cell>
        </row>
        <row r="2759">
          <cell r="A2759">
            <v>45493</v>
          </cell>
          <cell r="B2759">
            <v>111</v>
          </cell>
        </row>
        <row r="2760">
          <cell r="A2760">
            <v>45494</v>
          </cell>
          <cell r="B2760">
            <v>112</v>
          </cell>
        </row>
        <row r="2761">
          <cell r="A2761">
            <v>45495</v>
          </cell>
          <cell r="B2761">
            <v>113</v>
          </cell>
        </row>
        <row r="2762">
          <cell r="A2762">
            <v>45496</v>
          </cell>
          <cell r="B2762">
            <v>114</v>
          </cell>
        </row>
        <row r="2763">
          <cell r="A2763">
            <v>45497</v>
          </cell>
          <cell r="B2763">
            <v>115</v>
          </cell>
        </row>
        <row r="2764">
          <cell r="A2764">
            <v>45498</v>
          </cell>
          <cell r="B2764">
            <v>116</v>
          </cell>
        </row>
        <row r="2765">
          <cell r="A2765">
            <v>45499</v>
          </cell>
          <cell r="B2765">
            <v>117</v>
          </cell>
        </row>
        <row r="2766">
          <cell r="A2766">
            <v>45500</v>
          </cell>
          <cell r="B2766">
            <v>118</v>
          </cell>
        </row>
        <row r="2767">
          <cell r="A2767">
            <v>45501</v>
          </cell>
          <cell r="B2767">
            <v>119</v>
          </cell>
        </row>
        <row r="2768">
          <cell r="A2768">
            <v>45502</v>
          </cell>
          <cell r="B2768">
            <v>120</v>
          </cell>
        </row>
        <row r="2769">
          <cell r="A2769">
            <v>45503</v>
          </cell>
          <cell r="B2769">
            <v>121</v>
          </cell>
        </row>
        <row r="2770">
          <cell r="A2770">
            <v>45504</v>
          </cell>
          <cell r="B2770">
            <v>122</v>
          </cell>
        </row>
        <row r="2771">
          <cell r="A2771">
            <v>45505</v>
          </cell>
          <cell r="B2771">
            <v>123</v>
          </cell>
        </row>
        <row r="2772">
          <cell r="A2772">
            <v>45506</v>
          </cell>
          <cell r="B2772">
            <v>124</v>
          </cell>
        </row>
        <row r="2773">
          <cell r="A2773">
            <v>45507</v>
          </cell>
          <cell r="B2773">
            <v>125</v>
          </cell>
        </row>
        <row r="2774">
          <cell r="A2774">
            <v>45508</v>
          </cell>
          <cell r="B2774">
            <v>126</v>
          </cell>
        </row>
        <row r="2775">
          <cell r="A2775">
            <v>45509</v>
          </cell>
          <cell r="B2775">
            <v>127</v>
          </cell>
        </row>
        <row r="2776">
          <cell r="A2776">
            <v>45510</v>
          </cell>
          <cell r="B2776">
            <v>128</v>
          </cell>
        </row>
        <row r="2777">
          <cell r="A2777">
            <v>45511</v>
          </cell>
          <cell r="B2777">
            <v>129</v>
          </cell>
        </row>
        <row r="2778">
          <cell r="A2778">
            <v>45512</v>
          </cell>
          <cell r="B2778">
            <v>130</v>
          </cell>
        </row>
        <row r="2779">
          <cell r="A2779">
            <v>45513</v>
          </cell>
          <cell r="B2779">
            <v>131</v>
          </cell>
        </row>
        <row r="2780">
          <cell r="A2780">
            <v>45514</v>
          </cell>
          <cell r="B2780">
            <v>132</v>
          </cell>
        </row>
        <row r="2781">
          <cell r="A2781">
            <v>45515</v>
          </cell>
          <cell r="B2781">
            <v>133</v>
          </cell>
        </row>
        <row r="2782">
          <cell r="A2782">
            <v>45516</v>
          </cell>
          <cell r="B2782">
            <v>134</v>
          </cell>
        </row>
        <row r="2783">
          <cell r="A2783">
            <v>45517</v>
          </cell>
          <cell r="B2783">
            <v>135</v>
          </cell>
        </row>
        <row r="2784">
          <cell r="A2784">
            <v>45518</v>
          </cell>
          <cell r="B2784">
            <v>136</v>
          </cell>
        </row>
        <row r="2785">
          <cell r="A2785">
            <v>45519</v>
          </cell>
          <cell r="B2785">
            <v>137</v>
          </cell>
        </row>
        <row r="2786">
          <cell r="A2786">
            <v>45520</v>
          </cell>
          <cell r="B2786">
            <v>138</v>
          </cell>
        </row>
        <row r="2787">
          <cell r="A2787">
            <v>45521</v>
          </cell>
          <cell r="B2787">
            <v>139</v>
          </cell>
        </row>
        <row r="2788">
          <cell r="A2788">
            <v>45522</v>
          </cell>
          <cell r="B2788">
            <v>140</v>
          </cell>
        </row>
        <row r="2789">
          <cell r="A2789">
            <v>45523</v>
          </cell>
          <cell r="B2789">
            <v>141</v>
          </cell>
        </row>
        <row r="2790">
          <cell r="A2790">
            <v>45524</v>
          </cell>
          <cell r="B2790">
            <v>142</v>
          </cell>
        </row>
        <row r="2791">
          <cell r="A2791">
            <v>45525</v>
          </cell>
          <cell r="B2791">
            <v>143</v>
          </cell>
        </row>
        <row r="2792">
          <cell r="A2792">
            <v>45526</v>
          </cell>
          <cell r="B2792">
            <v>144</v>
          </cell>
        </row>
        <row r="2793">
          <cell r="A2793">
            <v>45527</v>
          </cell>
          <cell r="B2793">
            <v>145</v>
          </cell>
        </row>
        <row r="2794">
          <cell r="A2794">
            <v>45528</v>
          </cell>
          <cell r="B2794">
            <v>146</v>
          </cell>
        </row>
        <row r="2795">
          <cell r="A2795">
            <v>45529</v>
          </cell>
          <cell r="B2795">
            <v>147</v>
          </cell>
        </row>
        <row r="2796">
          <cell r="A2796">
            <v>45530</v>
          </cell>
          <cell r="B2796">
            <v>148</v>
          </cell>
        </row>
        <row r="2797">
          <cell r="A2797">
            <v>45531</v>
          </cell>
          <cell r="B2797">
            <v>149</v>
          </cell>
        </row>
        <row r="2798">
          <cell r="A2798">
            <v>45532</v>
          </cell>
          <cell r="B2798">
            <v>150</v>
          </cell>
        </row>
        <row r="2799">
          <cell r="A2799">
            <v>45533</v>
          </cell>
          <cell r="B2799">
            <v>151</v>
          </cell>
        </row>
        <row r="2800">
          <cell r="A2800">
            <v>45534</v>
          </cell>
          <cell r="B2800">
            <v>152</v>
          </cell>
        </row>
        <row r="2801">
          <cell r="A2801">
            <v>45535</v>
          </cell>
          <cell r="B2801">
            <v>153</v>
          </cell>
        </row>
        <row r="2802">
          <cell r="A2802">
            <v>45536</v>
          </cell>
          <cell r="B2802">
            <v>154</v>
          </cell>
        </row>
        <row r="2803">
          <cell r="A2803">
            <v>45537</v>
          </cell>
          <cell r="B2803">
            <v>155</v>
          </cell>
        </row>
        <row r="2804">
          <cell r="A2804">
            <v>45538</v>
          </cell>
          <cell r="B2804">
            <v>156</v>
          </cell>
        </row>
        <row r="2805">
          <cell r="A2805">
            <v>45539</v>
          </cell>
          <cell r="B2805">
            <v>157</v>
          </cell>
        </row>
        <row r="2806">
          <cell r="A2806">
            <v>45540</v>
          </cell>
          <cell r="B2806">
            <v>158</v>
          </cell>
        </row>
        <row r="2807">
          <cell r="A2807">
            <v>45541</v>
          </cell>
          <cell r="B2807">
            <v>159</v>
          </cell>
        </row>
        <row r="2808">
          <cell r="A2808">
            <v>45542</v>
          </cell>
          <cell r="B2808">
            <v>160</v>
          </cell>
        </row>
        <row r="2809">
          <cell r="A2809">
            <v>45543</v>
          </cell>
          <cell r="B2809">
            <v>161</v>
          </cell>
        </row>
        <row r="2810">
          <cell r="A2810">
            <v>45544</v>
          </cell>
          <cell r="B2810">
            <v>162</v>
          </cell>
        </row>
        <row r="2811">
          <cell r="A2811">
            <v>45545</v>
          </cell>
          <cell r="B2811">
            <v>163</v>
          </cell>
        </row>
        <row r="2812">
          <cell r="A2812">
            <v>45546</v>
          </cell>
          <cell r="B2812">
            <v>164</v>
          </cell>
        </row>
        <row r="2813">
          <cell r="A2813">
            <v>45547</v>
          </cell>
          <cell r="B2813">
            <v>165</v>
          </cell>
        </row>
        <row r="2814">
          <cell r="A2814">
            <v>45548</v>
          </cell>
          <cell r="B2814">
            <v>166</v>
          </cell>
        </row>
        <row r="2815">
          <cell r="A2815">
            <v>45549</v>
          </cell>
          <cell r="B2815">
            <v>167</v>
          </cell>
        </row>
        <row r="2816">
          <cell r="A2816">
            <v>45550</v>
          </cell>
          <cell r="B2816">
            <v>168</v>
          </cell>
        </row>
        <row r="2817">
          <cell r="A2817">
            <v>45551</v>
          </cell>
          <cell r="B2817">
            <v>169</v>
          </cell>
        </row>
        <row r="2818">
          <cell r="A2818">
            <v>45552</v>
          </cell>
          <cell r="B2818">
            <v>170</v>
          </cell>
        </row>
        <row r="2819">
          <cell r="A2819">
            <v>45553</v>
          </cell>
          <cell r="B2819">
            <v>171</v>
          </cell>
        </row>
        <row r="2820">
          <cell r="A2820">
            <v>45554</v>
          </cell>
          <cell r="B2820">
            <v>172</v>
          </cell>
        </row>
        <row r="2821">
          <cell r="A2821">
            <v>45555</v>
          </cell>
          <cell r="B2821">
            <v>173</v>
          </cell>
        </row>
        <row r="2822">
          <cell r="A2822">
            <v>45556</v>
          </cell>
          <cell r="B2822">
            <v>174</v>
          </cell>
        </row>
        <row r="2823">
          <cell r="A2823">
            <v>45557</v>
          </cell>
          <cell r="B2823">
            <v>175</v>
          </cell>
        </row>
        <row r="2824">
          <cell r="A2824">
            <v>45558</v>
          </cell>
          <cell r="B2824">
            <v>176</v>
          </cell>
        </row>
        <row r="2825">
          <cell r="A2825">
            <v>45559</v>
          </cell>
          <cell r="B2825">
            <v>177</v>
          </cell>
        </row>
        <row r="2826">
          <cell r="A2826">
            <v>45560</v>
          </cell>
          <cell r="B2826">
            <v>178</v>
          </cell>
        </row>
        <row r="2827">
          <cell r="A2827">
            <v>45561</v>
          </cell>
          <cell r="B2827">
            <v>179</v>
          </cell>
        </row>
        <row r="2828">
          <cell r="A2828">
            <v>45562</v>
          </cell>
          <cell r="B2828">
            <v>180</v>
          </cell>
        </row>
        <row r="2829">
          <cell r="A2829">
            <v>45563</v>
          </cell>
          <cell r="B2829">
            <v>181</v>
          </cell>
        </row>
        <row r="2830">
          <cell r="A2830">
            <v>45564</v>
          </cell>
          <cell r="B2830">
            <v>182</v>
          </cell>
        </row>
        <row r="2831">
          <cell r="A2831">
            <v>45565</v>
          </cell>
          <cell r="B2831">
            <v>183</v>
          </cell>
        </row>
        <row r="2832">
          <cell r="A2832">
            <v>45566</v>
          </cell>
          <cell r="B2832">
            <v>184</v>
          </cell>
        </row>
        <row r="2833">
          <cell r="A2833">
            <v>45567</v>
          </cell>
          <cell r="B2833">
            <v>185</v>
          </cell>
        </row>
        <row r="2834">
          <cell r="A2834">
            <v>45568</v>
          </cell>
          <cell r="B2834">
            <v>186</v>
          </cell>
        </row>
        <row r="2835">
          <cell r="A2835">
            <v>45569</v>
          </cell>
          <cell r="B2835">
            <v>187</v>
          </cell>
        </row>
        <row r="2836">
          <cell r="A2836">
            <v>45570</v>
          </cell>
          <cell r="B2836">
            <v>188</v>
          </cell>
        </row>
        <row r="2837">
          <cell r="A2837">
            <v>45571</v>
          </cell>
          <cell r="B2837">
            <v>189</v>
          </cell>
        </row>
        <row r="2838">
          <cell r="A2838">
            <v>45572</v>
          </cell>
          <cell r="B2838">
            <v>190</v>
          </cell>
        </row>
        <row r="2839">
          <cell r="A2839">
            <v>45573</v>
          </cell>
          <cell r="B2839">
            <v>191</v>
          </cell>
        </row>
        <row r="2840">
          <cell r="A2840">
            <v>45574</v>
          </cell>
          <cell r="B2840">
            <v>192</v>
          </cell>
        </row>
        <row r="2841">
          <cell r="A2841">
            <v>45575</v>
          </cell>
          <cell r="B2841">
            <v>193</v>
          </cell>
        </row>
        <row r="2842">
          <cell r="A2842">
            <v>45576</v>
          </cell>
          <cell r="B2842">
            <v>194</v>
          </cell>
        </row>
        <row r="2843">
          <cell r="A2843">
            <v>45577</v>
          </cell>
          <cell r="B2843">
            <v>195</v>
          </cell>
        </row>
        <row r="2844">
          <cell r="A2844">
            <v>45578</v>
          </cell>
          <cell r="B2844">
            <v>196</v>
          </cell>
        </row>
        <row r="2845">
          <cell r="A2845">
            <v>45579</v>
          </cell>
          <cell r="B2845">
            <v>197</v>
          </cell>
        </row>
        <row r="2846">
          <cell r="A2846">
            <v>45580</v>
          </cell>
          <cell r="B2846">
            <v>198</v>
          </cell>
        </row>
        <row r="2847">
          <cell r="A2847">
            <v>45581</v>
          </cell>
          <cell r="B2847">
            <v>199</v>
          </cell>
        </row>
        <row r="2848">
          <cell r="A2848">
            <v>45582</v>
          </cell>
          <cell r="B2848">
            <v>200</v>
          </cell>
        </row>
        <row r="2849">
          <cell r="A2849">
            <v>45583</v>
          </cell>
          <cell r="B2849">
            <v>201</v>
          </cell>
        </row>
        <row r="2850">
          <cell r="A2850">
            <v>45584</v>
          </cell>
          <cell r="B2850">
            <v>202</v>
          </cell>
        </row>
        <row r="2851">
          <cell r="A2851">
            <v>45585</v>
          </cell>
          <cell r="B2851">
            <v>203</v>
          </cell>
        </row>
        <row r="2852">
          <cell r="A2852">
            <v>45586</v>
          </cell>
          <cell r="B2852">
            <v>204</v>
          </cell>
        </row>
        <row r="2853">
          <cell r="A2853">
            <v>45587</v>
          </cell>
          <cell r="B2853">
            <v>205</v>
          </cell>
        </row>
        <row r="2854">
          <cell r="A2854">
            <v>45588</v>
          </cell>
          <cell r="B2854">
            <v>206</v>
          </cell>
        </row>
        <row r="2855">
          <cell r="A2855">
            <v>45589</v>
          </cell>
          <cell r="B2855">
            <v>207</v>
          </cell>
        </row>
        <row r="2856">
          <cell r="A2856">
            <v>45590</v>
          </cell>
          <cell r="B2856">
            <v>208</v>
          </cell>
        </row>
        <row r="2857">
          <cell r="A2857">
            <v>45591</v>
          </cell>
          <cell r="B2857">
            <v>209</v>
          </cell>
        </row>
        <row r="2858">
          <cell r="A2858">
            <v>45592</v>
          </cell>
          <cell r="B2858">
            <v>210</v>
          </cell>
        </row>
        <row r="2859">
          <cell r="A2859">
            <v>45593</v>
          </cell>
          <cell r="B2859">
            <v>211</v>
          </cell>
        </row>
        <row r="2860">
          <cell r="A2860">
            <v>45594</v>
          </cell>
          <cell r="B2860">
            <v>212</v>
          </cell>
        </row>
        <row r="2861">
          <cell r="A2861">
            <v>45595</v>
          </cell>
          <cell r="B2861">
            <v>213</v>
          </cell>
        </row>
        <row r="2862">
          <cell r="A2862">
            <v>45596</v>
          </cell>
          <cell r="B2862">
            <v>214</v>
          </cell>
        </row>
        <row r="2863">
          <cell r="A2863">
            <v>45597</v>
          </cell>
          <cell r="B2863">
            <v>215</v>
          </cell>
        </row>
        <row r="2864">
          <cell r="A2864">
            <v>45598</v>
          </cell>
          <cell r="B2864">
            <v>216</v>
          </cell>
        </row>
        <row r="2865">
          <cell r="A2865">
            <v>45599</v>
          </cell>
          <cell r="B2865">
            <v>217</v>
          </cell>
        </row>
        <row r="2866">
          <cell r="A2866">
            <v>45600</v>
          </cell>
          <cell r="B2866">
            <v>218</v>
          </cell>
        </row>
        <row r="2867">
          <cell r="A2867">
            <v>45601</v>
          </cell>
          <cell r="B2867">
            <v>219</v>
          </cell>
        </row>
        <row r="2868">
          <cell r="A2868">
            <v>45602</v>
          </cell>
          <cell r="B2868">
            <v>220</v>
          </cell>
        </row>
        <row r="2869">
          <cell r="A2869">
            <v>45603</v>
          </cell>
          <cell r="B2869">
            <v>221</v>
          </cell>
        </row>
        <row r="2870">
          <cell r="A2870">
            <v>45604</v>
          </cell>
          <cell r="B2870">
            <v>222</v>
          </cell>
        </row>
        <row r="2871">
          <cell r="A2871">
            <v>45605</v>
          </cell>
          <cell r="B2871">
            <v>223</v>
          </cell>
        </row>
        <row r="2872">
          <cell r="A2872">
            <v>45606</v>
          </cell>
          <cell r="B2872">
            <v>224</v>
          </cell>
        </row>
        <row r="2873">
          <cell r="A2873">
            <v>45607</v>
          </cell>
          <cell r="B2873">
            <v>225</v>
          </cell>
        </row>
        <row r="2874">
          <cell r="A2874">
            <v>45608</v>
          </cell>
          <cell r="B2874">
            <v>226</v>
          </cell>
        </row>
        <row r="2875">
          <cell r="A2875">
            <v>45609</v>
          </cell>
          <cell r="B2875">
            <v>227</v>
          </cell>
        </row>
        <row r="2876">
          <cell r="A2876">
            <v>45610</v>
          </cell>
          <cell r="B2876">
            <v>228</v>
          </cell>
        </row>
        <row r="2877">
          <cell r="A2877">
            <v>45611</v>
          </cell>
          <cell r="B2877">
            <v>229</v>
          </cell>
        </row>
        <row r="2878">
          <cell r="A2878">
            <v>45612</v>
          </cell>
          <cell r="B2878">
            <v>230</v>
          </cell>
        </row>
        <row r="2879">
          <cell r="A2879">
            <v>45613</v>
          </cell>
          <cell r="B2879">
            <v>231</v>
          </cell>
        </row>
        <row r="2880">
          <cell r="A2880">
            <v>45614</v>
          </cell>
          <cell r="B2880">
            <v>232</v>
          </cell>
        </row>
        <row r="2881">
          <cell r="A2881">
            <v>45615</v>
          </cell>
          <cell r="B2881">
            <v>233</v>
          </cell>
        </row>
        <row r="2882">
          <cell r="A2882">
            <v>45616</v>
          </cell>
          <cell r="B2882">
            <v>234</v>
          </cell>
        </row>
        <row r="2883">
          <cell r="A2883">
            <v>45617</v>
          </cell>
          <cell r="B2883">
            <v>235</v>
          </cell>
        </row>
        <row r="2884">
          <cell r="A2884">
            <v>45618</v>
          </cell>
          <cell r="B2884">
            <v>236</v>
          </cell>
        </row>
        <row r="2885">
          <cell r="A2885">
            <v>45619</v>
          </cell>
          <cell r="B2885">
            <v>237</v>
          </cell>
        </row>
        <row r="2886">
          <cell r="A2886">
            <v>45620</v>
          </cell>
          <cell r="B2886">
            <v>238</v>
          </cell>
        </row>
        <row r="2887">
          <cell r="A2887">
            <v>45621</v>
          </cell>
          <cell r="B2887">
            <v>239</v>
          </cell>
        </row>
        <row r="2888">
          <cell r="A2888">
            <v>45622</v>
          </cell>
          <cell r="B2888">
            <v>240</v>
          </cell>
        </row>
        <row r="2889">
          <cell r="A2889">
            <v>45623</v>
          </cell>
          <cell r="B2889">
            <v>241</v>
          </cell>
        </row>
        <row r="2890">
          <cell r="A2890">
            <v>45624</v>
          </cell>
          <cell r="B2890">
            <v>242</v>
          </cell>
        </row>
        <row r="2891">
          <cell r="A2891">
            <v>45625</v>
          </cell>
          <cell r="B2891">
            <v>243</v>
          </cell>
        </row>
        <row r="2892">
          <cell r="A2892">
            <v>45626</v>
          </cell>
          <cell r="B2892">
            <v>244</v>
          </cell>
        </row>
        <row r="2893">
          <cell r="A2893">
            <v>45627</v>
          </cell>
          <cell r="B2893">
            <v>245</v>
          </cell>
        </row>
        <row r="2894">
          <cell r="A2894">
            <v>45628</v>
          </cell>
          <cell r="B2894">
            <v>246</v>
          </cell>
        </row>
        <row r="2895">
          <cell r="A2895">
            <v>45629</v>
          </cell>
          <cell r="B2895">
            <v>247</v>
          </cell>
        </row>
        <row r="2896">
          <cell r="A2896">
            <v>45630</v>
          </cell>
          <cell r="B2896">
            <v>248</v>
          </cell>
        </row>
        <row r="2897">
          <cell r="A2897">
            <v>45631</v>
          </cell>
          <cell r="B2897">
            <v>249</v>
          </cell>
        </row>
        <row r="2898">
          <cell r="A2898">
            <v>45632</v>
          </cell>
          <cell r="B2898">
            <v>250</v>
          </cell>
        </row>
        <row r="2899">
          <cell r="A2899">
            <v>45633</v>
          </cell>
          <cell r="B2899">
            <v>251</v>
          </cell>
        </row>
        <row r="2900">
          <cell r="A2900">
            <v>45634</v>
          </cell>
          <cell r="B2900">
            <v>252</v>
          </cell>
        </row>
        <row r="2901">
          <cell r="A2901">
            <v>45635</v>
          </cell>
          <cell r="B2901">
            <v>253</v>
          </cell>
        </row>
        <row r="2902">
          <cell r="A2902">
            <v>45636</v>
          </cell>
          <cell r="B2902">
            <v>254</v>
          </cell>
        </row>
        <row r="2903">
          <cell r="A2903">
            <v>45637</v>
          </cell>
          <cell r="B2903">
            <v>255</v>
          </cell>
        </row>
        <row r="2904">
          <cell r="A2904">
            <v>45638</v>
          </cell>
          <cell r="B2904">
            <v>256</v>
          </cell>
        </row>
        <row r="2905">
          <cell r="A2905">
            <v>45639</v>
          </cell>
          <cell r="B2905">
            <v>257</v>
          </cell>
        </row>
        <row r="2906">
          <cell r="A2906">
            <v>45640</v>
          </cell>
          <cell r="B2906">
            <v>258</v>
          </cell>
        </row>
        <row r="2907">
          <cell r="A2907">
            <v>45641</v>
          </cell>
          <cell r="B2907">
            <v>259</v>
          </cell>
        </row>
        <row r="2908">
          <cell r="A2908">
            <v>45642</v>
          </cell>
          <cell r="B2908">
            <v>260</v>
          </cell>
        </row>
        <row r="2909">
          <cell r="A2909">
            <v>45643</v>
          </cell>
          <cell r="B2909">
            <v>261</v>
          </cell>
        </row>
        <row r="2910">
          <cell r="A2910">
            <v>45644</v>
          </cell>
          <cell r="B2910">
            <v>262</v>
          </cell>
        </row>
        <row r="2911">
          <cell r="A2911">
            <v>45645</v>
          </cell>
          <cell r="B2911">
            <v>263</v>
          </cell>
        </row>
        <row r="2912">
          <cell r="A2912">
            <v>45646</v>
          </cell>
          <cell r="B2912">
            <v>264</v>
          </cell>
        </row>
        <row r="2913">
          <cell r="A2913">
            <v>45647</v>
          </cell>
          <cell r="B2913">
            <v>265</v>
          </cell>
        </row>
        <row r="2914">
          <cell r="A2914">
            <v>45648</v>
          </cell>
          <cell r="B2914">
            <v>266</v>
          </cell>
        </row>
        <row r="2915">
          <cell r="A2915">
            <v>45649</v>
          </cell>
          <cell r="B2915">
            <v>267</v>
          </cell>
        </row>
        <row r="2916">
          <cell r="A2916">
            <v>45650</v>
          </cell>
          <cell r="B2916">
            <v>268</v>
          </cell>
        </row>
        <row r="2917">
          <cell r="A2917">
            <v>45651</v>
          </cell>
          <cell r="B2917">
            <v>269</v>
          </cell>
        </row>
        <row r="2918">
          <cell r="A2918">
            <v>45652</v>
          </cell>
          <cell r="B2918">
            <v>270</v>
          </cell>
        </row>
        <row r="2919">
          <cell r="A2919">
            <v>45653</v>
          </cell>
          <cell r="B2919">
            <v>271</v>
          </cell>
        </row>
        <row r="2920">
          <cell r="A2920">
            <v>45654</v>
          </cell>
          <cell r="B2920">
            <v>272</v>
          </cell>
        </row>
        <row r="2921">
          <cell r="A2921">
            <v>45655</v>
          </cell>
          <cell r="B2921">
            <v>273</v>
          </cell>
        </row>
        <row r="2922">
          <cell r="A2922">
            <v>45656</v>
          </cell>
          <cell r="B2922">
            <v>274</v>
          </cell>
        </row>
        <row r="2923">
          <cell r="A2923">
            <v>45657</v>
          </cell>
          <cell r="B2923">
            <v>275</v>
          </cell>
        </row>
        <row r="2924">
          <cell r="A2924">
            <v>45658</v>
          </cell>
          <cell r="B2924">
            <v>276</v>
          </cell>
        </row>
        <row r="2925">
          <cell r="A2925">
            <v>45659</v>
          </cell>
          <cell r="B2925">
            <v>277</v>
          </cell>
        </row>
        <row r="2926">
          <cell r="A2926">
            <v>45660</v>
          </cell>
          <cell r="B2926">
            <v>278</v>
          </cell>
        </row>
        <row r="2927">
          <cell r="A2927">
            <v>45661</v>
          </cell>
          <cell r="B2927">
            <v>279</v>
          </cell>
        </row>
        <row r="2928">
          <cell r="A2928">
            <v>45662</v>
          </cell>
          <cell r="B2928">
            <v>280</v>
          </cell>
        </row>
        <row r="2929">
          <cell r="A2929">
            <v>45663</v>
          </cell>
          <cell r="B2929">
            <v>281</v>
          </cell>
        </row>
        <row r="2930">
          <cell r="A2930">
            <v>45664</v>
          </cell>
          <cell r="B2930">
            <v>282</v>
          </cell>
        </row>
        <row r="2931">
          <cell r="A2931">
            <v>45665</v>
          </cell>
          <cell r="B2931">
            <v>283</v>
          </cell>
        </row>
        <row r="2932">
          <cell r="A2932">
            <v>45666</v>
          </cell>
          <cell r="B2932">
            <v>284</v>
          </cell>
        </row>
        <row r="2933">
          <cell r="A2933">
            <v>45667</v>
          </cell>
          <cell r="B2933">
            <v>285</v>
          </cell>
        </row>
        <row r="2934">
          <cell r="A2934">
            <v>45668</v>
          </cell>
          <cell r="B2934">
            <v>286</v>
          </cell>
        </row>
        <row r="2935">
          <cell r="A2935">
            <v>45669</v>
          </cell>
          <cell r="B2935">
            <v>287</v>
          </cell>
        </row>
        <row r="2936">
          <cell r="A2936">
            <v>45670</v>
          </cell>
          <cell r="B2936">
            <v>288</v>
          </cell>
        </row>
        <row r="2937">
          <cell r="A2937">
            <v>45671</v>
          </cell>
          <cell r="B2937">
            <v>289</v>
          </cell>
        </row>
        <row r="2938">
          <cell r="A2938">
            <v>45672</v>
          </cell>
          <cell r="B2938">
            <v>290</v>
          </cell>
        </row>
        <row r="2939">
          <cell r="A2939">
            <v>45673</v>
          </cell>
          <cell r="B2939">
            <v>291</v>
          </cell>
        </row>
        <row r="2940">
          <cell r="A2940">
            <v>45674</v>
          </cell>
          <cell r="B2940">
            <v>292</v>
          </cell>
        </row>
        <row r="2941">
          <cell r="A2941">
            <v>45675</v>
          </cell>
          <cell r="B2941">
            <v>293</v>
          </cell>
        </row>
        <row r="2942">
          <cell r="A2942">
            <v>45676</v>
          </cell>
          <cell r="B2942">
            <v>294</v>
          </cell>
        </row>
        <row r="2943">
          <cell r="A2943">
            <v>45677</v>
          </cell>
          <cell r="B2943">
            <v>295</v>
          </cell>
        </row>
        <row r="2944">
          <cell r="A2944">
            <v>45678</v>
          </cell>
          <cell r="B2944">
            <v>296</v>
          </cell>
        </row>
        <row r="2945">
          <cell r="A2945">
            <v>45679</v>
          </cell>
          <cell r="B2945">
            <v>297</v>
          </cell>
        </row>
        <row r="2946">
          <cell r="A2946">
            <v>45680</v>
          </cell>
          <cell r="B2946">
            <v>298</v>
          </cell>
        </row>
        <row r="2947">
          <cell r="A2947">
            <v>45681</v>
          </cell>
          <cell r="B2947">
            <v>299</v>
          </cell>
        </row>
        <row r="2948">
          <cell r="A2948">
            <v>45682</v>
          </cell>
          <cell r="B2948">
            <v>300</v>
          </cell>
        </row>
        <row r="2949">
          <cell r="A2949">
            <v>45683</v>
          </cell>
          <cell r="B2949">
            <v>301</v>
          </cell>
        </row>
        <row r="2950">
          <cell r="A2950">
            <v>45684</v>
          </cell>
          <cell r="B2950">
            <v>302</v>
          </cell>
        </row>
        <row r="2951">
          <cell r="A2951">
            <v>45685</v>
          </cell>
          <cell r="B2951">
            <v>303</v>
          </cell>
        </row>
        <row r="2952">
          <cell r="A2952">
            <v>45686</v>
          </cell>
          <cell r="B2952">
            <v>304</v>
          </cell>
        </row>
        <row r="2953">
          <cell r="A2953">
            <v>45687</v>
          </cell>
          <cell r="B2953">
            <v>305</v>
          </cell>
        </row>
        <row r="2954">
          <cell r="A2954">
            <v>45688</v>
          </cell>
          <cell r="B2954">
            <v>306</v>
          </cell>
        </row>
        <row r="2955">
          <cell r="A2955">
            <v>45689</v>
          </cell>
          <cell r="B2955">
            <v>307</v>
          </cell>
        </row>
        <row r="2956">
          <cell r="A2956">
            <v>45690</v>
          </cell>
          <cell r="B2956">
            <v>308</v>
          </cell>
        </row>
        <row r="2957">
          <cell r="A2957">
            <v>45691</v>
          </cell>
          <cell r="B2957">
            <v>309</v>
          </cell>
        </row>
        <row r="2958">
          <cell r="A2958">
            <v>45692</v>
          </cell>
          <cell r="B2958">
            <v>310</v>
          </cell>
        </row>
        <row r="2959">
          <cell r="A2959">
            <v>45693</v>
          </cell>
          <cell r="B2959">
            <v>311</v>
          </cell>
        </row>
        <row r="2960">
          <cell r="A2960">
            <v>45694</v>
          </cell>
          <cell r="B2960">
            <v>312</v>
          </cell>
        </row>
        <row r="2961">
          <cell r="A2961">
            <v>45695</v>
          </cell>
          <cell r="B2961">
            <v>313</v>
          </cell>
        </row>
        <row r="2962">
          <cell r="A2962">
            <v>45696</v>
          </cell>
          <cell r="B2962">
            <v>314</v>
          </cell>
        </row>
        <row r="2963">
          <cell r="A2963">
            <v>45697</v>
          </cell>
          <cell r="B2963">
            <v>315</v>
          </cell>
        </row>
        <row r="2964">
          <cell r="A2964">
            <v>45698</v>
          </cell>
          <cell r="B2964">
            <v>316</v>
          </cell>
        </row>
        <row r="2965">
          <cell r="A2965">
            <v>45699</v>
          </cell>
          <cell r="B2965">
            <v>317</v>
          </cell>
        </row>
        <row r="2966">
          <cell r="A2966">
            <v>45700</v>
          </cell>
          <cell r="B2966">
            <v>318</v>
          </cell>
        </row>
        <row r="2967">
          <cell r="A2967">
            <v>45701</v>
          </cell>
          <cell r="B2967">
            <v>319</v>
          </cell>
        </row>
        <row r="2968">
          <cell r="A2968">
            <v>45702</v>
          </cell>
          <cell r="B2968">
            <v>320</v>
          </cell>
        </row>
        <row r="2969">
          <cell r="A2969">
            <v>45703</v>
          </cell>
          <cell r="B2969">
            <v>321</v>
          </cell>
        </row>
        <row r="2970">
          <cell r="A2970">
            <v>45704</v>
          </cell>
          <cell r="B2970">
            <v>322</v>
          </cell>
        </row>
        <row r="2971">
          <cell r="A2971">
            <v>45705</v>
          </cell>
          <cell r="B2971">
            <v>323</v>
          </cell>
        </row>
        <row r="2972">
          <cell r="A2972">
            <v>45706</v>
          </cell>
          <cell r="B2972">
            <v>324</v>
          </cell>
        </row>
        <row r="2973">
          <cell r="A2973">
            <v>45707</v>
          </cell>
          <cell r="B2973">
            <v>325</v>
          </cell>
        </row>
        <row r="2974">
          <cell r="A2974">
            <v>45708</v>
          </cell>
          <cell r="B2974">
            <v>326</v>
          </cell>
        </row>
        <row r="2975">
          <cell r="A2975">
            <v>45709</v>
          </cell>
          <cell r="B2975">
            <v>327</v>
          </cell>
        </row>
        <row r="2976">
          <cell r="A2976">
            <v>45710</v>
          </cell>
          <cell r="B2976">
            <v>328</v>
          </cell>
        </row>
        <row r="2977">
          <cell r="A2977">
            <v>45711</v>
          </cell>
          <cell r="B2977">
            <v>329</v>
          </cell>
        </row>
        <row r="2978">
          <cell r="A2978">
            <v>45712</v>
          </cell>
          <cell r="B2978">
            <v>330</v>
          </cell>
        </row>
        <row r="2979">
          <cell r="A2979">
            <v>45713</v>
          </cell>
          <cell r="B2979">
            <v>331</v>
          </cell>
        </row>
        <row r="2980">
          <cell r="A2980">
            <v>45714</v>
          </cell>
          <cell r="B2980">
            <v>332</v>
          </cell>
        </row>
        <row r="2981">
          <cell r="A2981">
            <v>45715</v>
          </cell>
          <cell r="B2981">
            <v>333</v>
          </cell>
        </row>
        <row r="2982">
          <cell r="A2982">
            <v>45716</v>
          </cell>
          <cell r="B2982">
            <v>334</v>
          </cell>
        </row>
        <row r="2983">
          <cell r="A2983">
            <v>45717</v>
          </cell>
          <cell r="B2983">
            <v>335</v>
          </cell>
        </row>
        <row r="2984">
          <cell r="A2984">
            <v>45718</v>
          </cell>
          <cell r="B2984">
            <v>336</v>
          </cell>
        </row>
        <row r="2985">
          <cell r="A2985">
            <v>45719</v>
          </cell>
          <cell r="B2985">
            <v>337</v>
          </cell>
        </row>
        <row r="2986">
          <cell r="A2986">
            <v>45720</v>
          </cell>
          <cell r="B2986">
            <v>338</v>
          </cell>
        </row>
        <row r="2987">
          <cell r="A2987">
            <v>45721</v>
          </cell>
          <cell r="B2987">
            <v>339</v>
          </cell>
        </row>
        <row r="2988">
          <cell r="A2988">
            <v>45722</v>
          </cell>
          <cell r="B2988">
            <v>340</v>
          </cell>
        </row>
        <row r="2989">
          <cell r="A2989">
            <v>45723</v>
          </cell>
          <cell r="B2989">
            <v>341</v>
          </cell>
        </row>
        <row r="2990">
          <cell r="A2990">
            <v>45724</v>
          </cell>
          <cell r="B2990">
            <v>342</v>
          </cell>
        </row>
        <row r="2991">
          <cell r="A2991">
            <v>45725</v>
          </cell>
          <cell r="B2991">
            <v>343</v>
          </cell>
        </row>
        <row r="2992">
          <cell r="A2992">
            <v>45726</v>
          </cell>
          <cell r="B2992">
            <v>344</v>
          </cell>
        </row>
        <row r="2993">
          <cell r="A2993">
            <v>45727</v>
          </cell>
          <cell r="B2993">
            <v>345</v>
          </cell>
        </row>
        <row r="2994">
          <cell r="A2994">
            <v>45728</v>
          </cell>
          <cell r="B2994">
            <v>346</v>
          </cell>
        </row>
        <row r="2995">
          <cell r="A2995">
            <v>45729</v>
          </cell>
          <cell r="B2995">
            <v>347</v>
          </cell>
        </row>
        <row r="2996">
          <cell r="A2996">
            <v>45730</v>
          </cell>
          <cell r="B2996">
            <v>348</v>
          </cell>
        </row>
        <row r="2997">
          <cell r="A2997">
            <v>45731</v>
          </cell>
          <cell r="B2997">
            <v>349</v>
          </cell>
        </row>
        <row r="2998">
          <cell r="A2998">
            <v>45732</v>
          </cell>
          <cell r="B2998">
            <v>350</v>
          </cell>
        </row>
        <row r="2999">
          <cell r="A2999">
            <v>45733</v>
          </cell>
          <cell r="B2999">
            <v>351</v>
          </cell>
        </row>
        <row r="3000">
          <cell r="A3000">
            <v>45734</v>
          </cell>
          <cell r="B3000">
            <v>352</v>
          </cell>
        </row>
        <row r="3001">
          <cell r="A3001">
            <v>45735</v>
          </cell>
          <cell r="B3001">
            <v>353</v>
          </cell>
        </row>
        <row r="3002">
          <cell r="A3002">
            <v>45736</v>
          </cell>
          <cell r="B3002">
            <v>354</v>
          </cell>
        </row>
        <row r="3003">
          <cell r="A3003">
            <v>45737</v>
          </cell>
          <cell r="B3003">
            <v>355</v>
          </cell>
        </row>
        <row r="3004">
          <cell r="A3004">
            <v>45738</v>
          </cell>
          <cell r="B3004">
            <v>356</v>
          </cell>
        </row>
        <row r="3005">
          <cell r="A3005">
            <v>45739</v>
          </cell>
          <cell r="B3005">
            <v>357</v>
          </cell>
        </row>
        <row r="3006">
          <cell r="A3006">
            <v>45740</v>
          </cell>
          <cell r="B3006">
            <v>358</v>
          </cell>
        </row>
        <row r="3007">
          <cell r="A3007">
            <v>45741</v>
          </cell>
          <cell r="B3007">
            <v>359</v>
          </cell>
        </row>
        <row r="3008">
          <cell r="A3008">
            <v>45742</v>
          </cell>
          <cell r="B3008">
            <v>360</v>
          </cell>
        </row>
        <row r="3009">
          <cell r="A3009">
            <v>45743</v>
          </cell>
          <cell r="B3009">
            <v>361</v>
          </cell>
        </row>
        <row r="3010">
          <cell r="A3010">
            <v>45744</v>
          </cell>
          <cell r="B3010">
            <v>362</v>
          </cell>
        </row>
        <row r="3011">
          <cell r="A3011">
            <v>45745</v>
          </cell>
          <cell r="B3011">
            <v>363</v>
          </cell>
        </row>
        <row r="3012">
          <cell r="A3012">
            <v>45746</v>
          </cell>
          <cell r="B3012">
            <v>364</v>
          </cell>
        </row>
        <row r="3013">
          <cell r="A3013">
            <v>45747</v>
          </cell>
          <cell r="B3013">
            <v>365</v>
          </cell>
        </row>
        <row r="3014">
          <cell r="A3014">
            <v>45748</v>
          </cell>
          <cell r="B3014">
            <v>1</v>
          </cell>
        </row>
        <row r="3015">
          <cell r="A3015">
            <v>45749</v>
          </cell>
          <cell r="B3015">
            <v>2</v>
          </cell>
        </row>
        <row r="3016">
          <cell r="A3016">
            <v>45750</v>
          </cell>
          <cell r="B3016">
            <v>3</v>
          </cell>
        </row>
        <row r="3017">
          <cell r="A3017">
            <v>45751</v>
          </cell>
          <cell r="B3017">
            <v>4</v>
          </cell>
        </row>
        <row r="3018">
          <cell r="A3018">
            <v>45752</v>
          </cell>
          <cell r="B3018">
            <v>5</v>
          </cell>
        </row>
        <row r="3019">
          <cell r="A3019">
            <v>45753</v>
          </cell>
          <cell r="B3019">
            <v>6</v>
          </cell>
        </row>
        <row r="3020">
          <cell r="A3020">
            <v>45754</v>
          </cell>
          <cell r="B3020">
            <v>7</v>
          </cell>
        </row>
        <row r="3021">
          <cell r="A3021">
            <v>45755</v>
          </cell>
          <cell r="B3021">
            <v>8</v>
          </cell>
        </row>
        <row r="3022">
          <cell r="A3022">
            <v>45756</v>
          </cell>
          <cell r="B3022">
            <v>9</v>
          </cell>
        </row>
        <row r="3023">
          <cell r="A3023">
            <v>45757</v>
          </cell>
          <cell r="B3023">
            <v>10</v>
          </cell>
        </row>
        <row r="3024">
          <cell r="A3024">
            <v>45758</v>
          </cell>
          <cell r="B3024">
            <v>11</v>
          </cell>
        </row>
        <row r="3025">
          <cell r="A3025">
            <v>45759</v>
          </cell>
          <cell r="B3025">
            <v>12</v>
          </cell>
        </row>
        <row r="3026">
          <cell r="A3026">
            <v>45760</v>
          </cell>
          <cell r="B3026">
            <v>13</v>
          </cell>
        </row>
        <row r="3027">
          <cell r="A3027">
            <v>45761</v>
          </cell>
          <cell r="B3027">
            <v>14</v>
          </cell>
        </row>
        <row r="3028">
          <cell r="A3028">
            <v>45762</v>
          </cell>
          <cell r="B3028">
            <v>15</v>
          </cell>
        </row>
        <row r="3029">
          <cell r="A3029">
            <v>45763</v>
          </cell>
          <cell r="B3029">
            <v>16</v>
          </cell>
        </row>
        <row r="3030">
          <cell r="A3030">
            <v>45764</v>
          </cell>
          <cell r="B3030">
            <v>17</v>
          </cell>
        </row>
        <row r="3031">
          <cell r="A3031">
            <v>45765</v>
          </cell>
          <cell r="B3031">
            <v>18</v>
          </cell>
        </row>
        <row r="3032">
          <cell r="A3032">
            <v>45766</v>
          </cell>
          <cell r="B3032">
            <v>19</v>
          </cell>
        </row>
        <row r="3033">
          <cell r="A3033">
            <v>45767</v>
          </cell>
          <cell r="B3033">
            <v>20</v>
          </cell>
        </row>
        <row r="3034">
          <cell r="A3034">
            <v>45768</v>
          </cell>
          <cell r="B3034">
            <v>21</v>
          </cell>
        </row>
        <row r="3035">
          <cell r="A3035">
            <v>45769</v>
          </cell>
          <cell r="B3035">
            <v>22</v>
          </cell>
        </row>
        <row r="3036">
          <cell r="A3036">
            <v>45770</v>
          </cell>
          <cell r="B3036">
            <v>23</v>
          </cell>
        </row>
        <row r="3037">
          <cell r="A3037">
            <v>45771</v>
          </cell>
          <cell r="B3037">
            <v>24</v>
          </cell>
        </row>
        <row r="3038">
          <cell r="A3038">
            <v>45772</v>
          </cell>
          <cell r="B3038">
            <v>25</v>
          </cell>
        </row>
        <row r="3039">
          <cell r="A3039">
            <v>45773</v>
          </cell>
          <cell r="B3039">
            <v>26</v>
          </cell>
        </row>
        <row r="3040">
          <cell r="A3040">
            <v>45774</v>
          </cell>
          <cell r="B3040">
            <v>27</v>
          </cell>
        </row>
        <row r="3041">
          <cell r="A3041">
            <v>45775</v>
          </cell>
          <cell r="B3041">
            <v>28</v>
          </cell>
        </row>
        <row r="3042">
          <cell r="A3042">
            <v>45776</v>
          </cell>
          <cell r="B3042">
            <v>29</v>
          </cell>
        </row>
        <row r="3043">
          <cell r="A3043">
            <v>45777</v>
          </cell>
          <cell r="B3043">
            <v>30</v>
          </cell>
        </row>
        <row r="3044">
          <cell r="A3044">
            <v>45778</v>
          </cell>
          <cell r="B3044">
            <v>31</v>
          </cell>
        </row>
        <row r="3045">
          <cell r="A3045">
            <v>45779</v>
          </cell>
          <cell r="B3045">
            <v>32</v>
          </cell>
        </row>
        <row r="3046">
          <cell r="A3046">
            <v>45780</v>
          </cell>
          <cell r="B3046">
            <v>33</v>
          </cell>
        </row>
        <row r="3047">
          <cell r="A3047">
            <v>45781</v>
          </cell>
          <cell r="B3047">
            <v>34</v>
          </cell>
        </row>
        <row r="3048">
          <cell r="A3048">
            <v>45782</v>
          </cell>
          <cell r="B3048">
            <v>35</v>
          </cell>
        </row>
        <row r="3049">
          <cell r="A3049">
            <v>45783</v>
          </cell>
          <cell r="B3049">
            <v>36</v>
          </cell>
        </row>
        <row r="3050">
          <cell r="A3050">
            <v>45784</v>
          </cell>
          <cell r="B3050">
            <v>37</v>
          </cell>
        </row>
        <row r="3051">
          <cell r="A3051">
            <v>45785</v>
          </cell>
          <cell r="B3051">
            <v>38</v>
          </cell>
        </row>
        <row r="3052">
          <cell r="A3052">
            <v>45786</v>
          </cell>
          <cell r="B3052">
            <v>39</v>
          </cell>
        </row>
        <row r="3053">
          <cell r="A3053">
            <v>45787</v>
          </cell>
          <cell r="B3053">
            <v>40</v>
          </cell>
        </row>
        <row r="3054">
          <cell r="A3054">
            <v>45788</v>
          </cell>
          <cell r="B3054">
            <v>41</v>
          </cell>
        </row>
        <row r="3055">
          <cell r="A3055">
            <v>45789</v>
          </cell>
          <cell r="B3055">
            <v>42</v>
          </cell>
        </row>
        <row r="3056">
          <cell r="A3056">
            <v>45790</v>
          </cell>
          <cell r="B3056">
            <v>43</v>
          </cell>
        </row>
        <row r="3057">
          <cell r="A3057">
            <v>45791</v>
          </cell>
          <cell r="B3057">
            <v>44</v>
          </cell>
        </row>
        <row r="3058">
          <cell r="A3058">
            <v>45792</v>
          </cell>
          <cell r="B3058">
            <v>45</v>
          </cell>
        </row>
        <row r="3059">
          <cell r="A3059">
            <v>45793</v>
          </cell>
          <cell r="B3059">
            <v>46</v>
          </cell>
        </row>
        <row r="3060">
          <cell r="A3060">
            <v>45794</v>
          </cell>
          <cell r="B3060">
            <v>47</v>
          </cell>
        </row>
        <row r="3061">
          <cell r="A3061">
            <v>45795</v>
          </cell>
          <cell r="B3061">
            <v>48</v>
          </cell>
        </row>
        <row r="3062">
          <cell r="A3062">
            <v>45796</v>
          </cell>
          <cell r="B3062">
            <v>49</v>
          </cell>
        </row>
        <row r="3063">
          <cell r="A3063">
            <v>45797</v>
          </cell>
          <cell r="B3063">
            <v>50</v>
          </cell>
        </row>
        <row r="3064">
          <cell r="A3064">
            <v>45798</v>
          </cell>
          <cell r="B3064">
            <v>51</v>
          </cell>
        </row>
        <row r="3065">
          <cell r="A3065">
            <v>45799</v>
          </cell>
          <cell r="B3065">
            <v>52</v>
          </cell>
        </row>
        <row r="3066">
          <cell r="A3066">
            <v>45800</v>
          </cell>
          <cell r="B3066">
            <v>53</v>
          </cell>
        </row>
        <row r="3067">
          <cell r="A3067">
            <v>45801</v>
          </cell>
          <cell r="B3067">
            <v>54</v>
          </cell>
        </row>
        <row r="3068">
          <cell r="A3068">
            <v>45802</v>
          </cell>
          <cell r="B3068">
            <v>55</v>
          </cell>
        </row>
        <row r="3069">
          <cell r="A3069">
            <v>45803</v>
          </cell>
          <cell r="B3069">
            <v>56</v>
          </cell>
        </row>
        <row r="3070">
          <cell r="A3070">
            <v>45804</v>
          </cell>
          <cell r="B3070">
            <v>57</v>
          </cell>
        </row>
        <row r="3071">
          <cell r="A3071">
            <v>45805</v>
          </cell>
          <cell r="B3071">
            <v>58</v>
          </cell>
        </row>
        <row r="3072">
          <cell r="A3072">
            <v>45806</v>
          </cell>
          <cell r="B3072">
            <v>59</v>
          </cell>
        </row>
        <row r="3073">
          <cell r="A3073">
            <v>45807</v>
          </cell>
          <cell r="B3073">
            <v>60</v>
          </cell>
        </row>
        <row r="3074">
          <cell r="A3074">
            <v>45808</v>
          </cell>
          <cell r="B3074">
            <v>61</v>
          </cell>
        </row>
        <row r="3075">
          <cell r="A3075">
            <v>45809</v>
          </cell>
          <cell r="B3075">
            <v>62</v>
          </cell>
        </row>
        <row r="3076">
          <cell r="A3076">
            <v>45810</v>
          </cell>
          <cell r="B3076">
            <v>63</v>
          </cell>
        </row>
        <row r="3077">
          <cell r="A3077">
            <v>45811</v>
          </cell>
          <cell r="B3077">
            <v>64</v>
          </cell>
        </row>
        <row r="3078">
          <cell r="A3078">
            <v>45812</v>
          </cell>
          <cell r="B3078">
            <v>65</v>
          </cell>
        </row>
        <row r="3079">
          <cell r="A3079">
            <v>45813</v>
          </cell>
          <cell r="B3079">
            <v>66</v>
          </cell>
        </row>
        <row r="3080">
          <cell r="A3080">
            <v>45814</v>
          </cell>
          <cell r="B3080">
            <v>67</v>
          </cell>
        </row>
        <row r="3081">
          <cell r="A3081">
            <v>45815</v>
          </cell>
          <cell r="B3081">
            <v>68</v>
          </cell>
        </row>
        <row r="3082">
          <cell r="A3082">
            <v>45816</v>
          </cell>
          <cell r="B3082">
            <v>69</v>
          </cell>
        </row>
        <row r="3083">
          <cell r="A3083">
            <v>45817</v>
          </cell>
          <cell r="B3083">
            <v>70</v>
          </cell>
        </row>
        <row r="3084">
          <cell r="A3084">
            <v>45818</v>
          </cell>
          <cell r="B3084">
            <v>71</v>
          </cell>
        </row>
        <row r="3085">
          <cell r="A3085">
            <v>45819</v>
          </cell>
          <cell r="B3085">
            <v>72</v>
          </cell>
        </row>
        <row r="3086">
          <cell r="A3086">
            <v>45820</v>
          </cell>
          <cell r="B3086">
            <v>73</v>
          </cell>
        </row>
        <row r="3087">
          <cell r="A3087">
            <v>45821</v>
          </cell>
          <cell r="B3087">
            <v>74</v>
          </cell>
        </row>
        <row r="3088">
          <cell r="A3088">
            <v>45822</v>
          </cell>
          <cell r="B3088">
            <v>75</v>
          </cell>
        </row>
        <row r="3089">
          <cell r="A3089">
            <v>45823</v>
          </cell>
          <cell r="B3089">
            <v>76</v>
          </cell>
        </row>
        <row r="3090">
          <cell r="A3090">
            <v>45824</v>
          </cell>
          <cell r="B3090">
            <v>77</v>
          </cell>
        </row>
        <row r="3091">
          <cell r="A3091">
            <v>45825</v>
          </cell>
          <cell r="B3091">
            <v>78</v>
          </cell>
        </row>
        <row r="3092">
          <cell r="A3092">
            <v>45826</v>
          </cell>
          <cell r="B3092">
            <v>79</v>
          </cell>
        </row>
        <row r="3093">
          <cell r="A3093">
            <v>45827</v>
          </cell>
          <cell r="B3093">
            <v>80</v>
          </cell>
        </row>
        <row r="3094">
          <cell r="A3094">
            <v>45828</v>
          </cell>
          <cell r="B3094">
            <v>81</v>
          </cell>
        </row>
        <row r="3095">
          <cell r="A3095">
            <v>45829</v>
          </cell>
          <cell r="B3095">
            <v>82</v>
          </cell>
        </row>
        <row r="3096">
          <cell r="A3096">
            <v>45830</v>
          </cell>
          <cell r="B3096">
            <v>83</v>
          </cell>
        </row>
        <row r="3097">
          <cell r="A3097">
            <v>45831</v>
          </cell>
          <cell r="B3097">
            <v>84</v>
          </cell>
        </row>
        <row r="3098">
          <cell r="A3098">
            <v>45832</v>
          </cell>
          <cell r="B3098">
            <v>85</v>
          </cell>
        </row>
        <row r="3099">
          <cell r="A3099">
            <v>45833</v>
          </cell>
          <cell r="B3099">
            <v>86</v>
          </cell>
        </row>
        <row r="3100">
          <cell r="A3100">
            <v>45834</v>
          </cell>
          <cell r="B3100">
            <v>87</v>
          </cell>
        </row>
        <row r="3101">
          <cell r="A3101">
            <v>45835</v>
          </cell>
          <cell r="B3101">
            <v>88</v>
          </cell>
        </row>
        <row r="3102">
          <cell r="A3102">
            <v>45836</v>
          </cell>
          <cell r="B3102">
            <v>89</v>
          </cell>
        </row>
        <row r="3103">
          <cell r="A3103">
            <v>45837</v>
          </cell>
          <cell r="B3103">
            <v>90</v>
          </cell>
        </row>
        <row r="3104">
          <cell r="A3104">
            <v>45838</v>
          </cell>
          <cell r="B3104">
            <v>91</v>
          </cell>
        </row>
        <row r="3105">
          <cell r="A3105">
            <v>45839</v>
          </cell>
          <cell r="B3105">
            <v>92</v>
          </cell>
        </row>
        <row r="3106">
          <cell r="A3106">
            <v>45840</v>
          </cell>
          <cell r="B3106">
            <v>93</v>
          </cell>
        </row>
        <row r="3107">
          <cell r="A3107">
            <v>45841</v>
          </cell>
          <cell r="B3107">
            <v>94</v>
          </cell>
        </row>
        <row r="3108">
          <cell r="A3108">
            <v>45842</v>
          </cell>
          <cell r="B3108">
            <v>95</v>
          </cell>
        </row>
        <row r="3109">
          <cell r="A3109">
            <v>45843</v>
          </cell>
          <cell r="B3109">
            <v>96</v>
          </cell>
        </row>
        <row r="3110">
          <cell r="A3110">
            <v>45844</v>
          </cell>
          <cell r="B3110">
            <v>97</v>
          </cell>
        </row>
        <row r="3111">
          <cell r="A3111">
            <v>45845</v>
          </cell>
          <cell r="B3111">
            <v>98</v>
          </cell>
        </row>
        <row r="3112">
          <cell r="A3112">
            <v>45846</v>
          </cell>
          <cell r="B3112">
            <v>99</v>
          </cell>
        </row>
        <row r="3113">
          <cell r="A3113">
            <v>45847</v>
          </cell>
          <cell r="B3113">
            <v>100</v>
          </cell>
        </row>
        <row r="3114">
          <cell r="A3114">
            <v>45848</v>
          </cell>
          <cell r="B3114">
            <v>101</v>
          </cell>
        </row>
        <row r="3115">
          <cell r="A3115">
            <v>45849</v>
          </cell>
          <cell r="B3115">
            <v>102</v>
          </cell>
        </row>
        <row r="3116">
          <cell r="A3116">
            <v>45850</v>
          </cell>
          <cell r="B3116">
            <v>103</v>
          </cell>
        </row>
        <row r="3117">
          <cell r="A3117">
            <v>45851</v>
          </cell>
          <cell r="B3117">
            <v>104</v>
          </cell>
        </row>
        <row r="3118">
          <cell r="A3118">
            <v>45852</v>
          </cell>
          <cell r="B3118">
            <v>105</v>
          </cell>
        </row>
        <row r="3119">
          <cell r="A3119">
            <v>45853</v>
          </cell>
          <cell r="B3119">
            <v>106</v>
          </cell>
        </row>
        <row r="3120">
          <cell r="A3120">
            <v>45854</v>
          </cell>
          <cell r="B3120">
            <v>107</v>
          </cell>
        </row>
        <row r="3121">
          <cell r="A3121">
            <v>45855</v>
          </cell>
          <cell r="B3121">
            <v>108</v>
          </cell>
        </row>
        <row r="3122">
          <cell r="A3122">
            <v>45856</v>
          </cell>
          <cell r="B3122">
            <v>109</v>
          </cell>
        </row>
        <row r="3123">
          <cell r="A3123">
            <v>45857</v>
          </cell>
          <cell r="B3123">
            <v>110</v>
          </cell>
        </row>
        <row r="3124">
          <cell r="A3124">
            <v>45858</v>
          </cell>
          <cell r="B3124">
            <v>111</v>
          </cell>
        </row>
        <row r="3125">
          <cell r="A3125">
            <v>45859</v>
          </cell>
          <cell r="B3125">
            <v>112</v>
          </cell>
        </row>
        <row r="3126">
          <cell r="A3126">
            <v>45860</v>
          </cell>
          <cell r="B3126">
            <v>113</v>
          </cell>
        </row>
        <row r="3127">
          <cell r="A3127">
            <v>45861</v>
          </cell>
          <cell r="B3127">
            <v>114</v>
          </cell>
        </row>
        <row r="3128">
          <cell r="A3128">
            <v>45862</v>
          </cell>
          <cell r="B3128">
            <v>115</v>
          </cell>
        </row>
        <row r="3129">
          <cell r="A3129">
            <v>45863</v>
          </cell>
          <cell r="B3129">
            <v>116</v>
          </cell>
        </row>
        <row r="3130">
          <cell r="A3130">
            <v>45864</v>
          </cell>
          <cell r="B3130">
            <v>117</v>
          </cell>
        </row>
        <row r="3131">
          <cell r="A3131">
            <v>45865</v>
          </cell>
          <cell r="B3131">
            <v>118</v>
          </cell>
        </row>
        <row r="3132">
          <cell r="A3132">
            <v>45866</v>
          </cell>
          <cell r="B3132">
            <v>119</v>
          </cell>
        </row>
        <row r="3133">
          <cell r="A3133">
            <v>45867</v>
          </cell>
          <cell r="B3133">
            <v>120</v>
          </cell>
        </row>
        <row r="3134">
          <cell r="A3134">
            <v>45868</v>
          </cell>
          <cell r="B3134">
            <v>121</v>
          </cell>
        </row>
        <row r="3135">
          <cell r="A3135">
            <v>45869</v>
          </cell>
          <cell r="B3135">
            <v>122</v>
          </cell>
        </row>
        <row r="3136">
          <cell r="A3136">
            <v>45870</v>
          </cell>
          <cell r="B3136">
            <v>123</v>
          </cell>
        </row>
        <row r="3137">
          <cell r="A3137">
            <v>45871</v>
          </cell>
          <cell r="B3137">
            <v>124</v>
          </cell>
        </row>
        <row r="3138">
          <cell r="A3138">
            <v>45872</v>
          </cell>
          <cell r="B3138">
            <v>125</v>
          </cell>
        </row>
        <row r="3139">
          <cell r="A3139">
            <v>45873</v>
          </cell>
          <cell r="B3139">
            <v>126</v>
          </cell>
        </row>
        <row r="3140">
          <cell r="A3140">
            <v>45874</v>
          </cell>
          <cell r="B3140">
            <v>127</v>
          </cell>
        </row>
        <row r="3141">
          <cell r="A3141">
            <v>45875</v>
          </cell>
          <cell r="B3141">
            <v>128</v>
          </cell>
        </row>
        <row r="3142">
          <cell r="A3142">
            <v>45876</v>
          </cell>
          <cell r="B3142">
            <v>129</v>
          </cell>
        </row>
        <row r="3143">
          <cell r="A3143">
            <v>45877</v>
          </cell>
          <cell r="B3143">
            <v>130</v>
          </cell>
        </row>
        <row r="3144">
          <cell r="A3144">
            <v>45878</v>
          </cell>
          <cell r="B3144">
            <v>131</v>
          </cell>
        </row>
        <row r="3145">
          <cell r="A3145">
            <v>45879</v>
          </cell>
          <cell r="B3145">
            <v>132</v>
          </cell>
        </row>
        <row r="3146">
          <cell r="A3146">
            <v>45880</v>
          </cell>
          <cell r="B3146">
            <v>133</v>
          </cell>
        </row>
        <row r="3147">
          <cell r="A3147">
            <v>45881</v>
          </cell>
          <cell r="B3147">
            <v>134</v>
          </cell>
        </row>
        <row r="3148">
          <cell r="A3148">
            <v>45882</v>
          </cell>
          <cell r="B3148">
            <v>135</v>
          </cell>
        </row>
        <row r="3149">
          <cell r="A3149">
            <v>45883</v>
          </cell>
          <cell r="B3149">
            <v>136</v>
          </cell>
        </row>
        <row r="3150">
          <cell r="A3150">
            <v>45884</v>
          </cell>
          <cell r="B3150">
            <v>137</v>
          </cell>
        </row>
        <row r="3151">
          <cell r="A3151">
            <v>45885</v>
          </cell>
          <cell r="B3151">
            <v>138</v>
          </cell>
        </row>
        <row r="3152">
          <cell r="A3152">
            <v>45886</v>
          </cell>
          <cell r="B3152">
            <v>139</v>
          </cell>
        </row>
        <row r="3153">
          <cell r="A3153">
            <v>45887</v>
          </cell>
          <cell r="B3153">
            <v>140</v>
          </cell>
        </row>
        <row r="3154">
          <cell r="A3154">
            <v>45888</v>
          </cell>
          <cell r="B3154">
            <v>141</v>
          </cell>
        </row>
        <row r="3155">
          <cell r="A3155">
            <v>45889</v>
          </cell>
          <cell r="B3155">
            <v>142</v>
          </cell>
        </row>
        <row r="3156">
          <cell r="A3156">
            <v>45890</v>
          </cell>
          <cell r="B3156">
            <v>143</v>
          </cell>
        </row>
        <row r="3157">
          <cell r="A3157">
            <v>45891</v>
          </cell>
          <cell r="B3157">
            <v>144</v>
          </cell>
        </row>
        <row r="3158">
          <cell r="A3158">
            <v>45892</v>
          </cell>
          <cell r="B3158">
            <v>145</v>
          </cell>
        </row>
        <row r="3159">
          <cell r="A3159">
            <v>45893</v>
          </cell>
          <cell r="B3159">
            <v>146</v>
          </cell>
        </row>
        <row r="3160">
          <cell r="A3160">
            <v>45894</v>
          </cell>
          <cell r="B3160">
            <v>147</v>
          </cell>
        </row>
        <row r="3161">
          <cell r="A3161">
            <v>45895</v>
          </cell>
          <cell r="B3161">
            <v>148</v>
          </cell>
        </row>
        <row r="3162">
          <cell r="A3162">
            <v>45896</v>
          </cell>
          <cell r="B3162">
            <v>149</v>
          </cell>
        </row>
        <row r="3163">
          <cell r="A3163">
            <v>45897</v>
          </cell>
          <cell r="B3163">
            <v>150</v>
          </cell>
        </row>
        <row r="3164">
          <cell r="A3164">
            <v>45898</v>
          </cell>
          <cell r="B3164">
            <v>151</v>
          </cell>
        </row>
        <row r="3165">
          <cell r="A3165">
            <v>45899</v>
          </cell>
          <cell r="B3165">
            <v>152</v>
          </cell>
        </row>
        <row r="3166">
          <cell r="A3166">
            <v>45900</v>
          </cell>
          <cell r="B3166">
            <v>153</v>
          </cell>
        </row>
        <row r="3167">
          <cell r="A3167">
            <v>45901</v>
          </cell>
          <cell r="B3167">
            <v>154</v>
          </cell>
        </row>
        <row r="3168">
          <cell r="A3168">
            <v>45902</v>
          </cell>
          <cell r="B3168">
            <v>155</v>
          </cell>
        </row>
        <row r="3169">
          <cell r="A3169">
            <v>45903</v>
          </cell>
          <cell r="B3169">
            <v>156</v>
          </cell>
        </row>
        <row r="3170">
          <cell r="A3170">
            <v>45904</v>
          </cell>
          <cell r="B3170">
            <v>157</v>
          </cell>
        </row>
        <row r="3171">
          <cell r="A3171">
            <v>45905</v>
          </cell>
          <cell r="B3171">
            <v>158</v>
          </cell>
        </row>
        <row r="3172">
          <cell r="A3172">
            <v>45906</v>
          </cell>
          <cell r="B3172">
            <v>159</v>
          </cell>
        </row>
        <row r="3173">
          <cell r="A3173">
            <v>45907</v>
          </cell>
          <cell r="B3173">
            <v>160</v>
          </cell>
        </row>
        <row r="3174">
          <cell r="A3174">
            <v>45908</v>
          </cell>
          <cell r="B3174">
            <v>161</v>
          </cell>
        </row>
        <row r="3175">
          <cell r="A3175">
            <v>45909</v>
          </cell>
          <cell r="B3175">
            <v>162</v>
          </cell>
        </row>
        <row r="3176">
          <cell r="A3176">
            <v>45910</v>
          </cell>
          <cell r="B3176">
            <v>163</v>
          </cell>
        </row>
        <row r="3177">
          <cell r="A3177">
            <v>45911</v>
          </cell>
          <cell r="B3177">
            <v>164</v>
          </cell>
        </row>
        <row r="3178">
          <cell r="A3178">
            <v>45912</v>
          </cell>
          <cell r="B3178">
            <v>165</v>
          </cell>
        </row>
        <row r="3179">
          <cell r="A3179">
            <v>45913</v>
          </cell>
          <cell r="B3179">
            <v>166</v>
          </cell>
        </row>
        <row r="3180">
          <cell r="A3180">
            <v>45914</v>
          </cell>
          <cell r="B3180">
            <v>167</v>
          </cell>
        </row>
        <row r="3181">
          <cell r="A3181">
            <v>45915</v>
          </cell>
          <cell r="B3181">
            <v>168</v>
          </cell>
        </row>
        <row r="3182">
          <cell r="A3182">
            <v>45916</v>
          </cell>
          <cell r="B3182">
            <v>169</v>
          </cell>
        </row>
        <row r="3183">
          <cell r="A3183">
            <v>45917</v>
          </cell>
          <cell r="B3183">
            <v>170</v>
          </cell>
        </row>
        <row r="3184">
          <cell r="A3184">
            <v>45918</v>
          </cell>
          <cell r="B3184">
            <v>171</v>
          </cell>
        </row>
        <row r="3185">
          <cell r="A3185">
            <v>45919</v>
          </cell>
          <cell r="B3185">
            <v>172</v>
          </cell>
        </row>
        <row r="3186">
          <cell r="A3186">
            <v>45920</v>
          </cell>
          <cell r="B3186">
            <v>173</v>
          </cell>
        </row>
        <row r="3187">
          <cell r="A3187">
            <v>45921</v>
          </cell>
          <cell r="B3187">
            <v>174</v>
          </cell>
        </row>
        <row r="3188">
          <cell r="A3188">
            <v>45922</v>
          </cell>
          <cell r="B3188">
            <v>175</v>
          </cell>
        </row>
        <row r="3189">
          <cell r="A3189">
            <v>45923</v>
          </cell>
          <cell r="B3189">
            <v>176</v>
          </cell>
        </row>
        <row r="3190">
          <cell r="A3190">
            <v>45924</v>
          </cell>
          <cell r="B3190">
            <v>177</v>
          </cell>
        </row>
        <row r="3191">
          <cell r="A3191">
            <v>45925</v>
          </cell>
          <cell r="B3191">
            <v>178</v>
          </cell>
        </row>
        <row r="3192">
          <cell r="A3192">
            <v>45926</v>
          </cell>
          <cell r="B3192">
            <v>179</v>
          </cell>
        </row>
        <row r="3193">
          <cell r="A3193">
            <v>45927</v>
          </cell>
          <cell r="B3193">
            <v>180</v>
          </cell>
        </row>
        <row r="3194">
          <cell r="A3194">
            <v>45928</v>
          </cell>
          <cell r="B3194">
            <v>181</v>
          </cell>
        </row>
        <row r="3195">
          <cell r="A3195">
            <v>45929</v>
          </cell>
          <cell r="B3195">
            <v>182</v>
          </cell>
        </row>
        <row r="3196">
          <cell r="A3196">
            <v>45930</v>
          </cell>
          <cell r="B3196">
            <v>183</v>
          </cell>
        </row>
        <row r="3197">
          <cell r="A3197">
            <v>45931</v>
          </cell>
          <cell r="B3197">
            <v>184</v>
          </cell>
        </row>
        <row r="3198">
          <cell r="A3198">
            <v>45932</v>
          </cell>
          <cell r="B3198">
            <v>185</v>
          </cell>
        </row>
        <row r="3199">
          <cell r="A3199">
            <v>45933</v>
          </cell>
          <cell r="B3199">
            <v>186</v>
          </cell>
        </row>
        <row r="3200">
          <cell r="A3200">
            <v>45934</v>
          </cell>
          <cell r="B3200">
            <v>187</v>
          </cell>
        </row>
        <row r="3201">
          <cell r="A3201">
            <v>45935</v>
          </cell>
          <cell r="B3201">
            <v>188</v>
          </cell>
        </row>
        <row r="3202">
          <cell r="A3202">
            <v>45936</v>
          </cell>
          <cell r="B3202">
            <v>189</v>
          </cell>
        </row>
        <row r="3203">
          <cell r="A3203">
            <v>45937</v>
          </cell>
          <cell r="B3203">
            <v>190</v>
          </cell>
        </row>
        <row r="3204">
          <cell r="A3204">
            <v>45938</v>
          </cell>
          <cell r="B3204">
            <v>191</v>
          </cell>
        </row>
        <row r="3205">
          <cell r="A3205">
            <v>45939</v>
          </cell>
          <cell r="B3205">
            <v>192</v>
          </cell>
        </row>
        <row r="3206">
          <cell r="A3206">
            <v>45940</v>
          </cell>
          <cell r="B3206">
            <v>193</v>
          </cell>
        </row>
        <row r="3207">
          <cell r="A3207">
            <v>45941</v>
          </cell>
          <cell r="B3207">
            <v>194</v>
          </cell>
        </row>
        <row r="3208">
          <cell r="A3208">
            <v>45942</v>
          </cell>
          <cell r="B3208">
            <v>195</v>
          </cell>
        </row>
        <row r="3209">
          <cell r="A3209">
            <v>45943</v>
          </cell>
          <cell r="B3209">
            <v>196</v>
          </cell>
        </row>
        <row r="3210">
          <cell r="A3210">
            <v>45944</v>
          </cell>
          <cell r="B3210">
            <v>197</v>
          </cell>
        </row>
        <row r="3211">
          <cell r="A3211">
            <v>45945</v>
          </cell>
          <cell r="B3211">
            <v>198</v>
          </cell>
        </row>
        <row r="3212">
          <cell r="A3212">
            <v>45946</v>
          </cell>
          <cell r="B3212">
            <v>199</v>
          </cell>
        </row>
        <row r="3213">
          <cell r="A3213">
            <v>45947</v>
          </cell>
          <cell r="B3213">
            <v>200</v>
          </cell>
        </row>
        <row r="3214">
          <cell r="A3214">
            <v>45948</v>
          </cell>
          <cell r="B3214">
            <v>201</v>
          </cell>
        </row>
        <row r="3215">
          <cell r="A3215">
            <v>45949</v>
          </cell>
          <cell r="B3215">
            <v>202</v>
          </cell>
        </row>
        <row r="3216">
          <cell r="A3216">
            <v>45950</v>
          </cell>
          <cell r="B3216">
            <v>203</v>
          </cell>
        </row>
        <row r="3217">
          <cell r="A3217">
            <v>45951</v>
          </cell>
          <cell r="B3217">
            <v>204</v>
          </cell>
        </row>
        <row r="3218">
          <cell r="A3218">
            <v>45952</v>
          </cell>
          <cell r="B3218">
            <v>205</v>
          </cell>
        </row>
        <row r="3219">
          <cell r="A3219">
            <v>45953</v>
          </cell>
          <cell r="B3219">
            <v>206</v>
          </cell>
        </row>
        <row r="3220">
          <cell r="A3220">
            <v>45954</v>
          </cell>
          <cell r="B3220">
            <v>207</v>
          </cell>
        </row>
        <row r="3221">
          <cell r="A3221">
            <v>45955</v>
          </cell>
          <cell r="B3221">
            <v>208</v>
          </cell>
        </row>
        <row r="3222">
          <cell r="A3222">
            <v>45956</v>
          </cell>
          <cell r="B3222">
            <v>209</v>
          </cell>
        </row>
        <row r="3223">
          <cell r="A3223">
            <v>45957</v>
          </cell>
          <cell r="B3223">
            <v>210</v>
          </cell>
        </row>
        <row r="3224">
          <cell r="A3224">
            <v>45958</v>
          </cell>
          <cell r="B3224">
            <v>211</v>
          </cell>
        </row>
        <row r="3225">
          <cell r="A3225">
            <v>45959</v>
          </cell>
          <cell r="B3225">
            <v>212</v>
          </cell>
        </row>
        <row r="3226">
          <cell r="A3226">
            <v>45960</v>
          </cell>
          <cell r="B3226">
            <v>213</v>
          </cell>
        </row>
        <row r="3227">
          <cell r="A3227">
            <v>45961</v>
          </cell>
          <cell r="B3227">
            <v>214</v>
          </cell>
        </row>
        <row r="3228">
          <cell r="A3228">
            <v>45962</v>
          </cell>
          <cell r="B3228">
            <v>215</v>
          </cell>
        </row>
        <row r="3229">
          <cell r="A3229">
            <v>45963</v>
          </cell>
          <cell r="B3229">
            <v>216</v>
          </cell>
        </row>
        <row r="3230">
          <cell r="A3230">
            <v>45964</v>
          </cell>
          <cell r="B3230">
            <v>217</v>
          </cell>
        </row>
        <row r="3231">
          <cell r="A3231">
            <v>45965</v>
          </cell>
          <cell r="B3231">
            <v>218</v>
          </cell>
        </row>
        <row r="3232">
          <cell r="A3232">
            <v>45966</v>
          </cell>
          <cell r="B3232">
            <v>219</v>
          </cell>
        </row>
        <row r="3233">
          <cell r="A3233">
            <v>45967</v>
          </cell>
          <cell r="B3233">
            <v>220</v>
          </cell>
        </row>
        <row r="3234">
          <cell r="A3234">
            <v>45968</v>
          </cell>
          <cell r="B3234">
            <v>221</v>
          </cell>
        </row>
        <row r="3235">
          <cell r="A3235">
            <v>45969</v>
          </cell>
          <cell r="B3235">
            <v>222</v>
          </cell>
        </row>
        <row r="3236">
          <cell r="A3236">
            <v>45970</v>
          </cell>
          <cell r="B3236">
            <v>223</v>
          </cell>
        </row>
        <row r="3237">
          <cell r="A3237">
            <v>45971</v>
          </cell>
          <cell r="B3237">
            <v>224</v>
          </cell>
        </row>
        <row r="3238">
          <cell r="A3238">
            <v>45972</v>
          </cell>
          <cell r="B3238">
            <v>225</v>
          </cell>
        </row>
        <row r="3239">
          <cell r="A3239">
            <v>45973</v>
          </cell>
          <cell r="B3239">
            <v>226</v>
          </cell>
        </row>
        <row r="3240">
          <cell r="A3240">
            <v>45974</v>
          </cell>
          <cell r="B3240">
            <v>227</v>
          </cell>
        </row>
        <row r="3241">
          <cell r="A3241">
            <v>45975</v>
          </cell>
          <cell r="B3241">
            <v>228</v>
          </cell>
        </row>
        <row r="3242">
          <cell r="A3242">
            <v>45976</v>
          </cell>
          <cell r="B3242">
            <v>229</v>
          </cell>
        </row>
        <row r="3243">
          <cell r="A3243">
            <v>45977</v>
          </cell>
          <cell r="B3243">
            <v>230</v>
          </cell>
        </row>
        <row r="3244">
          <cell r="A3244">
            <v>45978</v>
          </cell>
          <cell r="B3244">
            <v>231</v>
          </cell>
        </row>
        <row r="3245">
          <cell r="A3245">
            <v>45979</v>
          </cell>
          <cell r="B3245">
            <v>232</v>
          </cell>
        </row>
        <row r="3246">
          <cell r="A3246">
            <v>45980</v>
          </cell>
          <cell r="B3246">
            <v>233</v>
          </cell>
        </row>
        <row r="3247">
          <cell r="A3247">
            <v>45981</v>
          </cell>
          <cell r="B3247">
            <v>234</v>
          </cell>
        </row>
        <row r="3248">
          <cell r="A3248">
            <v>45982</v>
          </cell>
          <cell r="B3248">
            <v>235</v>
          </cell>
        </row>
        <row r="3249">
          <cell r="A3249">
            <v>45983</v>
          </cell>
          <cell r="B3249">
            <v>236</v>
          </cell>
        </row>
        <row r="3250">
          <cell r="A3250">
            <v>45984</v>
          </cell>
          <cell r="B3250">
            <v>237</v>
          </cell>
        </row>
        <row r="3251">
          <cell r="A3251">
            <v>45985</v>
          </cell>
          <cell r="B3251">
            <v>238</v>
          </cell>
        </row>
        <row r="3252">
          <cell r="A3252">
            <v>45986</v>
          </cell>
          <cell r="B3252">
            <v>239</v>
          </cell>
        </row>
        <row r="3253">
          <cell r="A3253">
            <v>45987</v>
          </cell>
          <cell r="B3253">
            <v>240</v>
          </cell>
        </row>
        <row r="3254">
          <cell r="A3254">
            <v>45988</v>
          </cell>
          <cell r="B3254">
            <v>241</v>
          </cell>
        </row>
        <row r="3255">
          <cell r="A3255">
            <v>45989</v>
          </cell>
          <cell r="B3255">
            <v>242</v>
          </cell>
        </row>
        <row r="3256">
          <cell r="A3256">
            <v>45990</v>
          </cell>
          <cell r="B3256">
            <v>243</v>
          </cell>
        </row>
        <row r="3257">
          <cell r="A3257">
            <v>45991</v>
          </cell>
          <cell r="B3257">
            <v>244</v>
          </cell>
        </row>
        <row r="3258">
          <cell r="A3258">
            <v>45992</v>
          </cell>
          <cell r="B3258">
            <v>245</v>
          </cell>
        </row>
        <row r="3259">
          <cell r="A3259">
            <v>45993</v>
          </cell>
          <cell r="B3259">
            <v>246</v>
          </cell>
        </row>
        <row r="3260">
          <cell r="A3260">
            <v>45994</v>
          </cell>
          <cell r="B3260">
            <v>247</v>
          </cell>
        </row>
        <row r="3261">
          <cell r="A3261">
            <v>45995</v>
          </cell>
          <cell r="B3261">
            <v>248</v>
          </cell>
        </row>
        <row r="3262">
          <cell r="A3262">
            <v>45996</v>
          </cell>
          <cell r="B3262">
            <v>249</v>
          </cell>
        </row>
        <row r="3263">
          <cell r="A3263">
            <v>45997</v>
          </cell>
          <cell r="B3263">
            <v>250</v>
          </cell>
        </row>
        <row r="3264">
          <cell r="A3264">
            <v>45998</v>
          </cell>
          <cell r="B3264">
            <v>251</v>
          </cell>
        </row>
        <row r="3265">
          <cell r="A3265">
            <v>45999</v>
          </cell>
          <cell r="B3265">
            <v>252</v>
          </cell>
        </row>
        <row r="3266">
          <cell r="A3266">
            <v>46000</v>
          </cell>
          <cell r="B3266">
            <v>253</v>
          </cell>
        </row>
        <row r="3267">
          <cell r="A3267">
            <v>46001</v>
          </cell>
          <cell r="B3267">
            <v>254</v>
          </cell>
        </row>
        <row r="3268">
          <cell r="A3268">
            <v>46002</v>
          </cell>
          <cell r="B3268">
            <v>255</v>
          </cell>
        </row>
        <row r="3269">
          <cell r="A3269">
            <v>46003</v>
          </cell>
          <cell r="B3269">
            <v>256</v>
          </cell>
        </row>
        <row r="3270">
          <cell r="A3270">
            <v>46004</v>
          </cell>
          <cell r="B3270">
            <v>257</v>
          </cell>
        </row>
        <row r="3271">
          <cell r="A3271">
            <v>46005</v>
          </cell>
          <cell r="B3271">
            <v>258</v>
          </cell>
        </row>
        <row r="3272">
          <cell r="A3272">
            <v>46006</v>
          </cell>
          <cell r="B3272">
            <v>259</v>
          </cell>
        </row>
        <row r="3273">
          <cell r="A3273">
            <v>46007</v>
          </cell>
          <cell r="B3273">
            <v>260</v>
          </cell>
        </row>
        <row r="3274">
          <cell r="A3274">
            <v>46008</v>
          </cell>
          <cell r="B3274">
            <v>261</v>
          </cell>
        </row>
        <row r="3275">
          <cell r="A3275">
            <v>46009</v>
          </cell>
          <cell r="B3275">
            <v>262</v>
          </cell>
        </row>
        <row r="3276">
          <cell r="A3276">
            <v>46010</v>
          </cell>
          <cell r="B3276">
            <v>263</v>
          </cell>
        </row>
        <row r="3277">
          <cell r="A3277">
            <v>46011</v>
          </cell>
          <cell r="B3277">
            <v>264</v>
          </cell>
        </row>
        <row r="3278">
          <cell r="A3278">
            <v>46012</v>
          </cell>
          <cell r="B3278">
            <v>265</v>
          </cell>
        </row>
        <row r="3279">
          <cell r="A3279">
            <v>46013</v>
          </cell>
          <cell r="B3279">
            <v>266</v>
          </cell>
        </row>
        <row r="3280">
          <cell r="A3280">
            <v>46014</v>
          </cell>
          <cell r="B3280">
            <v>267</v>
          </cell>
        </row>
        <row r="3281">
          <cell r="A3281">
            <v>46015</v>
          </cell>
          <cell r="B3281">
            <v>268</v>
          </cell>
        </row>
        <row r="3282">
          <cell r="A3282">
            <v>46016</v>
          </cell>
          <cell r="B3282">
            <v>269</v>
          </cell>
        </row>
        <row r="3283">
          <cell r="A3283">
            <v>46017</v>
          </cell>
          <cell r="B3283">
            <v>270</v>
          </cell>
        </row>
        <row r="3284">
          <cell r="A3284">
            <v>46018</v>
          </cell>
          <cell r="B3284">
            <v>271</v>
          </cell>
        </row>
        <row r="3285">
          <cell r="A3285">
            <v>46019</v>
          </cell>
          <cell r="B3285">
            <v>272</v>
          </cell>
        </row>
        <row r="3286">
          <cell r="A3286">
            <v>46020</v>
          </cell>
          <cell r="B3286">
            <v>273</v>
          </cell>
        </row>
        <row r="3287">
          <cell r="A3287">
            <v>46021</v>
          </cell>
          <cell r="B3287">
            <v>274</v>
          </cell>
        </row>
        <row r="3288">
          <cell r="A3288">
            <v>46022</v>
          </cell>
          <cell r="B3288">
            <v>275</v>
          </cell>
        </row>
        <row r="3289">
          <cell r="A3289">
            <v>46023</v>
          </cell>
          <cell r="B3289">
            <v>276</v>
          </cell>
        </row>
        <row r="3290">
          <cell r="A3290">
            <v>46024</v>
          </cell>
          <cell r="B3290">
            <v>277</v>
          </cell>
        </row>
        <row r="3291">
          <cell r="A3291">
            <v>46025</v>
          </cell>
          <cell r="B3291">
            <v>278</v>
          </cell>
        </row>
        <row r="3292">
          <cell r="A3292">
            <v>46026</v>
          </cell>
          <cell r="B3292">
            <v>279</v>
          </cell>
        </row>
        <row r="3293">
          <cell r="A3293">
            <v>46027</v>
          </cell>
          <cell r="B3293">
            <v>280</v>
          </cell>
        </row>
        <row r="3294">
          <cell r="A3294">
            <v>46028</v>
          </cell>
          <cell r="B3294">
            <v>281</v>
          </cell>
        </row>
        <row r="3295">
          <cell r="A3295">
            <v>46029</v>
          </cell>
          <cell r="B3295">
            <v>282</v>
          </cell>
        </row>
        <row r="3296">
          <cell r="A3296">
            <v>46030</v>
          </cell>
          <cell r="B3296">
            <v>283</v>
          </cell>
        </row>
        <row r="3297">
          <cell r="A3297">
            <v>46031</v>
          </cell>
          <cell r="B3297">
            <v>284</v>
          </cell>
        </row>
        <row r="3298">
          <cell r="A3298">
            <v>46032</v>
          </cell>
          <cell r="B3298">
            <v>285</v>
          </cell>
        </row>
        <row r="3299">
          <cell r="A3299">
            <v>46033</v>
          </cell>
          <cell r="B3299">
            <v>286</v>
          </cell>
        </row>
        <row r="3300">
          <cell r="A3300">
            <v>46034</v>
          </cell>
          <cell r="B3300">
            <v>287</v>
          </cell>
        </row>
        <row r="3301">
          <cell r="A3301">
            <v>46035</v>
          </cell>
          <cell r="B3301">
            <v>288</v>
          </cell>
        </row>
        <row r="3302">
          <cell r="A3302">
            <v>46036</v>
          </cell>
          <cell r="B3302">
            <v>289</v>
          </cell>
        </row>
        <row r="3303">
          <cell r="A3303">
            <v>46037</v>
          </cell>
          <cell r="B3303">
            <v>290</v>
          </cell>
        </row>
        <row r="3304">
          <cell r="A3304">
            <v>46038</v>
          </cell>
          <cell r="B3304">
            <v>291</v>
          </cell>
        </row>
        <row r="3305">
          <cell r="A3305">
            <v>46039</v>
          </cell>
          <cell r="B3305">
            <v>292</v>
          </cell>
        </row>
        <row r="3306">
          <cell r="A3306">
            <v>46040</v>
          </cell>
          <cell r="B3306">
            <v>293</v>
          </cell>
        </row>
        <row r="3307">
          <cell r="A3307">
            <v>46041</v>
          </cell>
          <cell r="B3307">
            <v>294</v>
          </cell>
        </row>
        <row r="3308">
          <cell r="A3308">
            <v>46042</v>
          </cell>
          <cell r="B3308">
            <v>295</v>
          </cell>
        </row>
        <row r="3309">
          <cell r="A3309">
            <v>46043</v>
          </cell>
          <cell r="B3309">
            <v>296</v>
          </cell>
        </row>
        <row r="3310">
          <cell r="A3310">
            <v>46044</v>
          </cell>
          <cell r="B3310">
            <v>297</v>
          </cell>
        </row>
        <row r="3311">
          <cell r="A3311">
            <v>46045</v>
          </cell>
          <cell r="B3311">
            <v>298</v>
          </cell>
        </row>
        <row r="3312">
          <cell r="A3312">
            <v>46046</v>
          </cell>
          <cell r="B3312">
            <v>299</v>
          </cell>
        </row>
        <row r="3313">
          <cell r="A3313">
            <v>46047</v>
          </cell>
          <cell r="B3313">
            <v>300</v>
          </cell>
        </row>
        <row r="3314">
          <cell r="A3314">
            <v>46048</v>
          </cell>
          <cell r="B3314">
            <v>301</v>
          </cell>
        </row>
        <row r="3315">
          <cell r="A3315">
            <v>46049</v>
          </cell>
          <cell r="B3315">
            <v>302</v>
          </cell>
        </row>
        <row r="3316">
          <cell r="A3316">
            <v>46050</v>
          </cell>
          <cell r="B3316">
            <v>303</v>
          </cell>
        </row>
        <row r="3317">
          <cell r="A3317">
            <v>46051</v>
          </cell>
          <cell r="B3317">
            <v>304</v>
          </cell>
        </row>
        <row r="3318">
          <cell r="A3318">
            <v>46052</v>
          </cell>
          <cell r="B3318">
            <v>305</v>
          </cell>
        </row>
        <row r="3319">
          <cell r="A3319">
            <v>46053</v>
          </cell>
          <cell r="B3319">
            <v>306</v>
          </cell>
        </row>
        <row r="3320">
          <cell r="A3320">
            <v>46054</v>
          </cell>
          <cell r="B3320">
            <v>307</v>
          </cell>
        </row>
        <row r="3321">
          <cell r="A3321">
            <v>46055</v>
          </cell>
          <cell r="B3321">
            <v>308</v>
          </cell>
        </row>
        <row r="3322">
          <cell r="A3322">
            <v>46056</v>
          </cell>
          <cell r="B3322">
            <v>309</v>
          </cell>
        </row>
        <row r="3323">
          <cell r="A3323">
            <v>46057</v>
          </cell>
          <cell r="B3323">
            <v>310</v>
          </cell>
        </row>
        <row r="3324">
          <cell r="A3324">
            <v>46058</v>
          </cell>
          <cell r="B3324">
            <v>311</v>
          </cell>
        </row>
        <row r="3325">
          <cell r="A3325">
            <v>46059</v>
          </cell>
          <cell r="B3325">
            <v>312</v>
          </cell>
        </row>
        <row r="3326">
          <cell r="A3326">
            <v>46060</v>
          </cell>
          <cell r="B3326">
            <v>313</v>
          </cell>
        </row>
        <row r="3327">
          <cell r="A3327">
            <v>46061</v>
          </cell>
          <cell r="B3327">
            <v>314</v>
          </cell>
        </row>
        <row r="3328">
          <cell r="A3328">
            <v>46062</v>
          </cell>
          <cell r="B3328">
            <v>315</v>
          </cell>
        </row>
        <row r="3329">
          <cell r="A3329">
            <v>46063</v>
          </cell>
          <cell r="B3329">
            <v>316</v>
          </cell>
        </row>
        <row r="3330">
          <cell r="A3330">
            <v>46064</v>
          </cell>
          <cell r="B3330">
            <v>317</v>
          </cell>
        </row>
        <row r="3331">
          <cell r="A3331">
            <v>46065</v>
          </cell>
          <cell r="B3331">
            <v>318</v>
          </cell>
        </row>
        <row r="3332">
          <cell r="A3332">
            <v>46066</v>
          </cell>
          <cell r="B3332">
            <v>319</v>
          </cell>
        </row>
        <row r="3333">
          <cell r="A3333">
            <v>46067</v>
          </cell>
          <cell r="B3333">
            <v>320</v>
          </cell>
        </row>
        <row r="3334">
          <cell r="A3334">
            <v>46068</v>
          </cell>
          <cell r="B3334">
            <v>321</v>
          </cell>
        </row>
        <row r="3335">
          <cell r="A3335">
            <v>46069</v>
          </cell>
          <cell r="B3335">
            <v>322</v>
          </cell>
        </row>
        <row r="3336">
          <cell r="A3336">
            <v>46070</v>
          </cell>
          <cell r="B3336">
            <v>323</v>
          </cell>
        </row>
        <row r="3337">
          <cell r="A3337">
            <v>46071</v>
          </cell>
          <cell r="B3337">
            <v>324</v>
          </cell>
        </row>
        <row r="3338">
          <cell r="A3338">
            <v>46072</v>
          </cell>
          <cell r="B3338">
            <v>325</v>
          </cell>
        </row>
        <row r="3339">
          <cell r="A3339">
            <v>46073</v>
          </cell>
          <cell r="B3339">
            <v>326</v>
          </cell>
        </row>
        <row r="3340">
          <cell r="A3340">
            <v>46074</v>
          </cell>
          <cell r="B3340">
            <v>327</v>
          </cell>
        </row>
        <row r="3341">
          <cell r="A3341">
            <v>46075</v>
          </cell>
          <cell r="B3341">
            <v>328</v>
          </cell>
        </row>
        <row r="3342">
          <cell r="A3342">
            <v>46076</v>
          </cell>
          <cell r="B3342">
            <v>329</v>
          </cell>
        </row>
        <row r="3343">
          <cell r="A3343">
            <v>46077</v>
          </cell>
          <cell r="B3343">
            <v>330</v>
          </cell>
        </row>
        <row r="3344">
          <cell r="A3344">
            <v>46078</v>
          </cell>
          <cell r="B3344">
            <v>331</v>
          </cell>
        </row>
        <row r="3345">
          <cell r="A3345">
            <v>46079</v>
          </cell>
          <cell r="B3345">
            <v>332</v>
          </cell>
        </row>
        <row r="3346">
          <cell r="A3346">
            <v>46080</v>
          </cell>
          <cell r="B3346">
            <v>333</v>
          </cell>
        </row>
        <row r="3347">
          <cell r="A3347">
            <v>46081</v>
          </cell>
          <cell r="B3347">
            <v>334</v>
          </cell>
        </row>
        <row r="3348">
          <cell r="A3348">
            <v>46082</v>
          </cell>
          <cell r="B3348">
            <v>335</v>
          </cell>
        </row>
        <row r="3349">
          <cell r="A3349">
            <v>46083</v>
          </cell>
          <cell r="B3349">
            <v>336</v>
          </cell>
        </row>
        <row r="3350">
          <cell r="A3350">
            <v>46084</v>
          </cell>
          <cell r="B3350">
            <v>337</v>
          </cell>
        </row>
        <row r="3351">
          <cell r="A3351">
            <v>46085</v>
          </cell>
          <cell r="B3351">
            <v>338</v>
          </cell>
        </row>
        <row r="3352">
          <cell r="A3352">
            <v>46086</v>
          </cell>
          <cell r="B3352">
            <v>339</v>
          </cell>
        </row>
        <row r="3353">
          <cell r="A3353">
            <v>46087</v>
          </cell>
          <cell r="B3353">
            <v>340</v>
          </cell>
        </row>
        <row r="3354">
          <cell r="A3354">
            <v>46088</v>
          </cell>
          <cell r="B3354">
            <v>341</v>
          </cell>
        </row>
        <row r="3355">
          <cell r="A3355">
            <v>46089</v>
          </cell>
          <cell r="B3355">
            <v>342</v>
          </cell>
        </row>
        <row r="3356">
          <cell r="A3356">
            <v>46090</v>
          </cell>
          <cell r="B3356">
            <v>343</v>
          </cell>
        </row>
        <row r="3357">
          <cell r="A3357">
            <v>46091</v>
          </cell>
          <cell r="B3357">
            <v>344</v>
          </cell>
        </row>
        <row r="3358">
          <cell r="A3358">
            <v>46092</v>
          </cell>
          <cell r="B3358">
            <v>345</v>
          </cell>
        </row>
        <row r="3359">
          <cell r="A3359">
            <v>46093</v>
          </cell>
          <cell r="B3359">
            <v>346</v>
          </cell>
        </row>
        <row r="3360">
          <cell r="A3360">
            <v>46094</v>
          </cell>
          <cell r="B3360">
            <v>347</v>
          </cell>
        </row>
        <row r="3361">
          <cell r="A3361">
            <v>46095</v>
          </cell>
          <cell r="B3361">
            <v>348</v>
          </cell>
        </row>
        <row r="3362">
          <cell r="A3362">
            <v>46096</v>
          </cell>
          <cell r="B3362">
            <v>349</v>
          </cell>
        </row>
        <row r="3363">
          <cell r="A3363">
            <v>46097</v>
          </cell>
          <cell r="B3363">
            <v>350</v>
          </cell>
        </row>
        <row r="3364">
          <cell r="A3364">
            <v>46098</v>
          </cell>
          <cell r="B3364">
            <v>351</v>
          </cell>
        </row>
        <row r="3365">
          <cell r="A3365">
            <v>46099</v>
          </cell>
          <cell r="B3365">
            <v>352</v>
          </cell>
        </row>
        <row r="3366">
          <cell r="A3366">
            <v>46100</v>
          </cell>
          <cell r="B3366">
            <v>353</v>
          </cell>
        </row>
        <row r="3367">
          <cell r="A3367">
            <v>46101</v>
          </cell>
          <cell r="B3367">
            <v>354</v>
          </cell>
        </row>
        <row r="3368">
          <cell r="A3368">
            <v>46102</v>
          </cell>
          <cell r="B3368">
            <v>355</v>
          </cell>
        </row>
        <row r="3369">
          <cell r="A3369">
            <v>46103</v>
          </cell>
          <cell r="B3369">
            <v>356</v>
          </cell>
        </row>
        <row r="3370">
          <cell r="A3370">
            <v>46104</v>
          </cell>
          <cell r="B3370">
            <v>357</v>
          </cell>
        </row>
        <row r="3371">
          <cell r="A3371">
            <v>46105</v>
          </cell>
          <cell r="B3371">
            <v>358</v>
          </cell>
        </row>
        <row r="3372">
          <cell r="A3372">
            <v>46106</v>
          </cell>
          <cell r="B3372">
            <v>359</v>
          </cell>
        </row>
        <row r="3373">
          <cell r="A3373">
            <v>46107</v>
          </cell>
          <cell r="B3373">
            <v>360</v>
          </cell>
        </row>
        <row r="3374">
          <cell r="A3374">
            <v>46108</v>
          </cell>
          <cell r="B3374">
            <v>361</v>
          </cell>
        </row>
        <row r="3375">
          <cell r="A3375">
            <v>46109</v>
          </cell>
          <cell r="B3375">
            <v>362</v>
          </cell>
        </row>
        <row r="3376">
          <cell r="A3376">
            <v>46110</v>
          </cell>
          <cell r="B3376">
            <v>363</v>
          </cell>
        </row>
        <row r="3377">
          <cell r="A3377">
            <v>46111</v>
          </cell>
          <cell r="B3377">
            <v>364</v>
          </cell>
        </row>
        <row r="3378">
          <cell r="A3378">
            <v>46112</v>
          </cell>
          <cell r="B3378">
            <v>365</v>
          </cell>
        </row>
        <row r="3379">
          <cell r="A3379">
            <v>46113</v>
          </cell>
          <cell r="B3379">
            <v>1</v>
          </cell>
        </row>
        <row r="3380">
          <cell r="A3380">
            <v>46114</v>
          </cell>
          <cell r="B3380">
            <v>2</v>
          </cell>
        </row>
        <row r="3381">
          <cell r="A3381">
            <v>46115</v>
          </cell>
          <cell r="B3381">
            <v>3</v>
          </cell>
        </row>
        <row r="3382">
          <cell r="A3382">
            <v>46116</v>
          </cell>
          <cell r="B3382">
            <v>4</v>
          </cell>
        </row>
        <row r="3383">
          <cell r="A3383">
            <v>46117</v>
          </cell>
          <cell r="B3383">
            <v>5</v>
          </cell>
        </row>
        <row r="3384">
          <cell r="A3384">
            <v>46118</v>
          </cell>
          <cell r="B3384">
            <v>6</v>
          </cell>
        </row>
        <row r="3385">
          <cell r="A3385">
            <v>46119</v>
          </cell>
          <cell r="B3385">
            <v>7</v>
          </cell>
        </row>
        <row r="3386">
          <cell r="A3386">
            <v>46120</v>
          </cell>
          <cell r="B3386">
            <v>8</v>
          </cell>
        </row>
        <row r="3387">
          <cell r="A3387">
            <v>46121</v>
          </cell>
          <cell r="B3387">
            <v>9</v>
          </cell>
        </row>
        <row r="3388">
          <cell r="A3388">
            <v>46122</v>
          </cell>
          <cell r="B3388">
            <v>10</v>
          </cell>
        </row>
        <row r="3389">
          <cell r="A3389">
            <v>46123</v>
          </cell>
          <cell r="B3389">
            <v>11</v>
          </cell>
        </row>
        <row r="3390">
          <cell r="A3390">
            <v>46124</v>
          </cell>
          <cell r="B3390">
            <v>12</v>
          </cell>
        </row>
        <row r="3391">
          <cell r="A3391">
            <v>46125</v>
          </cell>
          <cell r="B3391">
            <v>13</v>
          </cell>
        </row>
        <row r="3392">
          <cell r="A3392">
            <v>46126</v>
          </cell>
          <cell r="B3392">
            <v>14</v>
          </cell>
        </row>
        <row r="3393">
          <cell r="A3393">
            <v>46127</v>
          </cell>
          <cell r="B3393">
            <v>15</v>
          </cell>
        </row>
        <row r="3394">
          <cell r="A3394">
            <v>46128</v>
          </cell>
          <cell r="B3394">
            <v>16</v>
          </cell>
        </row>
        <row r="3395">
          <cell r="A3395">
            <v>46129</v>
          </cell>
          <cell r="B3395">
            <v>17</v>
          </cell>
        </row>
        <row r="3396">
          <cell r="A3396">
            <v>46130</v>
          </cell>
          <cell r="B3396">
            <v>18</v>
          </cell>
        </row>
        <row r="3397">
          <cell r="A3397">
            <v>46131</v>
          </cell>
          <cell r="B3397">
            <v>19</v>
          </cell>
        </row>
        <row r="3398">
          <cell r="A3398">
            <v>46132</v>
          </cell>
          <cell r="B3398">
            <v>20</v>
          </cell>
        </row>
        <row r="3399">
          <cell r="A3399">
            <v>46133</v>
          </cell>
          <cell r="B3399">
            <v>21</v>
          </cell>
        </row>
        <row r="3400">
          <cell r="A3400">
            <v>46134</v>
          </cell>
          <cell r="B3400">
            <v>22</v>
          </cell>
        </row>
        <row r="3401">
          <cell r="A3401">
            <v>46135</v>
          </cell>
          <cell r="B3401">
            <v>23</v>
          </cell>
        </row>
        <row r="3402">
          <cell r="A3402">
            <v>46136</v>
          </cell>
          <cell r="B3402">
            <v>24</v>
          </cell>
        </row>
        <row r="3403">
          <cell r="A3403">
            <v>46137</v>
          </cell>
          <cell r="B3403">
            <v>25</v>
          </cell>
        </row>
        <row r="3404">
          <cell r="A3404">
            <v>46138</v>
          </cell>
          <cell r="B3404">
            <v>26</v>
          </cell>
        </row>
        <row r="3405">
          <cell r="A3405">
            <v>46139</v>
          </cell>
          <cell r="B3405">
            <v>27</v>
          </cell>
        </row>
        <row r="3406">
          <cell r="A3406">
            <v>46140</v>
          </cell>
          <cell r="B3406">
            <v>28</v>
          </cell>
        </row>
        <row r="3407">
          <cell r="A3407">
            <v>46141</v>
          </cell>
          <cell r="B3407">
            <v>29</v>
          </cell>
        </row>
        <row r="3408">
          <cell r="A3408">
            <v>46142</v>
          </cell>
          <cell r="B3408">
            <v>30</v>
          </cell>
        </row>
        <row r="3409">
          <cell r="A3409">
            <v>46143</v>
          </cell>
          <cell r="B3409">
            <v>31</v>
          </cell>
        </row>
        <row r="3410">
          <cell r="A3410">
            <v>46144</v>
          </cell>
          <cell r="B3410">
            <v>32</v>
          </cell>
        </row>
        <row r="3411">
          <cell r="A3411">
            <v>46145</v>
          </cell>
          <cell r="B3411">
            <v>33</v>
          </cell>
        </row>
        <row r="3412">
          <cell r="A3412">
            <v>46146</v>
          </cell>
          <cell r="B3412">
            <v>34</v>
          </cell>
        </row>
        <row r="3413">
          <cell r="A3413">
            <v>46147</v>
          </cell>
          <cell r="B3413">
            <v>35</v>
          </cell>
        </row>
        <row r="3414">
          <cell r="A3414">
            <v>46148</v>
          </cell>
          <cell r="B3414">
            <v>36</v>
          </cell>
        </row>
        <row r="3415">
          <cell r="A3415">
            <v>46149</v>
          </cell>
          <cell r="B3415">
            <v>37</v>
          </cell>
        </row>
        <row r="3416">
          <cell r="A3416">
            <v>46150</v>
          </cell>
          <cell r="B3416">
            <v>38</v>
          </cell>
        </row>
        <row r="3417">
          <cell r="A3417">
            <v>46151</v>
          </cell>
          <cell r="B3417">
            <v>39</v>
          </cell>
        </row>
        <row r="3418">
          <cell r="A3418">
            <v>46152</v>
          </cell>
          <cell r="B3418">
            <v>40</v>
          </cell>
        </row>
        <row r="3419">
          <cell r="A3419">
            <v>46153</v>
          </cell>
          <cell r="B3419">
            <v>41</v>
          </cell>
        </row>
        <row r="3420">
          <cell r="A3420">
            <v>46154</v>
          </cell>
          <cell r="B3420">
            <v>42</v>
          </cell>
        </row>
        <row r="3421">
          <cell r="A3421">
            <v>46155</v>
          </cell>
          <cell r="B3421">
            <v>43</v>
          </cell>
        </row>
        <row r="3422">
          <cell r="A3422">
            <v>46156</v>
          </cell>
          <cell r="B3422">
            <v>44</v>
          </cell>
        </row>
        <row r="3423">
          <cell r="A3423">
            <v>46157</v>
          </cell>
          <cell r="B3423">
            <v>45</v>
          </cell>
        </row>
        <row r="3424">
          <cell r="A3424">
            <v>46158</v>
          </cell>
          <cell r="B3424">
            <v>46</v>
          </cell>
        </row>
        <row r="3425">
          <cell r="A3425">
            <v>46159</v>
          </cell>
          <cell r="B3425">
            <v>47</v>
          </cell>
        </row>
        <row r="3426">
          <cell r="A3426">
            <v>46160</v>
          </cell>
          <cell r="B3426">
            <v>48</v>
          </cell>
        </row>
        <row r="3427">
          <cell r="A3427">
            <v>46161</v>
          </cell>
          <cell r="B3427">
            <v>49</v>
          </cell>
        </row>
        <row r="3428">
          <cell r="A3428">
            <v>46162</v>
          </cell>
          <cell r="B3428">
            <v>50</v>
          </cell>
        </row>
        <row r="3429">
          <cell r="A3429">
            <v>46163</v>
          </cell>
          <cell r="B3429">
            <v>51</v>
          </cell>
        </row>
        <row r="3430">
          <cell r="A3430">
            <v>46164</v>
          </cell>
          <cell r="B3430">
            <v>52</v>
          </cell>
        </row>
        <row r="3431">
          <cell r="A3431">
            <v>46165</v>
          </cell>
          <cell r="B3431">
            <v>53</v>
          </cell>
        </row>
        <row r="3432">
          <cell r="A3432">
            <v>46166</v>
          </cell>
          <cell r="B3432">
            <v>54</v>
          </cell>
        </row>
        <row r="3433">
          <cell r="A3433">
            <v>46167</v>
          </cell>
          <cell r="B3433">
            <v>55</v>
          </cell>
        </row>
        <row r="3434">
          <cell r="A3434">
            <v>46168</v>
          </cell>
          <cell r="B3434">
            <v>56</v>
          </cell>
        </row>
        <row r="3435">
          <cell r="A3435">
            <v>46169</v>
          </cell>
          <cell r="B3435">
            <v>57</v>
          </cell>
        </row>
        <row r="3436">
          <cell r="A3436">
            <v>46170</v>
          </cell>
          <cell r="B3436">
            <v>58</v>
          </cell>
        </row>
        <row r="3437">
          <cell r="A3437">
            <v>46171</v>
          </cell>
          <cell r="B3437">
            <v>59</v>
          </cell>
        </row>
        <row r="3438">
          <cell r="A3438">
            <v>46172</v>
          </cell>
          <cell r="B3438">
            <v>60</v>
          </cell>
        </row>
        <row r="3439">
          <cell r="A3439">
            <v>46173</v>
          </cell>
          <cell r="B3439">
            <v>61</v>
          </cell>
        </row>
        <row r="3440">
          <cell r="A3440">
            <v>46174</v>
          </cell>
          <cell r="B3440">
            <v>62</v>
          </cell>
        </row>
        <row r="3441">
          <cell r="A3441">
            <v>46175</v>
          </cell>
          <cell r="B3441">
            <v>63</v>
          </cell>
        </row>
        <row r="3442">
          <cell r="A3442">
            <v>46176</v>
          </cell>
          <cell r="B3442">
            <v>64</v>
          </cell>
        </row>
        <row r="3443">
          <cell r="A3443">
            <v>46177</v>
          </cell>
          <cell r="B3443">
            <v>65</v>
          </cell>
        </row>
        <row r="3444">
          <cell r="A3444">
            <v>46178</v>
          </cell>
          <cell r="B3444">
            <v>66</v>
          </cell>
        </row>
        <row r="3445">
          <cell r="A3445">
            <v>46179</v>
          </cell>
          <cell r="B3445">
            <v>67</v>
          </cell>
        </row>
        <row r="3446">
          <cell r="A3446">
            <v>46180</v>
          </cell>
          <cell r="B3446">
            <v>68</v>
          </cell>
        </row>
        <row r="3447">
          <cell r="A3447">
            <v>46181</v>
          </cell>
          <cell r="B3447">
            <v>69</v>
          </cell>
        </row>
        <row r="3448">
          <cell r="A3448">
            <v>46182</v>
          </cell>
          <cell r="B3448">
            <v>70</v>
          </cell>
        </row>
        <row r="3449">
          <cell r="A3449">
            <v>46183</v>
          </cell>
          <cell r="B3449">
            <v>71</v>
          </cell>
        </row>
        <row r="3450">
          <cell r="A3450">
            <v>46184</v>
          </cell>
          <cell r="B3450">
            <v>72</v>
          </cell>
        </row>
        <row r="3451">
          <cell r="A3451">
            <v>46185</v>
          </cell>
          <cell r="B3451">
            <v>73</v>
          </cell>
        </row>
        <row r="3452">
          <cell r="A3452">
            <v>46186</v>
          </cell>
          <cell r="B3452">
            <v>74</v>
          </cell>
        </row>
        <row r="3453">
          <cell r="A3453">
            <v>46187</v>
          </cell>
          <cell r="B3453">
            <v>75</v>
          </cell>
        </row>
        <row r="3454">
          <cell r="A3454">
            <v>46188</v>
          </cell>
          <cell r="B3454">
            <v>76</v>
          </cell>
        </row>
        <row r="3455">
          <cell r="A3455">
            <v>46189</v>
          </cell>
          <cell r="B3455">
            <v>77</v>
          </cell>
        </row>
        <row r="3456">
          <cell r="A3456">
            <v>46190</v>
          </cell>
          <cell r="B3456">
            <v>78</v>
          </cell>
        </row>
        <row r="3457">
          <cell r="A3457">
            <v>46191</v>
          </cell>
          <cell r="B3457">
            <v>79</v>
          </cell>
        </row>
        <row r="3458">
          <cell r="A3458">
            <v>46192</v>
          </cell>
          <cell r="B3458">
            <v>80</v>
          </cell>
        </row>
        <row r="3459">
          <cell r="A3459">
            <v>46193</v>
          </cell>
          <cell r="B3459">
            <v>81</v>
          </cell>
        </row>
        <row r="3460">
          <cell r="A3460">
            <v>46194</v>
          </cell>
          <cell r="B3460">
            <v>82</v>
          </cell>
        </row>
        <row r="3461">
          <cell r="A3461">
            <v>46195</v>
          </cell>
          <cell r="B3461">
            <v>83</v>
          </cell>
        </row>
        <row r="3462">
          <cell r="A3462">
            <v>46196</v>
          </cell>
          <cell r="B3462">
            <v>84</v>
          </cell>
        </row>
        <row r="3463">
          <cell r="A3463">
            <v>46197</v>
          </cell>
          <cell r="B3463">
            <v>85</v>
          </cell>
        </row>
        <row r="3464">
          <cell r="A3464">
            <v>46198</v>
          </cell>
          <cell r="B3464">
            <v>86</v>
          </cell>
        </row>
        <row r="3465">
          <cell r="A3465">
            <v>46199</v>
          </cell>
          <cell r="B3465">
            <v>87</v>
          </cell>
        </row>
        <row r="3466">
          <cell r="A3466">
            <v>46200</v>
          </cell>
          <cell r="B3466">
            <v>88</v>
          </cell>
        </row>
        <row r="3467">
          <cell r="A3467">
            <v>46201</v>
          </cell>
          <cell r="B3467">
            <v>89</v>
          </cell>
        </row>
        <row r="3468">
          <cell r="A3468">
            <v>46202</v>
          </cell>
          <cell r="B3468">
            <v>90</v>
          </cell>
        </row>
        <row r="3469">
          <cell r="A3469">
            <v>46203</v>
          </cell>
          <cell r="B3469">
            <v>91</v>
          </cell>
        </row>
        <row r="3470">
          <cell r="A3470">
            <v>46204</v>
          </cell>
          <cell r="B3470">
            <v>92</v>
          </cell>
        </row>
        <row r="3471">
          <cell r="A3471">
            <v>46205</v>
          </cell>
          <cell r="B3471">
            <v>93</v>
          </cell>
        </row>
        <row r="3472">
          <cell r="A3472">
            <v>46206</v>
          </cell>
          <cell r="B3472">
            <v>94</v>
          </cell>
        </row>
        <row r="3473">
          <cell r="A3473">
            <v>46207</v>
          </cell>
          <cell r="B3473">
            <v>95</v>
          </cell>
        </row>
        <row r="3474">
          <cell r="A3474">
            <v>46208</v>
          </cell>
          <cell r="B3474">
            <v>96</v>
          </cell>
        </row>
        <row r="3475">
          <cell r="A3475">
            <v>46209</v>
          </cell>
          <cell r="B3475">
            <v>97</v>
          </cell>
        </row>
        <row r="3476">
          <cell r="A3476">
            <v>46210</v>
          </cell>
          <cell r="B3476">
            <v>98</v>
          </cell>
        </row>
        <row r="3477">
          <cell r="A3477">
            <v>46211</v>
          </cell>
          <cell r="B3477">
            <v>99</v>
          </cell>
        </row>
        <row r="3478">
          <cell r="A3478">
            <v>46212</v>
          </cell>
          <cell r="B3478">
            <v>100</v>
          </cell>
        </row>
        <row r="3479">
          <cell r="A3479">
            <v>46213</v>
          </cell>
          <cell r="B3479">
            <v>101</v>
          </cell>
        </row>
        <row r="3480">
          <cell r="A3480">
            <v>46214</v>
          </cell>
          <cell r="B3480">
            <v>102</v>
          </cell>
        </row>
        <row r="3481">
          <cell r="A3481">
            <v>46215</v>
          </cell>
          <cell r="B3481">
            <v>103</v>
          </cell>
        </row>
        <row r="3482">
          <cell r="A3482">
            <v>46216</v>
          </cell>
          <cell r="B3482">
            <v>104</v>
          </cell>
        </row>
        <row r="3483">
          <cell r="A3483">
            <v>46217</v>
          </cell>
          <cell r="B3483">
            <v>105</v>
          </cell>
        </row>
        <row r="3484">
          <cell r="A3484">
            <v>46218</v>
          </cell>
          <cell r="B3484">
            <v>106</v>
          </cell>
        </row>
        <row r="3485">
          <cell r="A3485">
            <v>46219</v>
          </cell>
          <cell r="B3485">
            <v>107</v>
          </cell>
        </row>
        <row r="3486">
          <cell r="A3486">
            <v>46220</v>
          </cell>
          <cell r="B3486">
            <v>108</v>
          </cell>
        </row>
        <row r="3487">
          <cell r="A3487">
            <v>46221</v>
          </cell>
          <cell r="B3487">
            <v>109</v>
          </cell>
        </row>
        <row r="3488">
          <cell r="A3488">
            <v>46222</v>
          </cell>
          <cell r="B3488">
            <v>110</v>
          </cell>
        </row>
        <row r="3489">
          <cell r="A3489">
            <v>46223</v>
          </cell>
          <cell r="B3489">
            <v>111</v>
          </cell>
        </row>
        <row r="3490">
          <cell r="A3490">
            <v>46224</v>
          </cell>
          <cell r="B3490">
            <v>112</v>
          </cell>
        </row>
        <row r="3491">
          <cell r="A3491">
            <v>46225</v>
          </cell>
          <cell r="B3491">
            <v>113</v>
          </cell>
        </row>
        <row r="3492">
          <cell r="A3492">
            <v>46226</v>
          </cell>
          <cell r="B3492">
            <v>114</v>
          </cell>
        </row>
        <row r="3493">
          <cell r="A3493">
            <v>46227</v>
          </cell>
          <cell r="B3493">
            <v>115</v>
          </cell>
        </row>
        <row r="3494">
          <cell r="A3494">
            <v>46228</v>
          </cell>
          <cell r="B3494">
            <v>116</v>
          </cell>
        </row>
        <row r="3495">
          <cell r="A3495">
            <v>46229</v>
          </cell>
          <cell r="B3495">
            <v>117</v>
          </cell>
        </row>
        <row r="3496">
          <cell r="A3496">
            <v>46230</v>
          </cell>
          <cell r="B3496">
            <v>118</v>
          </cell>
        </row>
        <row r="3497">
          <cell r="A3497">
            <v>46231</v>
          </cell>
          <cell r="B3497">
            <v>119</v>
          </cell>
        </row>
        <row r="3498">
          <cell r="A3498">
            <v>46232</v>
          </cell>
          <cell r="B3498">
            <v>120</v>
          </cell>
        </row>
        <row r="3499">
          <cell r="A3499">
            <v>46233</v>
          </cell>
          <cell r="B3499">
            <v>121</v>
          </cell>
        </row>
        <row r="3500">
          <cell r="A3500">
            <v>46234</v>
          </cell>
          <cell r="B3500">
            <v>122</v>
          </cell>
        </row>
        <row r="3501">
          <cell r="A3501">
            <v>46235</v>
          </cell>
          <cell r="B3501">
            <v>123</v>
          </cell>
        </row>
        <row r="3502">
          <cell r="A3502">
            <v>46236</v>
          </cell>
          <cell r="B3502">
            <v>124</v>
          </cell>
        </row>
        <row r="3503">
          <cell r="A3503">
            <v>46237</v>
          </cell>
          <cell r="B3503">
            <v>125</v>
          </cell>
        </row>
        <row r="3504">
          <cell r="A3504">
            <v>46238</v>
          </cell>
          <cell r="B3504">
            <v>126</v>
          </cell>
        </row>
        <row r="3505">
          <cell r="A3505">
            <v>46239</v>
          </cell>
          <cell r="B3505">
            <v>127</v>
          </cell>
        </row>
        <row r="3506">
          <cell r="A3506">
            <v>46240</v>
          </cell>
          <cell r="B3506">
            <v>128</v>
          </cell>
        </row>
        <row r="3507">
          <cell r="A3507">
            <v>46241</v>
          </cell>
          <cell r="B3507">
            <v>129</v>
          </cell>
        </row>
        <row r="3508">
          <cell r="A3508">
            <v>46242</v>
          </cell>
          <cell r="B3508">
            <v>130</v>
          </cell>
        </row>
        <row r="3509">
          <cell r="A3509">
            <v>46243</v>
          </cell>
          <cell r="B3509">
            <v>131</v>
          </cell>
        </row>
        <row r="3510">
          <cell r="A3510">
            <v>46244</v>
          </cell>
          <cell r="B3510">
            <v>132</v>
          </cell>
        </row>
        <row r="3511">
          <cell r="A3511">
            <v>46245</v>
          </cell>
          <cell r="B3511">
            <v>133</v>
          </cell>
        </row>
        <row r="3512">
          <cell r="A3512">
            <v>46246</v>
          </cell>
          <cell r="B3512">
            <v>134</v>
          </cell>
        </row>
        <row r="3513">
          <cell r="A3513">
            <v>46247</v>
          </cell>
          <cell r="B3513">
            <v>135</v>
          </cell>
        </row>
        <row r="3514">
          <cell r="A3514">
            <v>46248</v>
          </cell>
          <cell r="B3514">
            <v>136</v>
          </cell>
        </row>
        <row r="3515">
          <cell r="A3515">
            <v>46249</v>
          </cell>
          <cell r="B3515">
            <v>137</v>
          </cell>
        </row>
        <row r="3516">
          <cell r="A3516">
            <v>46250</v>
          </cell>
          <cell r="B3516">
            <v>138</v>
          </cell>
        </row>
        <row r="3517">
          <cell r="A3517">
            <v>46251</v>
          </cell>
          <cell r="B3517">
            <v>139</v>
          </cell>
        </row>
        <row r="3518">
          <cell r="A3518">
            <v>46252</v>
          </cell>
          <cell r="B3518">
            <v>140</v>
          </cell>
        </row>
        <row r="3519">
          <cell r="A3519">
            <v>46253</v>
          </cell>
          <cell r="B3519">
            <v>141</v>
          </cell>
        </row>
        <row r="3520">
          <cell r="A3520">
            <v>46254</v>
          </cell>
          <cell r="B3520">
            <v>142</v>
          </cell>
        </row>
        <row r="3521">
          <cell r="A3521">
            <v>46255</v>
          </cell>
          <cell r="B3521">
            <v>143</v>
          </cell>
        </row>
        <row r="3522">
          <cell r="A3522">
            <v>46256</v>
          </cell>
          <cell r="B3522">
            <v>144</v>
          </cell>
        </row>
        <row r="3523">
          <cell r="A3523">
            <v>46257</v>
          </cell>
          <cell r="B3523">
            <v>145</v>
          </cell>
        </row>
        <row r="3524">
          <cell r="A3524">
            <v>46258</v>
          </cell>
          <cell r="B3524">
            <v>146</v>
          </cell>
        </row>
        <row r="3525">
          <cell r="A3525">
            <v>46259</v>
          </cell>
          <cell r="B3525">
            <v>147</v>
          </cell>
        </row>
        <row r="3526">
          <cell r="A3526">
            <v>46260</v>
          </cell>
          <cell r="B3526">
            <v>148</v>
          </cell>
        </row>
        <row r="3527">
          <cell r="A3527">
            <v>46261</v>
          </cell>
          <cell r="B3527">
            <v>149</v>
          </cell>
        </row>
        <row r="3528">
          <cell r="A3528">
            <v>46262</v>
          </cell>
          <cell r="B3528">
            <v>150</v>
          </cell>
        </row>
        <row r="3529">
          <cell r="A3529">
            <v>46263</v>
          </cell>
          <cell r="B3529">
            <v>151</v>
          </cell>
        </row>
        <row r="3530">
          <cell r="A3530">
            <v>46264</v>
          </cell>
          <cell r="B3530">
            <v>152</v>
          </cell>
        </row>
        <row r="3531">
          <cell r="A3531">
            <v>46265</v>
          </cell>
          <cell r="B3531">
            <v>153</v>
          </cell>
        </row>
        <row r="3532">
          <cell r="A3532">
            <v>46266</v>
          </cell>
          <cell r="B3532">
            <v>154</v>
          </cell>
        </row>
        <row r="3533">
          <cell r="A3533">
            <v>46267</v>
          </cell>
          <cell r="B3533">
            <v>155</v>
          </cell>
        </row>
        <row r="3534">
          <cell r="A3534">
            <v>46268</v>
          </cell>
          <cell r="B3534">
            <v>156</v>
          </cell>
        </row>
        <row r="3535">
          <cell r="A3535">
            <v>46269</v>
          </cell>
          <cell r="B3535">
            <v>157</v>
          </cell>
        </row>
        <row r="3536">
          <cell r="A3536">
            <v>46270</v>
          </cell>
          <cell r="B3536">
            <v>158</v>
          </cell>
        </row>
        <row r="3537">
          <cell r="A3537">
            <v>46271</v>
          </cell>
          <cell r="B3537">
            <v>159</v>
          </cell>
        </row>
        <row r="3538">
          <cell r="A3538">
            <v>46272</v>
          </cell>
          <cell r="B3538">
            <v>160</v>
          </cell>
        </row>
        <row r="3539">
          <cell r="A3539">
            <v>46273</v>
          </cell>
          <cell r="B3539">
            <v>161</v>
          </cell>
        </row>
        <row r="3540">
          <cell r="A3540">
            <v>46274</v>
          </cell>
          <cell r="B3540">
            <v>162</v>
          </cell>
        </row>
        <row r="3541">
          <cell r="A3541">
            <v>46275</v>
          </cell>
          <cell r="B3541">
            <v>163</v>
          </cell>
        </row>
        <row r="3542">
          <cell r="A3542">
            <v>46276</v>
          </cell>
          <cell r="B3542">
            <v>164</v>
          </cell>
        </row>
        <row r="3543">
          <cell r="A3543">
            <v>46277</v>
          </cell>
          <cell r="B3543">
            <v>165</v>
          </cell>
        </row>
        <row r="3544">
          <cell r="A3544">
            <v>46278</v>
          </cell>
          <cell r="B3544">
            <v>166</v>
          </cell>
        </row>
        <row r="3545">
          <cell r="A3545">
            <v>46279</v>
          </cell>
          <cell r="B3545">
            <v>167</v>
          </cell>
        </row>
        <row r="3546">
          <cell r="A3546">
            <v>46280</v>
          </cell>
          <cell r="B3546">
            <v>168</v>
          </cell>
        </row>
        <row r="3547">
          <cell r="A3547">
            <v>46281</v>
          </cell>
          <cell r="B3547">
            <v>169</v>
          </cell>
        </row>
        <row r="3548">
          <cell r="A3548">
            <v>46282</v>
          </cell>
          <cell r="B3548">
            <v>170</v>
          </cell>
        </row>
        <row r="3549">
          <cell r="A3549">
            <v>46283</v>
          </cell>
          <cell r="B3549">
            <v>171</v>
          </cell>
        </row>
        <row r="3550">
          <cell r="A3550">
            <v>46284</v>
          </cell>
          <cell r="B3550">
            <v>172</v>
          </cell>
        </row>
        <row r="3551">
          <cell r="A3551">
            <v>46285</v>
          </cell>
          <cell r="B3551">
            <v>173</v>
          </cell>
        </row>
        <row r="3552">
          <cell r="A3552">
            <v>46286</v>
          </cell>
          <cell r="B3552">
            <v>174</v>
          </cell>
        </row>
        <row r="3553">
          <cell r="A3553">
            <v>46287</v>
          </cell>
          <cell r="B3553">
            <v>175</v>
          </cell>
        </row>
        <row r="3554">
          <cell r="A3554">
            <v>46288</v>
          </cell>
          <cell r="B3554">
            <v>176</v>
          </cell>
        </row>
        <row r="3555">
          <cell r="A3555">
            <v>46289</v>
          </cell>
          <cell r="B3555">
            <v>177</v>
          </cell>
        </row>
        <row r="3556">
          <cell r="A3556">
            <v>46290</v>
          </cell>
          <cell r="B3556">
            <v>178</v>
          </cell>
        </row>
        <row r="3557">
          <cell r="A3557">
            <v>46291</v>
          </cell>
          <cell r="B3557">
            <v>179</v>
          </cell>
        </row>
        <row r="3558">
          <cell r="A3558">
            <v>46292</v>
          </cell>
          <cell r="B3558">
            <v>180</v>
          </cell>
        </row>
        <row r="3559">
          <cell r="A3559">
            <v>46293</v>
          </cell>
          <cell r="B3559">
            <v>181</v>
          </cell>
        </row>
        <row r="3560">
          <cell r="A3560">
            <v>46294</v>
          </cell>
          <cell r="B3560">
            <v>182</v>
          </cell>
        </row>
        <row r="3561">
          <cell r="A3561">
            <v>46295</v>
          </cell>
          <cell r="B3561">
            <v>183</v>
          </cell>
        </row>
        <row r="3562">
          <cell r="A3562">
            <v>46296</v>
          </cell>
          <cell r="B3562">
            <v>184</v>
          </cell>
        </row>
        <row r="3563">
          <cell r="A3563">
            <v>46297</v>
          </cell>
          <cell r="B3563">
            <v>185</v>
          </cell>
        </row>
        <row r="3564">
          <cell r="A3564">
            <v>46298</v>
          </cell>
          <cell r="B3564">
            <v>186</v>
          </cell>
        </row>
        <row r="3565">
          <cell r="A3565">
            <v>46299</v>
          </cell>
          <cell r="B3565">
            <v>187</v>
          </cell>
        </row>
        <row r="3566">
          <cell r="A3566">
            <v>46300</v>
          </cell>
          <cell r="B3566">
            <v>188</v>
          </cell>
        </row>
        <row r="3567">
          <cell r="A3567">
            <v>46301</v>
          </cell>
          <cell r="B3567">
            <v>189</v>
          </cell>
        </row>
        <row r="3568">
          <cell r="A3568">
            <v>46302</v>
          </cell>
          <cell r="B3568">
            <v>190</v>
          </cell>
        </row>
        <row r="3569">
          <cell r="A3569">
            <v>46303</v>
          </cell>
          <cell r="B3569">
            <v>191</v>
          </cell>
        </row>
        <row r="3570">
          <cell r="A3570">
            <v>46304</v>
          </cell>
          <cell r="B3570">
            <v>192</v>
          </cell>
        </row>
        <row r="3571">
          <cell r="A3571">
            <v>46305</v>
          </cell>
          <cell r="B3571">
            <v>193</v>
          </cell>
        </row>
        <row r="3572">
          <cell r="A3572">
            <v>46306</v>
          </cell>
          <cell r="B3572">
            <v>194</v>
          </cell>
        </row>
        <row r="3573">
          <cell r="A3573">
            <v>46307</v>
          </cell>
          <cell r="B3573">
            <v>195</v>
          </cell>
        </row>
        <row r="3574">
          <cell r="A3574">
            <v>46308</v>
          </cell>
          <cell r="B3574">
            <v>196</v>
          </cell>
        </row>
        <row r="3575">
          <cell r="A3575">
            <v>46309</v>
          </cell>
          <cell r="B3575">
            <v>197</v>
          </cell>
        </row>
        <row r="3576">
          <cell r="A3576">
            <v>46310</v>
          </cell>
          <cell r="B3576">
            <v>198</v>
          </cell>
        </row>
        <row r="3577">
          <cell r="A3577">
            <v>46311</v>
          </cell>
          <cell r="B3577">
            <v>199</v>
          </cell>
        </row>
        <row r="3578">
          <cell r="A3578">
            <v>46312</v>
          </cell>
          <cell r="B3578">
            <v>200</v>
          </cell>
        </row>
        <row r="3579">
          <cell r="A3579">
            <v>46313</v>
          </cell>
          <cell r="B3579">
            <v>201</v>
          </cell>
        </row>
        <row r="3580">
          <cell r="A3580">
            <v>46314</v>
          </cell>
          <cell r="B3580">
            <v>202</v>
          </cell>
        </row>
        <row r="3581">
          <cell r="A3581">
            <v>46315</v>
          </cell>
          <cell r="B3581">
            <v>203</v>
          </cell>
        </row>
        <row r="3582">
          <cell r="A3582">
            <v>46316</v>
          </cell>
          <cell r="B3582">
            <v>204</v>
          </cell>
        </row>
        <row r="3583">
          <cell r="A3583">
            <v>46317</v>
          </cell>
          <cell r="B3583">
            <v>205</v>
          </cell>
        </row>
        <row r="3584">
          <cell r="A3584">
            <v>46318</v>
          </cell>
          <cell r="B3584">
            <v>206</v>
          </cell>
        </row>
        <row r="3585">
          <cell r="A3585">
            <v>46319</v>
          </cell>
          <cell r="B3585">
            <v>207</v>
          </cell>
        </row>
        <row r="3586">
          <cell r="A3586">
            <v>46320</v>
          </cell>
          <cell r="B3586">
            <v>208</v>
          </cell>
        </row>
        <row r="3587">
          <cell r="A3587">
            <v>46321</v>
          </cell>
          <cell r="B3587">
            <v>209</v>
          </cell>
        </row>
        <row r="3588">
          <cell r="A3588">
            <v>46322</v>
          </cell>
          <cell r="B3588">
            <v>210</v>
          </cell>
        </row>
        <row r="3589">
          <cell r="A3589">
            <v>46323</v>
          </cell>
          <cell r="B3589">
            <v>211</v>
          </cell>
        </row>
        <row r="3590">
          <cell r="A3590">
            <v>46324</v>
          </cell>
          <cell r="B3590">
            <v>212</v>
          </cell>
        </row>
        <row r="3591">
          <cell r="A3591">
            <v>46325</v>
          </cell>
          <cell r="B3591">
            <v>213</v>
          </cell>
        </row>
        <row r="3592">
          <cell r="A3592">
            <v>46326</v>
          </cell>
          <cell r="B3592">
            <v>214</v>
          </cell>
        </row>
        <row r="3593">
          <cell r="A3593">
            <v>46327</v>
          </cell>
          <cell r="B3593">
            <v>215</v>
          </cell>
        </row>
        <row r="3594">
          <cell r="A3594">
            <v>46328</v>
          </cell>
          <cell r="B3594">
            <v>216</v>
          </cell>
        </row>
        <row r="3595">
          <cell r="A3595">
            <v>46329</v>
          </cell>
          <cell r="B3595">
            <v>217</v>
          </cell>
        </row>
        <row r="3596">
          <cell r="A3596">
            <v>46330</v>
          </cell>
          <cell r="B3596">
            <v>218</v>
          </cell>
        </row>
        <row r="3597">
          <cell r="A3597">
            <v>46331</v>
          </cell>
          <cell r="B3597">
            <v>219</v>
          </cell>
        </row>
        <row r="3598">
          <cell r="A3598">
            <v>46332</v>
          </cell>
          <cell r="B3598">
            <v>220</v>
          </cell>
        </row>
        <row r="3599">
          <cell r="A3599">
            <v>46333</v>
          </cell>
          <cell r="B3599">
            <v>221</v>
          </cell>
        </row>
        <row r="3600">
          <cell r="A3600">
            <v>46334</v>
          </cell>
          <cell r="B3600">
            <v>222</v>
          </cell>
        </row>
        <row r="3601">
          <cell r="A3601">
            <v>46335</v>
          </cell>
          <cell r="B3601">
            <v>223</v>
          </cell>
        </row>
        <row r="3602">
          <cell r="A3602">
            <v>46336</v>
          </cell>
          <cell r="B3602">
            <v>224</v>
          </cell>
        </row>
        <row r="3603">
          <cell r="A3603">
            <v>46337</v>
          </cell>
          <cell r="B3603">
            <v>225</v>
          </cell>
        </row>
        <row r="3604">
          <cell r="A3604">
            <v>46338</v>
          </cell>
          <cell r="B3604">
            <v>226</v>
          </cell>
        </row>
        <row r="3605">
          <cell r="A3605">
            <v>46339</v>
          </cell>
          <cell r="B3605">
            <v>227</v>
          </cell>
        </row>
        <row r="3606">
          <cell r="A3606">
            <v>46340</v>
          </cell>
          <cell r="B3606">
            <v>228</v>
          </cell>
        </row>
        <row r="3607">
          <cell r="A3607">
            <v>46341</v>
          </cell>
          <cell r="B3607">
            <v>229</v>
          </cell>
        </row>
        <row r="3608">
          <cell r="A3608">
            <v>46342</v>
          </cell>
          <cell r="B3608">
            <v>230</v>
          </cell>
        </row>
        <row r="3609">
          <cell r="A3609">
            <v>46343</v>
          </cell>
          <cell r="B3609">
            <v>231</v>
          </cell>
        </row>
        <row r="3610">
          <cell r="A3610">
            <v>46344</v>
          </cell>
          <cell r="B3610">
            <v>232</v>
          </cell>
        </row>
        <row r="3611">
          <cell r="A3611">
            <v>46345</v>
          </cell>
          <cell r="B3611">
            <v>233</v>
          </cell>
        </row>
        <row r="3612">
          <cell r="A3612">
            <v>46346</v>
          </cell>
          <cell r="B3612">
            <v>234</v>
          </cell>
        </row>
        <row r="3613">
          <cell r="A3613">
            <v>46347</v>
          </cell>
          <cell r="B3613">
            <v>235</v>
          </cell>
        </row>
        <row r="3614">
          <cell r="A3614">
            <v>46348</v>
          </cell>
          <cell r="B3614">
            <v>236</v>
          </cell>
        </row>
        <row r="3615">
          <cell r="A3615">
            <v>46349</v>
          </cell>
          <cell r="B3615">
            <v>237</v>
          </cell>
        </row>
        <row r="3616">
          <cell r="A3616">
            <v>46350</v>
          </cell>
          <cell r="B3616">
            <v>238</v>
          </cell>
        </row>
        <row r="3617">
          <cell r="A3617">
            <v>46351</v>
          </cell>
          <cell r="B3617">
            <v>239</v>
          </cell>
        </row>
        <row r="3618">
          <cell r="A3618">
            <v>46352</v>
          </cell>
          <cell r="B3618">
            <v>240</v>
          </cell>
        </row>
        <row r="3619">
          <cell r="A3619">
            <v>46353</v>
          </cell>
          <cell r="B3619">
            <v>241</v>
          </cell>
        </row>
        <row r="3620">
          <cell r="A3620">
            <v>46354</v>
          </cell>
          <cell r="B3620">
            <v>242</v>
          </cell>
        </row>
        <row r="3621">
          <cell r="A3621">
            <v>46355</v>
          </cell>
          <cell r="B3621">
            <v>243</v>
          </cell>
        </row>
        <row r="3622">
          <cell r="A3622">
            <v>46356</v>
          </cell>
          <cell r="B3622">
            <v>244</v>
          </cell>
        </row>
        <row r="3623">
          <cell r="A3623">
            <v>46357</v>
          </cell>
          <cell r="B3623">
            <v>245</v>
          </cell>
        </row>
        <row r="3624">
          <cell r="A3624">
            <v>46358</v>
          </cell>
          <cell r="B3624">
            <v>246</v>
          </cell>
        </row>
        <row r="3625">
          <cell r="A3625">
            <v>46359</v>
          </cell>
          <cell r="B3625">
            <v>247</v>
          </cell>
        </row>
        <row r="3626">
          <cell r="A3626">
            <v>46360</v>
          </cell>
          <cell r="B3626">
            <v>248</v>
          </cell>
        </row>
        <row r="3627">
          <cell r="A3627">
            <v>46361</v>
          </cell>
          <cell r="B3627">
            <v>249</v>
          </cell>
        </row>
        <row r="3628">
          <cell r="A3628">
            <v>46362</v>
          </cell>
          <cell r="B3628">
            <v>250</v>
          </cell>
        </row>
        <row r="3629">
          <cell r="A3629">
            <v>46363</v>
          </cell>
          <cell r="B3629">
            <v>251</v>
          </cell>
        </row>
        <row r="3630">
          <cell r="A3630">
            <v>46364</v>
          </cell>
          <cell r="B3630">
            <v>252</v>
          </cell>
        </row>
        <row r="3631">
          <cell r="A3631">
            <v>46365</v>
          </cell>
          <cell r="B3631">
            <v>253</v>
          </cell>
        </row>
        <row r="3632">
          <cell r="A3632">
            <v>46366</v>
          </cell>
          <cell r="B3632">
            <v>254</v>
          </cell>
        </row>
        <row r="3633">
          <cell r="A3633">
            <v>46367</v>
          </cell>
          <cell r="B3633">
            <v>255</v>
          </cell>
        </row>
        <row r="3634">
          <cell r="A3634">
            <v>46368</v>
          </cell>
          <cell r="B3634">
            <v>256</v>
          </cell>
        </row>
        <row r="3635">
          <cell r="A3635">
            <v>46369</v>
          </cell>
          <cell r="B3635">
            <v>257</v>
          </cell>
        </row>
        <row r="3636">
          <cell r="A3636">
            <v>46370</v>
          </cell>
          <cell r="B3636">
            <v>258</v>
          </cell>
        </row>
        <row r="3637">
          <cell r="A3637">
            <v>46371</v>
          </cell>
          <cell r="B3637">
            <v>259</v>
          </cell>
        </row>
        <row r="3638">
          <cell r="A3638">
            <v>46372</v>
          </cell>
          <cell r="B3638">
            <v>260</v>
          </cell>
        </row>
        <row r="3639">
          <cell r="A3639">
            <v>46373</v>
          </cell>
          <cell r="B3639">
            <v>261</v>
          </cell>
        </row>
        <row r="3640">
          <cell r="A3640">
            <v>46374</v>
          </cell>
          <cell r="B3640">
            <v>262</v>
          </cell>
        </row>
        <row r="3641">
          <cell r="A3641">
            <v>46375</v>
          </cell>
          <cell r="B3641">
            <v>263</v>
          </cell>
        </row>
        <row r="3642">
          <cell r="A3642">
            <v>46376</v>
          </cell>
          <cell r="B3642">
            <v>264</v>
          </cell>
        </row>
        <row r="3643">
          <cell r="A3643">
            <v>46377</v>
          </cell>
          <cell r="B3643">
            <v>265</v>
          </cell>
        </row>
        <row r="3644">
          <cell r="A3644">
            <v>46378</v>
          </cell>
          <cell r="B3644">
            <v>266</v>
          </cell>
        </row>
        <row r="3645">
          <cell r="A3645">
            <v>46379</v>
          </cell>
          <cell r="B3645">
            <v>267</v>
          </cell>
        </row>
        <row r="3646">
          <cell r="A3646">
            <v>46380</v>
          </cell>
          <cell r="B3646">
            <v>268</v>
          </cell>
        </row>
        <row r="3647">
          <cell r="A3647">
            <v>46381</v>
          </cell>
          <cell r="B3647">
            <v>269</v>
          </cell>
        </row>
        <row r="3648">
          <cell r="A3648">
            <v>46382</v>
          </cell>
          <cell r="B3648">
            <v>270</v>
          </cell>
        </row>
        <row r="3649">
          <cell r="A3649">
            <v>46383</v>
          </cell>
          <cell r="B3649">
            <v>271</v>
          </cell>
        </row>
        <row r="3650">
          <cell r="A3650">
            <v>46384</v>
          </cell>
          <cell r="B3650">
            <v>272</v>
          </cell>
        </row>
        <row r="3651">
          <cell r="A3651">
            <v>46385</v>
          </cell>
          <cell r="B3651">
            <v>273</v>
          </cell>
        </row>
        <row r="3652">
          <cell r="A3652">
            <v>46386</v>
          </cell>
          <cell r="B3652">
            <v>274</v>
          </cell>
        </row>
        <row r="3653">
          <cell r="A3653">
            <v>46387</v>
          </cell>
          <cell r="B3653">
            <v>275</v>
          </cell>
        </row>
        <row r="3654">
          <cell r="A3654">
            <v>46388</v>
          </cell>
          <cell r="B3654">
            <v>276</v>
          </cell>
        </row>
        <row r="3655">
          <cell r="A3655">
            <v>46389</v>
          </cell>
          <cell r="B3655">
            <v>277</v>
          </cell>
        </row>
        <row r="3656">
          <cell r="A3656">
            <v>46390</v>
          </cell>
          <cell r="B3656">
            <v>278</v>
          </cell>
        </row>
        <row r="3657">
          <cell r="A3657">
            <v>46391</v>
          </cell>
          <cell r="B3657">
            <v>279</v>
          </cell>
        </row>
        <row r="3658">
          <cell r="A3658">
            <v>46392</v>
          </cell>
          <cell r="B3658">
            <v>280</v>
          </cell>
        </row>
        <row r="3659">
          <cell r="A3659">
            <v>46393</v>
          </cell>
          <cell r="B3659">
            <v>281</v>
          </cell>
        </row>
        <row r="3660">
          <cell r="A3660">
            <v>46394</v>
          </cell>
          <cell r="B3660">
            <v>282</v>
          </cell>
        </row>
        <row r="3661">
          <cell r="A3661">
            <v>46395</v>
          </cell>
          <cell r="B3661">
            <v>283</v>
          </cell>
        </row>
        <row r="3662">
          <cell r="A3662">
            <v>46396</v>
          </cell>
          <cell r="B3662">
            <v>284</v>
          </cell>
        </row>
        <row r="3663">
          <cell r="A3663">
            <v>46397</v>
          </cell>
          <cell r="B3663">
            <v>285</v>
          </cell>
        </row>
        <row r="3664">
          <cell r="A3664">
            <v>46398</v>
          </cell>
          <cell r="B3664">
            <v>286</v>
          </cell>
        </row>
        <row r="3665">
          <cell r="A3665">
            <v>46399</v>
          </cell>
          <cell r="B3665">
            <v>287</v>
          </cell>
        </row>
        <row r="3666">
          <cell r="A3666">
            <v>46400</v>
          </cell>
          <cell r="B3666">
            <v>288</v>
          </cell>
        </row>
        <row r="3667">
          <cell r="A3667">
            <v>46401</v>
          </cell>
          <cell r="B3667">
            <v>289</v>
          </cell>
        </row>
        <row r="3668">
          <cell r="A3668">
            <v>46402</v>
          </cell>
          <cell r="B3668">
            <v>290</v>
          </cell>
        </row>
        <row r="3669">
          <cell r="A3669">
            <v>46403</v>
          </cell>
          <cell r="B3669">
            <v>291</v>
          </cell>
        </row>
        <row r="3670">
          <cell r="A3670">
            <v>46404</v>
          </cell>
          <cell r="B3670">
            <v>292</v>
          </cell>
        </row>
        <row r="3671">
          <cell r="A3671">
            <v>46405</v>
          </cell>
          <cell r="B3671">
            <v>293</v>
          </cell>
        </row>
        <row r="3672">
          <cell r="A3672">
            <v>46406</v>
          </cell>
          <cell r="B3672">
            <v>294</v>
          </cell>
        </row>
        <row r="3673">
          <cell r="A3673">
            <v>46407</v>
          </cell>
          <cell r="B3673">
            <v>295</v>
          </cell>
        </row>
        <row r="3674">
          <cell r="A3674">
            <v>46408</v>
          </cell>
          <cell r="B3674">
            <v>296</v>
          </cell>
        </row>
        <row r="3675">
          <cell r="A3675">
            <v>46409</v>
          </cell>
          <cell r="B3675">
            <v>297</v>
          </cell>
        </row>
        <row r="3676">
          <cell r="A3676">
            <v>46410</v>
          </cell>
          <cell r="B3676">
            <v>298</v>
          </cell>
        </row>
        <row r="3677">
          <cell r="A3677">
            <v>46411</v>
          </cell>
          <cell r="B3677">
            <v>299</v>
          </cell>
        </row>
        <row r="3678">
          <cell r="A3678">
            <v>46412</v>
          </cell>
          <cell r="B3678">
            <v>300</v>
          </cell>
        </row>
        <row r="3679">
          <cell r="A3679">
            <v>46413</v>
          </cell>
          <cell r="B3679">
            <v>301</v>
          </cell>
        </row>
        <row r="3680">
          <cell r="A3680">
            <v>46414</v>
          </cell>
          <cell r="B3680">
            <v>302</v>
          </cell>
        </row>
        <row r="3681">
          <cell r="A3681">
            <v>46415</v>
          </cell>
          <cell r="B3681">
            <v>303</v>
          </cell>
        </row>
        <row r="3682">
          <cell r="A3682">
            <v>46416</v>
          </cell>
          <cell r="B3682">
            <v>304</v>
          </cell>
        </row>
        <row r="3683">
          <cell r="A3683">
            <v>46417</v>
          </cell>
          <cell r="B3683">
            <v>305</v>
          </cell>
        </row>
        <row r="3684">
          <cell r="A3684">
            <v>46418</v>
          </cell>
          <cell r="B3684">
            <v>306</v>
          </cell>
        </row>
        <row r="3685">
          <cell r="A3685">
            <v>46419</v>
          </cell>
          <cell r="B3685">
            <v>307</v>
          </cell>
        </row>
        <row r="3686">
          <cell r="A3686">
            <v>46420</v>
          </cell>
          <cell r="B3686">
            <v>308</v>
          </cell>
        </row>
        <row r="3687">
          <cell r="A3687">
            <v>46421</v>
          </cell>
          <cell r="B3687">
            <v>309</v>
          </cell>
        </row>
        <row r="3688">
          <cell r="A3688">
            <v>46422</v>
          </cell>
          <cell r="B3688">
            <v>310</v>
          </cell>
        </row>
        <row r="3689">
          <cell r="A3689">
            <v>46423</v>
          </cell>
          <cell r="B3689">
            <v>311</v>
          </cell>
        </row>
        <row r="3690">
          <cell r="A3690">
            <v>46424</v>
          </cell>
          <cell r="B3690">
            <v>312</v>
          </cell>
        </row>
        <row r="3691">
          <cell r="A3691">
            <v>46425</v>
          </cell>
          <cell r="B3691">
            <v>313</v>
          </cell>
        </row>
        <row r="3692">
          <cell r="A3692">
            <v>46426</v>
          </cell>
          <cell r="B3692">
            <v>314</v>
          </cell>
        </row>
        <row r="3693">
          <cell r="A3693">
            <v>46427</v>
          </cell>
          <cell r="B3693">
            <v>315</v>
          </cell>
        </row>
        <row r="3694">
          <cell r="A3694">
            <v>46428</v>
          </cell>
          <cell r="B3694">
            <v>316</v>
          </cell>
        </row>
        <row r="3695">
          <cell r="A3695">
            <v>46429</v>
          </cell>
          <cell r="B3695">
            <v>317</v>
          </cell>
        </row>
        <row r="3696">
          <cell r="A3696">
            <v>46430</v>
          </cell>
          <cell r="B3696">
            <v>318</v>
          </cell>
        </row>
        <row r="3697">
          <cell r="A3697">
            <v>46431</v>
          </cell>
          <cell r="B3697">
            <v>319</v>
          </cell>
        </row>
        <row r="3698">
          <cell r="A3698">
            <v>46432</v>
          </cell>
          <cell r="B3698">
            <v>320</v>
          </cell>
        </row>
        <row r="3699">
          <cell r="A3699">
            <v>46433</v>
          </cell>
          <cell r="B3699">
            <v>321</v>
          </cell>
        </row>
        <row r="3700">
          <cell r="A3700">
            <v>46434</v>
          </cell>
          <cell r="B3700">
            <v>322</v>
          </cell>
        </row>
        <row r="3701">
          <cell r="A3701">
            <v>46435</v>
          </cell>
          <cell r="B3701">
            <v>323</v>
          </cell>
        </row>
        <row r="3702">
          <cell r="A3702">
            <v>46436</v>
          </cell>
          <cell r="B3702">
            <v>324</v>
          </cell>
        </row>
        <row r="3703">
          <cell r="A3703">
            <v>46437</v>
          </cell>
          <cell r="B3703">
            <v>325</v>
          </cell>
        </row>
        <row r="3704">
          <cell r="A3704">
            <v>46438</v>
          </cell>
          <cell r="B3704">
            <v>326</v>
          </cell>
        </row>
        <row r="3705">
          <cell r="A3705">
            <v>46439</v>
          </cell>
          <cell r="B3705">
            <v>327</v>
          </cell>
        </row>
        <row r="3706">
          <cell r="A3706">
            <v>46440</v>
          </cell>
          <cell r="B3706">
            <v>328</v>
          </cell>
        </row>
        <row r="3707">
          <cell r="A3707">
            <v>46441</v>
          </cell>
          <cell r="B3707">
            <v>329</v>
          </cell>
        </row>
        <row r="3708">
          <cell r="A3708">
            <v>46442</v>
          </cell>
          <cell r="B3708">
            <v>330</v>
          </cell>
        </row>
        <row r="3709">
          <cell r="A3709">
            <v>46443</v>
          </cell>
          <cell r="B3709">
            <v>331</v>
          </cell>
        </row>
        <row r="3710">
          <cell r="A3710">
            <v>46444</v>
          </cell>
          <cell r="B3710">
            <v>332</v>
          </cell>
        </row>
        <row r="3711">
          <cell r="A3711">
            <v>46445</v>
          </cell>
          <cell r="B3711">
            <v>333</v>
          </cell>
        </row>
        <row r="3712">
          <cell r="A3712">
            <v>46446</v>
          </cell>
          <cell r="B3712">
            <v>334</v>
          </cell>
        </row>
        <row r="3713">
          <cell r="A3713">
            <v>46447</v>
          </cell>
          <cell r="B3713">
            <v>335</v>
          </cell>
        </row>
        <row r="3714">
          <cell r="A3714">
            <v>46448</v>
          </cell>
          <cell r="B3714">
            <v>336</v>
          </cell>
        </row>
        <row r="3715">
          <cell r="A3715">
            <v>46449</v>
          </cell>
          <cell r="B3715">
            <v>337</v>
          </cell>
        </row>
        <row r="3716">
          <cell r="A3716">
            <v>46450</v>
          </cell>
          <cell r="B3716">
            <v>338</v>
          </cell>
        </row>
        <row r="3717">
          <cell r="A3717">
            <v>46451</v>
          </cell>
          <cell r="B3717">
            <v>339</v>
          </cell>
        </row>
        <row r="3718">
          <cell r="A3718">
            <v>46452</v>
          </cell>
          <cell r="B3718">
            <v>340</v>
          </cell>
        </row>
        <row r="3719">
          <cell r="A3719">
            <v>46453</v>
          </cell>
          <cell r="B3719">
            <v>341</v>
          </cell>
        </row>
        <row r="3720">
          <cell r="A3720">
            <v>46454</v>
          </cell>
          <cell r="B3720">
            <v>342</v>
          </cell>
        </row>
        <row r="3721">
          <cell r="A3721">
            <v>46455</v>
          </cell>
          <cell r="B3721">
            <v>343</v>
          </cell>
        </row>
        <row r="3722">
          <cell r="A3722">
            <v>46456</v>
          </cell>
          <cell r="B3722">
            <v>344</v>
          </cell>
        </row>
        <row r="3723">
          <cell r="A3723">
            <v>46457</v>
          </cell>
          <cell r="B3723">
            <v>345</v>
          </cell>
        </row>
        <row r="3724">
          <cell r="A3724">
            <v>46458</v>
          </cell>
          <cell r="B3724">
            <v>346</v>
          </cell>
        </row>
        <row r="3725">
          <cell r="A3725">
            <v>46459</v>
          </cell>
          <cell r="B3725">
            <v>347</v>
          </cell>
        </row>
        <row r="3726">
          <cell r="A3726">
            <v>46460</v>
          </cell>
          <cell r="B3726">
            <v>348</v>
          </cell>
        </row>
        <row r="3727">
          <cell r="A3727">
            <v>46461</v>
          </cell>
          <cell r="B3727">
            <v>349</v>
          </cell>
        </row>
        <row r="3728">
          <cell r="A3728">
            <v>46462</v>
          </cell>
          <cell r="B3728">
            <v>350</v>
          </cell>
        </row>
        <row r="3729">
          <cell r="A3729">
            <v>46463</v>
          </cell>
          <cell r="B3729">
            <v>351</v>
          </cell>
        </row>
        <row r="3730">
          <cell r="A3730">
            <v>46464</v>
          </cell>
          <cell r="B3730">
            <v>352</v>
          </cell>
        </row>
        <row r="3731">
          <cell r="A3731">
            <v>46465</v>
          </cell>
          <cell r="B3731">
            <v>353</v>
          </cell>
        </row>
        <row r="3732">
          <cell r="A3732">
            <v>46466</v>
          </cell>
          <cell r="B3732">
            <v>354</v>
          </cell>
        </row>
        <row r="3733">
          <cell r="A3733">
            <v>46467</v>
          </cell>
          <cell r="B3733">
            <v>355</v>
          </cell>
        </row>
        <row r="3734">
          <cell r="A3734">
            <v>46468</v>
          </cell>
          <cell r="B3734">
            <v>356</v>
          </cell>
        </row>
        <row r="3735">
          <cell r="A3735">
            <v>46469</v>
          </cell>
          <cell r="B3735">
            <v>357</v>
          </cell>
        </row>
        <row r="3736">
          <cell r="A3736">
            <v>46470</v>
          </cell>
          <cell r="B3736">
            <v>358</v>
          </cell>
        </row>
        <row r="3737">
          <cell r="A3737">
            <v>46471</v>
          </cell>
          <cell r="B3737">
            <v>359</v>
          </cell>
        </row>
        <row r="3738">
          <cell r="A3738">
            <v>46472</v>
          </cell>
          <cell r="B3738">
            <v>360</v>
          </cell>
        </row>
        <row r="3739">
          <cell r="A3739">
            <v>46473</v>
          </cell>
          <cell r="B3739">
            <v>361</v>
          </cell>
        </row>
        <row r="3740">
          <cell r="A3740">
            <v>46474</v>
          </cell>
          <cell r="B3740">
            <v>362</v>
          </cell>
        </row>
        <row r="3741">
          <cell r="A3741">
            <v>46475</v>
          </cell>
          <cell r="B3741">
            <v>363</v>
          </cell>
        </row>
        <row r="3742">
          <cell r="A3742">
            <v>46476</v>
          </cell>
          <cell r="B3742">
            <v>364</v>
          </cell>
        </row>
        <row r="3743">
          <cell r="A3743">
            <v>46477</v>
          </cell>
          <cell r="B3743">
            <v>365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4764"/>
  <sheetViews>
    <sheetView tabSelected="1" topLeftCell="D927" zoomScale="81" workbookViewId="0">
      <selection activeCell="G944" sqref="G944"/>
    </sheetView>
  </sheetViews>
  <sheetFormatPr baseColWidth="10" defaultColWidth="12.6640625" defaultRowHeight="15.75" customHeight="1" x14ac:dyDescent="0.15"/>
  <cols>
    <col min="5" max="5" width="21.1640625" customWidth="1"/>
    <col min="6" max="6" width="15.83203125" customWidth="1"/>
    <col min="8" max="8" width="18.83203125" customWidth="1"/>
    <col min="11" max="11" width="40.6640625" customWidth="1"/>
  </cols>
  <sheetData>
    <row r="1" spans="1:1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49</v>
      </c>
    </row>
    <row r="2" spans="1:11" ht="19" x14ac:dyDescent="0.2">
      <c r="A2" s="15">
        <v>44805</v>
      </c>
      <c r="B2" s="3">
        <v>1</v>
      </c>
      <c r="C2" s="4">
        <v>45499.349999997765</v>
      </c>
      <c r="D2" s="5">
        <v>5.39</v>
      </c>
      <c r="E2" s="23">
        <v>100</v>
      </c>
      <c r="F2" s="23">
        <v>97.777777777777771</v>
      </c>
      <c r="G2" s="16">
        <f>VLOOKUP(A2,'[1]DRDO Kolar Data'!$A:$E,5,0)*1000</f>
        <v>11100</v>
      </c>
      <c r="H2" s="24">
        <f>C2</f>
        <v>45499.349999997765</v>
      </c>
      <c r="I2" s="25">
        <f>(C2/(10*24*1000))*100</f>
        <v>18.958062499999066</v>
      </c>
      <c r="J2" s="25">
        <f>(H2/(24*B2*10*1000))*100</f>
        <v>18.958062499999066</v>
      </c>
      <c r="K2" s="17" t="s">
        <v>10</v>
      </c>
    </row>
    <row r="3" spans="1:11" ht="15.75" customHeight="1" x14ac:dyDescent="0.2">
      <c r="A3" s="15">
        <v>44806</v>
      </c>
      <c r="B3" s="3">
        <v>2</v>
      </c>
      <c r="C3" s="4">
        <v>52649.35000000149</v>
      </c>
      <c r="D3" s="6">
        <v>6</v>
      </c>
      <c r="E3" s="23">
        <v>100</v>
      </c>
      <c r="F3" s="23">
        <v>97.986111111111114</v>
      </c>
      <c r="G3" s="16">
        <f>VLOOKUP(A3,'[1]DRDO Kolar Data'!$A:$E,5,0)*1000</f>
        <v>11100</v>
      </c>
      <c r="H3" s="24">
        <f t="shared" ref="H3:H66" si="0">H2+C3</f>
        <v>98148.699999999255</v>
      </c>
      <c r="I3" s="25">
        <f t="shared" ref="I3:I66" si="1">(C3/(10*24*1000))*100</f>
        <v>21.937229166667287</v>
      </c>
      <c r="J3" s="25">
        <f t="shared" ref="J3:J66" si="2">(H3/(24*B3*10*1000))*100</f>
        <v>20.447645833333176</v>
      </c>
      <c r="K3" s="17" t="s">
        <v>11</v>
      </c>
    </row>
    <row r="4" spans="1:11" ht="15.75" customHeight="1" x14ac:dyDescent="0.2">
      <c r="A4" s="15">
        <v>44807</v>
      </c>
      <c r="B4" s="3">
        <v>3</v>
      </c>
      <c r="C4" s="4">
        <v>52650</v>
      </c>
      <c r="D4" s="6">
        <v>6</v>
      </c>
      <c r="E4" s="23">
        <v>100</v>
      </c>
      <c r="F4" s="23">
        <v>100</v>
      </c>
      <c r="G4" s="16">
        <f>VLOOKUP(A4,'[1]DRDO Kolar Data'!$A:$E,5,0)*1000</f>
        <v>11000</v>
      </c>
      <c r="H4" s="24">
        <f t="shared" si="0"/>
        <v>150798.69999999925</v>
      </c>
      <c r="I4" s="25">
        <f t="shared" si="1"/>
        <v>21.9375</v>
      </c>
      <c r="J4" s="25">
        <f t="shared" si="2"/>
        <v>20.944263888888788</v>
      </c>
      <c r="K4" s="17" t="s">
        <v>12</v>
      </c>
    </row>
    <row r="5" spans="1:11" ht="15.75" customHeight="1" x14ac:dyDescent="0.2">
      <c r="A5" s="15">
        <v>44808</v>
      </c>
      <c r="B5" s="3">
        <v>4</v>
      </c>
      <c r="C5" s="4">
        <v>42900.64999999851</v>
      </c>
      <c r="D5" s="7">
        <v>4.82</v>
      </c>
      <c r="E5" s="23">
        <v>100</v>
      </c>
      <c r="F5" s="23">
        <v>100</v>
      </c>
      <c r="G5" s="16">
        <f>VLOOKUP(A5,'[1]DRDO Kolar Data'!$A:$E,5,0)*1000</f>
        <v>11100</v>
      </c>
      <c r="H5" s="24">
        <f t="shared" si="0"/>
        <v>193699.34999999776</v>
      </c>
      <c r="I5" s="25">
        <f t="shared" si="1"/>
        <v>17.875270833332713</v>
      </c>
      <c r="J5" s="25">
        <f t="shared" si="2"/>
        <v>20.177015624999768</v>
      </c>
      <c r="K5" s="17" t="s">
        <v>12</v>
      </c>
    </row>
    <row r="6" spans="1:11" ht="15.75" customHeight="1" x14ac:dyDescent="0.2">
      <c r="A6" s="15">
        <v>44809</v>
      </c>
      <c r="B6" s="3">
        <v>5</v>
      </c>
      <c r="C6" s="4">
        <v>65650</v>
      </c>
      <c r="D6" s="7">
        <v>6.99</v>
      </c>
      <c r="E6" s="23">
        <v>100</v>
      </c>
      <c r="F6" s="23">
        <v>100</v>
      </c>
      <c r="G6" s="16">
        <f>VLOOKUP(A6,'[1]DRDO Kolar Data'!$A:$E,5,0)*1000</f>
        <v>10000</v>
      </c>
      <c r="H6" s="24">
        <f t="shared" si="0"/>
        <v>259349.34999999776</v>
      </c>
      <c r="I6" s="25">
        <f t="shared" si="1"/>
        <v>27.354166666666668</v>
      </c>
      <c r="J6" s="25">
        <f t="shared" si="2"/>
        <v>21.612445833333148</v>
      </c>
      <c r="K6" s="17" t="s">
        <v>13</v>
      </c>
    </row>
    <row r="7" spans="1:11" ht="15.75" customHeight="1" x14ac:dyDescent="0.2">
      <c r="A7" s="15">
        <v>44810</v>
      </c>
      <c r="B7" s="3">
        <v>6</v>
      </c>
      <c r="C7" s="4">
        <v>52650</v>
      </c>
      <c r="D7" s="7">
        <v>5.39</v>
      </c>
      <c r="E7" s="23">
        <v>100</v>
      </c>
      <c r="F7" s="23">
        <v>100</v>
      </c>
      <c r="G7" s="16">
        <f>VLOOKUP(A7,'[1]DRDO Kolar Data'!$A:$E,5,0)*1000</f>
        <v>10000</v>
      </c>
      <c r="H7" s="24">
        <f t="shared" si="0"/>
        <v>311999.34999999776</v>
      </c>
      <c r="I7" s="25">
        <f t="shared" si="1"/>
        <v>21.9375</v>
      </c>
      <c r="J7" s="25">
        <f t="shared" si="2"/>
        <v>21.666621527777622</v>
      </c>
      <c r="K7" s="17" t="s">
        <v>12</v>
      </c>
    </row>
    <row r="8" spans="1:11" ht="15.75" customHeight="1" x14ac:dyDescent="0.2">
      <c r="A8" s="15">
        <v>44811</v>
      </c>
      <c r="B8" s="3">
        <v>7</v>
      </c>
      <c r="C8" s="4">
        <v>29250.650000002235</v>
      </c>
      <c r="D8" s="7">
        <v>3.04</v>
      </c>
      <c r="E8" s="23">
        <v>100</v>
      </c>
      <c r="F8" s="23">
        <v>100</v>
      </c>
      <c r="G8" s="16">
        <f>VLOOKUP(A8,'[1]DRDO Kolar Data'!$A:$E,5,0)*1000</f>
        <v>10300</v>
      </c>
      <c r="H8" s="24">
        <f t="shared" si="0"/>
        <v>341250</v>
      </c>
      <c r="I8" s="25">
        <f t="shared" si="1"/>
        <v>12.187770833334264</v>
      </c>
      <c r="J8" s="25">
        <f t="shared" si="2"/>
        <v>20.3125</v>
      </c>
      <c r="K8" s="17" t="s">
        <v>14</v>
      </c>
    </row>
    <row r="9" spans="1:11" ht="15.75" customHeight="1" x14ac:dyDescent="0.2">
      <c r="A9" s="15">
        <v>44812</v>
      </c>
      <c r="B9" s="3">
        <v>8</v>
      </c>
      <c r="C9" s="4">
        <v>24698.699999999255</v>
      </c>
      <c r="D9" s="7">
        <v>2.64</v>
      </c>
      <c r="E9" s="23">
        <v>100</v>
      </c>
      <c r="F9" s="23">
        <v>100</v>
      </c>
      <c r="G9" s="16">
        <f>VLOOKUP(A9,'[1]DRDO Kolar Data'!$A:$E,5,0)*1000</f>
        <v>10200</v>
      </c>
      <c r="H9" s="24">
        <f t="shared" si="0"/>
        <v>365948.69999999925</v>
      </c>
      <c r="I9" s="25">
        <f t="shared" si="1"/>
        <v>10.29112499999969</v>
      </c>
      <c r="J9" s="25">
        <f t="shared" si="2"/>
        <v>19.05982812499996</v>
      </c>
      <c r="K9" s="17" t="s">
        <v>10</v>
      </c>
    </row>
    <row r="10" spans="1:11" ht="15.75" customHeight="1" x14ac:dyDescent="0.2">
      <c r="A10" s="15">
        <v>44813</v>
      </c>
      <c r="B10" s="3">
        <v>9</v>
      </c>
      <c r="C10" s="4">
        <v>47450.64999999851</v>
      </c>
      <c r="D10" s="7">
        <v>4.9400000000000004</v>
      </c>
      <c r="E10" s="23">
        <v>100</v>
      </c>
      <c r="F10" s="23">
        <v>100</v>
      </c>
      <c r="G10" s="16">
        <f>VLOOKUP(A10,'[1]DRDO Kolar Data'!$A:$E,5,0)*1000</f>
        <v>10600</v>
      </c>
      <c r="H10" s="24">
        <f t="shared" si="0"/>
        <v>413399.34999999776</v>
      </c>
      <c r="I10" s="25">
        <f t="shared" si="1"/>
        <v>19.771104166666046</v>
      </c>
      <c r="J10" s="25">
        <f t="shared" si="2"/>
        <v>19.138858796296194</v>
      </c>
      <c r="K10" s="17" t="s">
        <v>14</v>
      </c>
    </row>
    <row r="11" spans="1:11" ht="15.75" customHeight="1" x14ac:dyDescent="0.2">
      <c r="A11" s="15">
        <v>44814</v>
      </c>
      <c r="B11" s="3">
        <v>10</v>
      </c>
      <c r="C11" s="4">
        <v>43550.64999999851</v>
      </c>
      <c r="D11" s="7">
        <v>4.49</v>
      </c>
      <c r="E11" s="23">
        <v>100</v>
      </c>
      <c r="F11" s="23">
        <v>100</v>
      </c>
      <c r="G11" s="16">
        <f>VLOOKUP(A11,'[1]DRDO Kolar Data'!$A:$E,5,0)*1000</f>
        <v>10100</v>
      </c>
      <c r="H11" s="24">
        <f t="shared" si="0"/>
        <v>456949.99999999627</v>
      </c>
      <c r="I11" s="25">
        <f t="shared" si="1"/>
        <v>18.146104166666046</v>
      </c>
      <c r="J11" s="25">
        <f t="shared" si="2"/>
        <v>19.03958333333318</v>
      </c>
      <c r="K11" s="17" t="s">
        <v>14</v>
      </c>
    </row>
    <row r="12" spans="1:11" ht="15.75" customHeight="1" x14ac:dyDescent="0.2">
      <c r="A12" s="15">
        <v>44815</v>
      </c>
      <c r="B12" s="3">
        <v>11</v>
      </c>
      <c r="C12" s="4">
        <v>38350.000000003725</v>
      </c>
      <c r="D12" s="7">
        <v>4.0199999999999996</v>
      </c>
      <c r="E12" s="23">
        <v>100</v>
      </c>
      <c r="F12" s="23">
        <v>100</v>
      </c>
      <c r="G12" s="16">
        <f>VLOOKUP(A12,'[1]DRDO Kolar Data'!$A:$E,5,0)*1000</f>
        <v>10400</v>
      </c>
      <c r="H12" s="24">
        <f t="shared" si="0"/>
        <v>495300</v>
      </c>
      <c r="I12" s="25">
        <f t="shared" si="1"/>
        <v>15.979166666668219</v>
      </c>
      <c r="J12" s="25">
        <f t="shared" si="2"/>
        <v>18.761363636363637</v>
      </c>
      <c r="K12" s="17" t="s">
        <v>14</v>
      </c>
    </row>
    <row r="13" spans="1:11" ht="15.75" customHeight="1" x14ac:dyDescent="0.2">
      <c r="A13" s="15">
        <v>44816</v>
      </c>
      <c r="B13" s="3">
        <v>12</v>
      </c>
      <c r="C13" s="4">
        <v>49398.699999999255</v>
      </c>
      <c r="D13" s="7">
        <v>5.17</v>
      </c>
      <c r="E13" s="23">
        <v>100</v>
      </c>
      <c r="F13" s="23">
        <v>100</v>
      </c>
      <c r="G13" s="16">
        <f>VLOOKUP(A13,'[1]DRDO Kolar Data'!$A:$E,5,0)*1000</f>
        <v>10800</v>
      </c>
      <c r="H13" s="24">
        <f t="shared" si="0"/>
        <v>544698.69999999925</v>
      </c>
      <c r="I13" s="25">
        <f t="shared" si="1"/>
        <v>20.582791666666356</v>
      </c>
      <c r="J13" s="25">
        <f t="shared" si="2"/>
        <v>18.913149305555528</v>
      </c>
      <c r="K13" s="17" t="s">
        <v>14</v>
      </c>
    </row>
    <row r="14" spans="1:11" ht="15.75" customHeight="1" x14ac:dyDescent="0.2">
      <c r="A14" s="15">
        <v>44817</v>
      </c>
      <c r="B14" s="3">
        <v>13</v>
      </c>
      <c r="C14" s="4">
        <v>49400.64999999851</v>
      </c>
      <c r="D14" s="7">
        <v>5.0999999999999996</v>
      </c>
      <c r="E14" s="23">
        <v>100</v>
      </c>
      <c r="F14" s="23">
        <v>100</v>
      </c>
      <c r="G14" s="16">
        <f>VLOOKUP(A14,'[1]DRDO Kolar Data'!$A:$E,5,0)*1000</f>
        <v>10200</v>
      </c>
      <c r="H14" s="24">
        <f t="shared" si="0"/>
        <v>594099.34999999776</v>
      </c>
      <c r="I14" s="25">
        <f t="shared" si="1"/>
        <v>20.583604166666046</v>
      </c>
      <c r="J14" s="25">
        <f t="shared" si="2"/>
        <v>19.041645833333263</v>
      </c>
      <c r="K14" s="17" t="s">
        <v>14</v>
      </c>
    </row>
    <row r="15" spans="1:11" ht="15.75" customHeight="1" x14ac:dyDescent="0.2">
      <c r="A15" s="15">
        <v>44818</v>
      </c>
      <c r="B15" s="3">
        <v>14</v>
      </c>
      <c r="C15" s="4">
        <v>57850.64999999851</v>
      </c>
      <c r="D15" s="7">
        <v>5.99</v>
      </c>
      <c r="E15" s="23">
        <v>100</v>
      </c>
      <c r="F15" s="23">
        <v>100</v>
      </c>
      <c r="G15" s="16">
        <f>VLOOKUP(A15,'[1]DRDO Kolar Data'!$A:$E,5,0)*1000</f>
        <v>10100</v>
      </c>
      <c r="H15" s="24">
        <f t="shared" si="0"/>
        <v>651949.99999999627</v>
      </c>
      <c r="I15" s="25">
        <f t="shared" si="1"/>
        <v>24.104437499999378</v>
      </c>
      <c r="J15" s="25">
        <f t="shared" si="2"/>
        <v>19.4032738095237</v>
      </c>
      <c r="K15" s="17" t="s">
        <v>11</v>
      </c>
    </row>
    <row r="16" spans="1:11" ht="15.75" customHeight="1" x14ac:dyDescent="0.2">
      <c r="A16" s="15">
        <v>44819</v>
      </c>
      <c r="B16" s="3">
        <v>15</v>
      </c>
      <c r="C16" s="4">
        <v>33799.35000000149</v>
      </c>
      <c r="D16" s="7">
        <v>4.2699999999999996</v>
      </c>
      <c r="E16" s="23">
        <v>100</v>
      </c>
      <c r="F16" s="23">
        <v>94.097222222222214</v>
      </c>
      <c r="G16" s="16">
        <f>VLOOKUP(A16,'[1]DRDO Kolar Data'!$A:$E,5,0)*1000</f>
        <v>10000</v>
      </c>
      <c r="H16" s="24">
        <f t="shared" si="0"/>
        <v>685749.34999999776</v>
      </c>
      <c r="I16" s="25">
        <f t="shared" si="1"/>
        <v>14.08306250000062</v>
      </c>
      <c r="J16" s="25">
        <f t="shared" si="2"/>
        <v>19.048593055555493</v>
      </c>
      <c r="K16" s="17" t="s">
        <v>14</v>
      </c>
    </row>
    <row r="17" spans="1:11" ht="15.75" customHeight="1" x14ac:dyDescent="0.2">
      <c r="A17" s="15">
        <v>44820</v>
      </c>
      <c r="B17" s="3">
        <v>16</v>
      </c>
      <c r="C17" s="4">
        <v>55250.64999999851</v>
      </c>
      <c r="D17" s="7">
        <v>5.74</v>
      </c>
      <c r="E17" s="23">
        <v>100</v>
      </c>
      <c r="F17" s="23">
        <v>100</v>
      </c>
      <c r="G17" s="16">
        <f>VLOOKUP(A17,'[1]DRDO Kolar Data'!$A:$E,5,0)*1000</f>
        <v>10000</v>
      </c>
      <c r="H17" s="24">
        <f t="shared" si="0"/>
        <v>740999.99999999627</v>
      </c>
      <c r="I17" s="25">
        <f t="shared" si="1"/>
        <v>23.021104166666046</v>
      </c>
      <c r="J17" s="25">
        <f t="shared" si="2"/>
        <v>19.296874999999901</v>
      </c>
      <c r="K17" s="17" t="s">
        <v>11</v>
      </c>
    </row>
    <row r="18" spans="1:11" ht="15.75" customHeight="1" x14ac:dyDescent="0.2">
      <c r="A18" s="15">
        <v>44821</v>
      </c>
      <c r="B18" s="3">
        <v>17</v>
      </c>
      <c r="C18" s="4">
        <v>61748.70000000298</v>
      </c>
      <c r="D18" s="7">
        <v>5.74</v>
      </c>
      <c r="E18" s="23">
        <v>100</v>
      </c>
      <c r="F18" s="23">
        <v>100</v>
      </c>
      <c r="G18" s="16">
        <f>VLOOKUP(A18,'[1]DRDO Kolar Data'!$A:$E,5,0)*1000</f>
        <v>10000</v>
      </c>
      <c r="H18" s="24">
        <f t="shared" si="0"/>
        <v>802748.69999999925</v>
      </c>
      <c r="I18" s="25">
        <f t="shared" si="1"/>
        <v>25.728625000001244</v>
      </c>
      <c r="J18" s="25">
        <f t="shared" si="2"/>
        <v>19.675213235294102</v>
      </c>
      <c r="K18" s="17" t="s">
        <v>13</v>
      </c>
    </row>
    <row r="19" spans="1:11" ht="15.75" customHeight="1" x14ac:dyDescent="0.2">
      <c r="A19" s="15">
        <v>44822</v>
      </c>
      <c r="B19" s="3">
        <v>18</v>
      </c>
      <c r="C19" s="4">
        <v>57850.64999999851</v>
      </c>
      <c r="D19" s="7">
        <v>6.4</v>
      </c>
      <c r="E19" s="23">
        <v>100</v>
      </c>
      <c r="F19" s="23">
        <v>100</v>
      </c>
      <c r="G19" s="16">
        <f>VLOOKUP(A19,'[1]DRDO Kolar Data'!$A:$E,5,0)*1000</f>
        <v>10000</v>
      </c>
      <c r="H19" s="24">
        <f t="shared" si="0"/>
        <v>860599.34999999776</v>
      </c>
      <c r="I19" s="25">
        <f t="shared" si="1"/>
        <v>24.104437499999378</v>
      </c>
      <c r="J19" s="25">
        <f t="shared" si="2"/>
        <v>19.921281249999947</v>
      </c>
      <c r="K19" s="17" t="s">
        <v>13</v>
      </c>
    </row>
    <row r="20" spans="1:11" ht="15.75" customHeight="1" x14ac:dyDescent="0.2">
      <c r="A20" s="15">
        <v>44823</v>
      </c>
      <c r="B20" s="3">
        <v>19</v>
      </c>
      <c r="C20" s="4">
        <v>50051.30000000447</v>
      </c>
      <c r="D20" s="7">
        <v>5.19</v>
      </c>
      <c r="E20" s="23">
        <v>100</v>
      </c>
      <c r="F20" s="23">
        <v>100</v>
      </c>
      <c r="G20" s="16">
        <f>VLOOKUP(A20,'[1]DRDO Kolar Data'!$A:$E,5,0)*1000</f>
        <v>10900</v>
      </c>
      <c r="H20" s="24">
        <f t="shared" si="0"/>
        <v>910650.65000000224</v>
      </c>
      <c r="I20" s="25">
        <f t="shared" si="1"/>
        <v>20.854708333335196</v>
      </c>
      <c r="J20" s="25">
        <f t="shared" si="2"/>
        <v>19.970408991228119</v>
      </c>
      <c r="K20" s="17" t="s">
        <v>11</v>
      </c>
    </row>
    <row r="21" spans="1:11" ht="15.75" customHeight="1" x14ac:dyDescent="0.2">
      <c r="A21" s="15">
        <v>44824</v>
      </c>
      <c r="B21" s="3">
        <v>20</v>
      </c>
      <c r="C21" s="4">
        <v>65646.75</v>
      </c>
      <c r="D21" s="7">
        <v>6.7</v>
      </c>
      <c r="E21" s="23">
        <v>100</v>
      </c>
      <c r="F21" s="23">
        <v>100</v>
      </c>
      <c r="G21" s="16">
        <f>VLOOKUP(A21,'[1]DRDO Kolar Data'!$A:$E,5,0)*1000</f>
        <v>11100</v>
      </c>
      <c r="H21" s="24">
        <f t="shared" si="0"/>
        <v>976297.40000000224</v>
      </c>
      <c r="I21" s="25">
        <f t="shared" si="1"/>
        <v>27.352812500000002</v>
      </c>
      <c r="J21" s="25">
        <f t="shared" si="2"/>
        <v>20.339529166666715</v>
      </c>
      <c r="K21" s="17" t="s">
        <v>13</v>
      </c>
    </row>
    <row r="22" spans="1:11" ht="15.75" customHeight="1" x14ac:dyDescent="0.2">
      <c r="A22" s="15">
        <v>44825</v>
      </c>
      <c r="B22" s="3">
        <v>21</v>
      </c>
      <c r="C22" s="4">
        <v>58501.949999991804</v>
      </c>
      <c r="D22" s="7">
        <v>6.02</v>
      </c>
      <c r="E22" s="23">
        <v>100</v>
      </c>
      <c r="F22" s="23">
        <v>100</v>
      </c>
      <c r="G22" s="16">
        <f>VLOOKUP(A22,'[1]DRDO Kolar Data'!$A:$E,5,0)*1000</f>
        <v>10800</v>
      </c>
      <c r="H22" s="24">
        <f t="shared" si="0"/>
        <v>1034799.349999994</v>
      </c>
      <c r="I22" s="25">
        <f t="shared" si="1"/>
        <v>24.375812499996584</v>
      </c>
      <c r="J22" s="25">
        <f t="shared" si="2"/>
        <v>20.531733134920515</v>
      </c>
      <c r="K22" s="17" t="s">
        <v>13</v>
      </c>
    </row>
    <row r="23" spans="1:11" ht="15.75" customHeight="1" x14ac:dyDescent="0.2">
      <c r="A23" s="15">
        <v>44826</v>
      </c>
      <c r="B23" s="3">
        <v>22</v>
      </c>
      <c r="C23" s="4">
        <v>65650.650000002235</v>
      </c>
      <c r="D23" s="7">
        <v>6.75</v>
      </c>
      <c r="E23" s="23">
        <v>100</v>
      </c>
      <c r="F23" s="23">
        <v>100</v>
      </c>
      <c r="G23" s="16">
        <f>VLOOKUP(A23,'[1]DRDO Kolar Data'!$A:$E,5,0)*1000</f>
        <v>10900</v>
      </c>
      <c r="H23" s="24">
        <f t="shared" si="0"/>
        <v>1100449.9999999963</v>
      </c>
      <c r="I23" s="25">
        <f t="shared" si="1"/>
        <v>27.354437500000934</v>
      </c>
      <c r="J23" s="25">
        <f t="shared" si="2"/>
        <v>20.841856060605991</v>
      </c>
      <c r="K23" s="17" t="s">
        <v>13</v>
      </c>
    </row>
    <row r="24" spans="1:11" ht="15.75" customHeight="1" x14ac:dyDescent="0.2">
      <c r="A24" s="15">
        <v>44827</v>
      </c>
      <c r="B24" s="3">
        <v>23</v>
      </c>
      <c r="C24" s="4">
        <v>67598.70000000298</v>
      </c>
      <c r="D24" s="7">
        <v>6.69</v>
      </c>
      <c r="E24" s="23">
        <v>100</v>
      </c>
      <c r="F24" s="23">
        <v>100</v>
      </c>
      <c r="G24" s="16">
        <f>VLOOKUP(A24,'[1]DRDO Kolar Data'!$A:$E,5,0)*1000</f>
        <v>11100</v>
      </c>
      <c r="H24" s="24">
        <f t="shared" si="0"/>
        <v>1168048.6999999993</v>
      </c>
      <c r="I24" s="25">
        <f t="shared" si="1"/>
        <v>28.166125000001241</v>
      </c>
      <c r="J24" s="25">
        <f t="shared" si="2"/>
        <v>21.160302536231871</v>
      </c>
      <c r="K24" s="17" t="s">
        <v>13</v>
      </c>
    </row>
    <row r="25" spans="1:11" ht="15.75" customHeight="1" x14ac:dyDescent="0.2">
      <c r="A25" s="15">
        <v>44828</v>
      </c>
      <c r="B25" s="3">
        <v>24</v>
      </c>
      <c r="C25" s="4">
        <v>56549.34999999404</v>
      </c>
      <c r="D25" s="7">
        <v>5.88</v>
      </c>
      <c r="E25" s="23">
        <v>100</v>
      </c>
      <c r="F25" s="23">
        <v>100</v>
      </c>
      <c r="G25" s="16">
        <f>VLOOKUP(A25,'[1]DRDO Kolar Data'!$A:$E,5,0)*1000</f>
        <v>10900</v>
      </c>
      <c r="H25" s="24">
        <f t="shared" si="0"/>
        <v>1224598.0499999933</v>
      </c>
      <c r="I25" s="25">
        <f t="shared" si="1"/>
        <v>23.562229166664185</v>
      </c>
      <c r="J25" s="25">
        <f t="shared" si="2"/>
        <v>21.260382812499884</v>
      </c>
      <c r="K25" s="17" t="s">
        <v>13</v>
      </c>
    </row>
    <row r="26" spans="1:11" ht="15.75" customHeight="1" x14ac:dyDescent="0.2">
      <c r="A26" s="15">
        <v>44829</v>
      </c>
      <c r="B26" s="3">
        <v>25</v>
      </c>
      <c r="C26" s="4">
        <v>53951.30000000447</v>
      </c>
      <c r="D26" s="7">
        <v>5.56</v>
      </c>
      <c r="E26" s="23">
        <v>100</v>
      </c>
      <c r="F26" s="23">
        <v>100</v>
      </c>
      <c r="G26" s="16">
        <f>VLOOKUP(A26,'[1]DRDO Kolar Data'!$A:$E,5,0)*1000</f>
        <v>10800</v>
      </c>
      <c r="H26" s="24">
        <f t="shared" si="0"/>
        <v>1278549.3499999978</v>
      </c>
      <c r="I26" s="25">
        <f t="shared" si="1"/>
        <v>22.479708333335196</v>
      </c>
      <c r="J26" s="25">
        <f t="shared" si="2"/>
        <v>21.309155833333296</v>
      </c>
      <c r="K26" s="17" t="s">
        <v>11</v>
      </c>
    </row>
    <row r="27" spans="1:11" ht="15.75" customHeight="1" x14ac:dyDescent="0.2">
      <c r="A27" s="15">
        <v>44830</v>
      </c>
      <c r="B27" s="3">
        <v>26</v>
      </c>
      <c r="C27" s="4">
        <v>30551.95000000298</v>
      </c>
      <c r="D27" s="7">
        <v>3.18</v>
      </c>
      <c r="E27" s="23">
        <v>100</v>
      </c>
      <c r="F27" s="23">
        <v>100</v>
      </c>
      <c r="G27" s="16">
        <f>VLOOKUP(A27,'[1]DRDO Kolar Data'!$A:$E,5,0)*1000</f>
        <v>9800</v>
      </c>
      <c r="H27" s="24">
        <f t="shared" si="0"/>
        <v>1309101.3000000007</v>
      </c>
      <c r="I27" s="25">
        <f t="shared" si="1"/>
        <v>12.72997916666791</v>
      </c>
      <c r="J27" s="25">
        <f t="shared" si="2"/>
        <v>20.979187500000013</v>
      </c>
      <c r="K27" s="17" t="s">
        <v>14</v>
      </c>
    </row>
    <row r="28" spans="1:11" ht="15.75" customHeight="1" x14ac:dyDescent="0.2">
      <c r="A28" s="15">
        <v>44831</v>
      </c>
      <c r="B28" s="3">
        <v>27</v>
      </c>
      <c r="C28" s="4">
        <v>44199.34999999404</v>
      </c>
      <c r="D28" s="7">
        <v>4.38</v>
      </c>
      <c r="E28" s="23">
        <v>100</v>
      </c>
      <c r="F28" s="23">
        <v>100</v>
      </c>
      <c r="G28" s="16">
        <f>VLOOKUP(A28,'[1]DRDO Kolar Data'!$A:$E,5,0)*1000</f>
        <v>10100</v>
      </c>
      <c r="H28" s="24">
        <f t="shared" si="0"/>
        <v>1353300.6499999948</v>
      </c>
      <c r="I28" s="25">
        <f t="shared" si="1"/>
        <v>18.416395833330849</v>
      </c>
      <c r="J28" s="25">
        <f t="shared" si="2"/>
        <v>20.884269290123374</v>
      </c>
      <c r="K28" s="17" t="s">
        <v>14</v>
      </c>
    </row>
    <row r="29" spans="1:11" ht="15.75" customHeight="1" x14ac:dyDescent="0.2">
      <c r="A29" s="15">
        <v>44832</v>
      </c>
      <c r="B29" s="3">
        <v>28</v>
      </c>
      <c r="C29" s="4">
        <v>35098.70000000298</v>
      </c>
      <c r="D29" s="7">
        <v>3.48</v>
      </c>
      <c r="E29" s="23">
        <v>100</v>
      </c>
      <c r="F29" s="23">
        <v>100</v>
      </c>
      <c r="G29" s="16">
        <f>VLOOKUP(A29,'[1]DRDO Kolar Data'!$A:$E,5,0)*1000</f>
        <v>9700</v>
      </c>
      <c r="H29" s="24">
        <f t="shared" si="0"/>
        <v>1388399.3499999978</v>
      </c>
      <c r="I29" s="25">
        <f t="shared" si="1"/>
        <v>14.624458333334575</v>
      </c>
      <c r="J29" s="25">
        <f t="shared" si="2"/>
        <v>20.660704613095206</v>
      </c>
      <c r="K29" s="17" t="s">
        <v>14</v>
      </c>
    </row>
    <row r="30" spans="1:11" ht="15.75" customHeight="1" x14ac:dyDescent="0.2">
      <c r="A30" s="15">
        <v>44833</v>
      </c>
      <c r="B30" s="3">
        <v>29</v>
      </c>
      <c r="C30" s="4">
        <v>44200</v>
      </c>
      <c r="D30" s="7">
        <v>4.55</v>
      </c>
      <c r="E30" s="23">
        <v>100</v>
      </c>
      <c r="F30" s="23">
        <v>100</v>
      </c>
      <c r="G30" s="16">
        <f>VLOOKUP(A30,'[1]DRDO Kolar Data'!$A:$E,5,0)*1000</f>
        <v>10300</v>
      </c>
      <c r="H30" s="24">
        <f t="shared" si="0"/>
        <v>1432599.3499999978</v>
      </c>
      <c r="I30" s="25">
        <f t="shared" si="1"/>
        <v>18.416666666666668</v>
      </c>
      <c r="J30" s="25">
        <f t="shared" si="2"/>
        <v>20.58332399425284</v>
      </c>
      <c r="K30" s="17" t="s">
        <v>14</v>
      </c>
    </row>
    <row r="31" spans="1:11" ht="15.75" customHeight="1" x14ac:dyDescent="0.2">
      <c r="A31" s="15">
        <v>44834</v>
      </c>
      <c r="B31" s="3">
        <v>30</v>
      </c>
      <c r="C31" s="4">
        <v>29900.64999999851</v>
      </c>
      <c r="D31" s="7">
        <v>3.03</v>
      </c>
      <c r="E31" s="23">
        <v>100</v>
      </c>
      <c r="F31" s="23">
        <v>100</v>
      </c>
      <c r="G31" s="16">
        <f>VLOOKUP(A31,'[1]DRDO Kolar Data'!$A:$E,5,0)*1000</f>
        <v>9700</v>
      </c>
      <c r="H31" s="24">
        <f t="shared" si="0"/>
        <v>1462499.9999999963</v>
      </c>
      <c r="I31" s="25">
        <f t="shared" si="1"/>
        <v>12.458604166666046</v>
      </c>
      <c r="J31" s="25">
        <f t="shared" si="2"/>
        <v>20.312499999999947</v>
      </c>
      <c r="K31" s="17" t="s">
        <v>14</v>
      </c>
    </row>
    <row r="32" spans="1:11" ht="15.75" customHeight="1" x14ac:dyDescent="0.2">
      <c r="A32" s="15">
        <v>44835</v>
      </c>
      <c r="B32" s="3">
        <v>31</v>
      </c>
      <c r="C32" s="4">
        <v>33150.65000000596</v>
      </c>
      <c r="D32" s="5">
        <v>3.65</v>
      </c>
      <c r="E32" s="23">
        <v>100</v>
      </c>
      <c r="F32" s="23">
        <v>100</v>
      </c>
      <c r="G32" s="16">
        <f>VLOOKUP(A32,'[1]DRDO Kolar Data'!$A:$E,5,0)*1000</f>
        <v>7400</v>
      </c>
      <c r="H32" s="24">
        <f t="shared" si="0"/>
        <v>1495650.6500000022</v>
      </c>
      <c r="I32" s="25">
        <f t="shared" si="1"/>
        <v>13.812770833335817</v>
      </c>
      <c r="J32" s="25">
        <f t="shared" si="2"/>
        <v>20.10283131720433</v>
      </c>
      <c r="K32" s="17" t="s">
        <v>15</v>
      </c>
    </row>
    <row r="33" spans="1:11" ht="15.75" customHeight="1" x14ac:dyDescent="0.2">
      <c r="A33" s="15">
        <v>44836</v>
      </c>
      <c r="B33" s="3">
        <v>32</v>
      </c>
      <c r="C33" s="4">
        <v>39649.34999999404</v>
      </c>
      <c r="D33" s="5">
        <v>4.08</v>
      </c>
      <c r="E33" s="23">
        <v>100</v>
      </c>
      <c r="F33" s="23">
        <v>100</v>
      </c>
      <c r="G33" s="16">
        <f>VLOOKUP(A33,'[1]DRDO Kolar Data'!$A:$E,5,0)*1000</f>
        <v>8600</v>
      </c>
      <c r="H33" s="24">
        <f t="shared" si="0"/>
        <v>1535299.9999999963</v>
      </c>
      <c r="I33" s="25">
        <f t="shared" si="1"/>
        <v>16.520562499997517</v>
      </c>
      <c r="J33" s="25">
        <f t="shared" si="2"/>
        <v>19.990885416666618</v>
      </c>
      <c r="K33" s="17" t="s">
        <v>15</v>
      </c>
    </row>
    <row r="34" spans="1:11" ht="15.75" customHeight="1" x14ac:dyDescent="0.2">
      <c r="A34" s="15">
        <v>44837</v>
      </c>
      <c r="B34" s="3">
        <v>33</v>
      </c>
      <c r="C34" s="4">
        <v>35749.35000000149</v>
      </c>
      <c r="D34" s="5">
        <v>3.7</v>
      </c>
      <c r="E34" s="23">
        <v>100</v>
      </c>
      <c r="F34" s="23">
        <v>100</v>
      </c>
      <c r="G34" s="16">
        <f>VLOOKUP(A34,'[1]DRDO Kolar Data'!$A:$E,5,0)*1000</f>
        <v>9200</v>
      </c>
      <c r="H34" s="24">
        <f t="shared" si="0"/>
        <v>1571049.3499999978</v>
      </c>
      <c r="I34" s="25">
        <f t="shared" si="1"/>
        <v>14.89556250000062</v>
      </c>
      <c r="J34" s="25">
        <f t="shared" si="2"/>
        <v>19.836481691919165</v>
      </c>
      <c r="K34" s="17" t="s">
        <v>15</v>
      </c>
    </row>
    <row r="35" spans="1:11" ht="15.75" customHeight="1" x14ac:dyDescent="0.2">
      <c r="A35" s="15">
        <v>44838</v>
      </c>
      <c r="B35" s="3">
        <v>34</v>
      </c>
      <c r="C35" s="4">
        <v>42251.29999999702</v>
      </c>
      <c r="D35" s="5">
        <v>4.38</v>
      </c>
      <c r="E35" s="23">
        <v>100</v>
      </c>
      <c r="F35" s="23">
        <v>100</v>
      </c>
      <c r="G35" s="16">
        <f>VLOOKUP(A35,'[1]DRDO Kolar Data'!$A:$E,5,0)*1000</f>
        <v>9600</v>
      </c>
      <c r="H35" s="24">
        <f t="shared" si="0"/>
        <v>1613300.6499999948</v>
      </c>
      <c r="I35" s="25">
        <f t="shared" si="1"/>
        <v>17.604708333332091</v>
      </c>
      <c r="J35" s="25">
        <f t="shared" si="2"/>
        <v>19.770841299019544</v>
      </c>
      <c r="K35" s="17" t="s">
        <v>15</v>
      </c>
    </row>
    <row r="36" spans="1:11" ht="15.75" customHeight="1" x14ac:dyDescent="0.2">
      <c r="A36" s="15">
        <v>44839</v>
      </c>
      <c r="B36" s="3">
        <v>35</v>
      </c>
      <c r="C36" s="4">
        <v>33797.39999999851</v>
      </c>
      <c r="D36" s="5">
        <v>3.45</v>
      </c>
      <c r="E36" s="23">
        <v>100</v>
      </c>
      <c r="F36" s="23">
        <v>100</v>
      </c>
      <c r="G36" s="16">
        <f>VLOOKUP(A36,'[1]DRDO Kolar Data'!$A:$E,5,0)*1000</f>
        <v>7400</v>
      </c>
      <c r="H36" s="24">
        <f t="shared" si="0"/>
        <v>1647098.0499999933</v>
      </c>
      <c r="I36" s="25">
        <f t="shared" si="1"/>
        <v>14.08224999999938</v>
      </c>
      <c r="J36" s="25">
        <f t="shared" si="2"/>
        <v>19.608310119047541</v>
      </c>
      <c r="K36" s="17" t="s">
        <v>15</v>
      </c>
    </row>
    <row r="37" spans="1:11" ht="15.75" customHeight="1" x14ac:dyDescent="0.2">
      <c r="A37" s="15">
        <v>44840</v>
      </c>
      <c r="B37" s="3">
        <v>36</v>
      </c>
      <c r="C37" s="4">
        <v>29250.65000000596</v>
      </c>
      <c r="D37" s="5">
        <v>2.99</v>
      </c>
      <c r="E37" s="23">
        <v>100</v>
      </c>
      <c r="F37" s="23">
        <v>100</v>
      </c>
      <c r="G37" s="16">
        <f>VLOOKUP(A37,'[1]DRDO Kolar Data'!$A:$E,5,0)*1000</f>
        <v>8300</v>
      </c>
      <c r="H37" s="24">
        <f t="shared" si="0"/>
        <v>1676348.6999999993</v>
      </c>
      <c r="I37" s="25">
        <f t="shared" si="1"/>
        <v>12.187770833335817</v>
      </c>
      <c r="J37" s="25">
        <f t="shared" si="2"/>
        <v>19.402184027777768</v>
      </c>
      <c r="K37" s="17" t="s">
        <v>15</v>
      </c>
    </row>
    <row r="38" spans="1:11" ht="15.75" customHeight="1" x14ac:dyDescent="0.2">
      <c r="A38" s="15">
        <v>44841</v>
      </c>
      <c r="B38" s="3">
        <v>37</v>
      </c>
      <c r="C38" s="4">
        <v>48099.35000000149</v>
      </c>
      <c r="D38" s="5">
        <v>4.8600000000000003</v>
      </c>
      <c r="E38" s="23">
        <v>100</v>
      </c>
      <c r="F38" s="23">
        <v>100</v>
      </c>
      <c r="G38" s="16">
        <f>VLOOKUP(A38,'[1]DRDO Kolar Data'!$A:$E,5,0)*1000</f>
        <v>9800</v>
      </c>
      <c r="H38" s="24">
        <f t="shared" si="0"/>
        <v>1724448.0500000007</v>
      </c>
      <c r="I38" s="25">
        <f t="shared" si="1"/>
        <v>20.041395833333954</v>
      </c>
      <c r="J38" s="25">
        <f t="shared" si="2"/>
        <v>19.419460022522532</v>
      </c>
      <c r="K38" s="17" t="s">
        <v>11</v>
      </c>
    </row>
    <row r="39" spans="1:11" ht="15.75" customHeight="1" x14ac:dyDescent="0.2">
      <c r="A39" s="15">
        <v>44842</v>
      </c>
      <c r="B39" s="3">
        <v>38</v>
      </c>
      <c r="C39" s="4">
        <v>52649.999999992549</v>
      </c>
      <c r="D39" s="7">
        <v>5.4</v>
      </c>
      <c r="E39" s="23">
        <v>100</v>
      </c>
      <c r="F39" s="23">
        <v>100</v>
      </c>
      <c r="G39" s="16">
        <f>VLOOKUP(A39,'[1]DRDO Kolar Data'!$A:$E,5,0)*1000</f>
        <v>10200</v>
      </c>
      <c r="H39" s="24">
        <f t="shared" si="0"/>
        <v>1777098.0499999933</v>
      </c>
      <c r="I39" s="25">
        <f t="shared" si="1"/>
        <v>21.937499999996895</v>
      </c>
      <c r="J39" s="25">
        <f t="shared" si="2"/>
        <v>19.485724232456068</v>
      </c>
      <c r="K39" s="17" t="s">
        <v>11</v>
      </c>
    </row>
    <row r="40" spans="1:11" ht="15.75" customHeight="1" x14ac:dyDescent="0.2">
      <c r="A40" s="15">
        <v>44843</v>
      </c>
      <c r="B40" s="3">
        <v>39</v>
      </c>
      <c r="C40" s="4">
        <v>21451.30000000447</v>
      </c>
      <c r="D40" s="7">
        <v>2.27</v>
      </c>
      <c r="E40" s="23">
        <v>100</v>
      </c>
      <c r="F40" s="23">
        <v>100</v>
      </c>
      <c r="G40" s="16">
        <f>VLOOKUP(A40,'[1]DRDO Kolar Data'!$A:$E,5,0)*1000</f>
        <v>8100</v>
      </c>
      <c r="H40" s="24">
        <f t="shared" si="0"/>
        <v>1798549.3499999978</v>
      </c>
      <c r="I40" s="25">
        <f t="shared" si="1"/>
        <v>8.9380416666685303</v>
      </c>
      <c r="J40" s="25">
        <f t="shared" si="2"/>
        <v>19.21527083333331</v>
      </c>
      <c r="K40" s="17" t="s">
        <v>11</v>
      </c>
    </row>
    <row r="41" spans="1:11" ht="15.75" customHeight="1" x14ac:dyDescent="0.2">
      <c r="A41" s="15">
        <v>44844</v>
      </c>
      <c r="B41" s="3">
        <v>40</v>
      </c>
      <c r="C41" s="4">
        <v>38351.30000000447</v>
      </c>
      <c r="D41" s="7">
        <v>3.94</v>
      </c>
      <c r="E41" s="23">
        <v>100</v>
      </c>
      <c r="F41" s="23">
        <v>100</v>
      </c>
      <c r="G41" s="16">
        <f>VLOOKUP(A41,'[1]DRDO Kolar Data'!$A:$E,5,0)*1000</f>
        <v>8600</v>
      </c>
      <c r="H41" s="24">
        <f t="shared" si="0"/>
        <v>1836900.6500000022</v>
      </c>
      <c r="I41" s="25">
        <f t="shared" si="1"/>
        <v>15.979708333335196</v>
      </c>
      <c r="J41" s="25">
        <f t="shared" si="2"/>
        <v>19.134381770833357</v>
      </c>
      <c r="K41" s="17" t="s">
        <v>10</v>
      </c>
    </row>
    <row r="42" spans="1:11" ht="15.75" customHeight="1" x14ac:dyDescent="0.2">
      <c r="A42" s="15">
        <v>44845</v>
      </c>
      <c r="B42" s="3">
        <v>41</v>
      </c>
      <c r="C42" s="4">
        <v>36399.999999992549</v>
      </c>
      <c r="D42" s="7">
        <v>3.8</v>
      </c>
      <c r="E42" s="23">
        <v>100</v>
      </c>
      <c r="F42" s="23">
        <v>100</v>
      </c>
      <c r="G42" s="16">
        <f>VLOOKUP(A42,'[1]DRDO Kolar Data'!$A:$E,5,0)*1000</f>
        <v>8200</v>
      </c>
      <c r="H42" s="24">
        <f t="shared" si="0"/>
        <v>1873300.6499999948</v>
      </c>
      <c r="I42" s="25">
        <f t="shared" si="1"/>
        <v>15.166666666663561</v>
      </c>
      <c r="J42" s="25">
        <f t="shared" si="2"/>
        <v>19.037608231707264</v>
      </c>
      <c r="K42" s="17" t="s">
        <v>10</v>
      </c>
    </row>
    <row r="43" spans="1:11" ht="15.75" customHeight="1" x14ac:dyDescent="0.2">
      <c r="A43" s="15">
        <v>44846</v>
      </c>
      <c r="B43" s="3">
        <v>42</v>
      </c>
      <c r="C43" s="4">
        <v>29246.750000007451</v>
      </c>
      <c r="D43" s="7">
        <v>3.04</v>
      </c>
      <c r="E43" s="23">
        <v>100</v>
      </c>
      <c r="F43" s="23">
        <v>100</v>
      </c>
      <c r="G43" s="16">
        <f>VLOOKUP(A43,'[1]DRDO Kolar Data'!$A:$E,5,0)*1000</f>
        <v>7800</v>
      </c>
      <c r="H43" s="24">
        <f t="shared" si="0"/>
        <v>1902547.4000000022</v>
      </c>
      <c r="I43" s="25">
        <f t="shared" si="1"/>
        <v>12.186145833336438</v>
      </c>
      <c r="J43" s="25">
        <f t="shared" si="2"/>
        <v>18.874478174603198</v>
      </c>
      <c r="K43" s="17" t="s">
        <v>10</v>
      </c>
    </row>
    <row r="44" spans="1:11" ht="15.75" customHeight="1" x14ac:dyDescent="0.2">
      <c r="A44" s="15">
        <v>44847</v>
      </c>
      <c r="B44" s="3">
        <v>43</v>
      </c>
      <c r="C44" s="4">
        <v>53300.649999991059</v>
      </c>
      <c r="D44" s="7">
        <v>5.46</v>
      </c>
      <c r="E44" s="23">
        <v>100</v>
      </c>
      <c r="F44" s="23">
        <v>100</v>
      </c>
      <c r="G44" s="16">
        <f>VLOOKUP(A44,'[1]DRDO Kolar Data'!$A:$E,5,0)*1000</f>
        <v>8000</v>
      </c>
      <c r="H44" s="24">
        <f t="shared" si="0"/>
        <v>1955848.0499999933</v>
      </c>
      <c r="I44" s="25">
        <f t="shared" si="1"/>
        <v>22.208604166662941</v>
      </c>
      <c r="J44" s="25">
        <f t="shared" si="2"/>
        <v>18.952015988372029</v>
      </c>
      <c r="K44" s="17" t="s">
        <v>16</v>
      </c>
    </row>
    <row r="45" spans="1:11" ht="15.75" customHeight="1" x14ac:dyDescent="0.2">
      <c r="A45" s="15">
        <v>44848</v>
      </c>
      <c r="B45" s="3">
        <v>44</v>
      </c>
      <c r="C45" s="4">
        <v>49400.65000000596</v>
      </c>
      <c r="D45" s="7">
        <v>5.15</v>
      </c>
      <c r="E45" s="23">
        <v>100</v>
      </c>
      <c r="F45" s="23">
        <v>100</v>
      </c>
      <c r="G45" s="16">
        <f>VLOOKUP(A45,'[1]DRDO Kolar Data'!$A:$E,5,0)*1000</f>
        <v>8100</v>
      </c>
      <c r="H45" s="24">
        <f t="shared" si="0"/>
        <v>2005248.6999999993</v>
      </c>
      <c r="I45" s="25">
        <f t="shared" si="1"/>
        <v>20.583604166669151</v>
      </c>
      <c r="J45" s="25">
        <f t="shared" si="2"/>
        <v>18.989097537878781</v>
      </c>
      <c r="K45" s="17" t="s">
        <v>17</v>
      </c>
    </row>
    <row r="46" spans="1:11" ht="15.75" customHeight="1" x14ac:dyDescent="0.2">
      <c r="A46" s="15">
        <v>44849</v>
      </c>
      <c r="B46" s="3">
        <v>45</v>
      </c>
      <c r="C46" s="4">
        <v>56550</v>
      </c>
      <c r="D46" s="7">
        <v>5.78</v>
      </c>
      <c r="E46" s="23">
        <v>100</v>
      </c>
      <c r="F46" s="23">
        <v>61.944444444444443</v>
      </c>
      <c r="G46" s="16">
        <f>VLOOKUP(A46,'[1]DRDO Kolar Data'!$A:$E,5,0)*1000</f>
        <v>9200</v>
      </c>
      <c r="H46" s="24">
        <f t="shared" si="0"/>
        <v>2061798.6999999993</v>
      </c>
      <c r="I46" s="25">
        <f t="shared" si="1"/>
        <v>23.5625</v>
      </c>
      <c r="J46" s="25">
        <f t="shared" si="2"/>
        <v>19.090728703703697</v>
      </c>
      <c r="K46" s="17" t="s">
        <v>16</v>
      </c>
    </row>
    <row r="47" spans="1:11" ht="15.75" customHeight="1" x14ac:dyDescent="0.2">
      <c r="A47" s="15">
        <v>44850</v>
      </c>
      <c r="B47" s="3">
        <v>46</v>
      </c>
      <c r="C47" s="4">
        <v>13000.64999999851</v>
      </c>
      <c r="D47" s="7">
        <v>2.06</v>
      </c>
      <c r="E47" s="23">
        <v>100</v>
      </c>
      <c r="F47" s="23">
        <v>100</v>
      </c>
      <c r="G47" s="16">
        <f>VLOOKUP(A47,'[1]DRDO Kolar Data'!$A:$E,5,0)*1000</f>
        <v>7000</v>
      </c>
      <c r="H47" s="24">
        <f t="shared" si="0"/>
        <v>2074799.3499999978</v>
      </c>
      <c r="I47" s="25">
        <f t="shared" si="1"/>
        <v>5.4169374999993787</v>
      </c>
      <c r="J47" s="25">
        <f t="shared" si="2"/>
        <v>18.793472373188386</v>
      </c>
      <c r="K47" s="17" t="s">
        <v>18</v>
      </c>
    </row>
    <row r="48" spans="1:11" ht="15.75" customHeight="1" x14ac:dyDescent="0.2">
      <c r="A48" s="15">
        <v>44851</v>
      </c>
      <c r="B48" s="3">
        <v>47</v>
      </c>
      <c r="C48" s="4">
        <v>50051.29999999702</v>
      </c>
      <c r="D48" s="7">
        <v>5.08</v>
      </c>
      <c r="E48" s="23">
        <v>100</v>
      </c>
      <c r="F48" s="23">
        <v>100</v>
      </c>
      <c r="G48" s="16">
        <f>VLOOKUP(A48,'[1]DRDO Kolar Data'!$A:$E,5,0)*1000</f>
        <v>9100</v>
      </c>
      <c r="H48" s="24">
        <f t="shared" si="0"/>
        <v>2124850.6499999948</v>
      </c>
      <c r="I48" s="25">
        <f t="shared" si="1"/>
        <v>20.854708333332091</v>
      </c>
      <c r="J48" s="25">
        <f t="shared" si="2"/>
        <v>18.837328457446763</v>
      </c>
      <c r="K48" s="17" t="s">
        <v>16</v>
      </c>
    </row>
    <row r="49" spans="1:11" ht="15.75" customHeight="1" x14ac:dyDescent="0.2">
      <c r="A49" s="15">
        <v>44852</v>
      </c>
      <c r="B49" s="3">
        <v>48</v>
      </c>
      <c r="C49" s="4">
        <v>45500.65000000596</v>
      </c>
      <c r="D49" s="7">
        <v>4.58</v>
      </c>
      <c r="E49" s="23">
        <v>100</v>
      </c>
      <c r="F49" s="23">
        <v>100</v>
      </c>
      <c r="G49" s="16">
        <f>VLOOKUP(A49,'[1]DRDO Kolar Data'!$A:$E,5,0)*1000</f>
        <v>8700</v>
      </c>
      <c r="H49" s="24">
        <f t="shared" si="0"/>
        <v>2170351.3000000007</v>
      </c>
      <c r="I49" s="25">
        <f t="shared" si="1"/>
        <v>18.958604166669151</v>
      </c>
      <c r="J49" s="25">
        <f t="shared" si="2"/>
        <v>18.839855034722227</v>
      </c>
      <c r="K49" s="17" t="s">
        <v>11</v>
      </c>
    </row>
    <row r="50" spans="1:11" ht="15.75" customHeight="1" x14ac:dyDescent="0.2">
      <c r="A50" s="15">
        <v>44853</v>
      </c>
      <c r="B50" s="3">
        <v>49</v>
      </c>
      <c r="C50" s="4">
        <v>49396.75</v>
      </c>
      <c r="D50" s="7">
        <v>5.01</v>
      </c>
      <c r="E50" s="23">
        <v>100</v>
      </c>
      <c r="F50" s="23">
        <v>100</v>
      </c>
      <c r="G50" s="16">
        <f>VLOOKUP(A50,'[1]DRDO Kolar Data'!$A:$E,5,0)*1000</f>
        <v>9200</v>
      </c>
      <c r="H50" s="24">
        <f t="shared" si="0"/>
        <v>2219748.0500000007</v>
      </c>
      <c r="I50" s="25">
        <f t="shared" si="1"/>
        <v>20.581979166666667</v>
      </c>
      <c r="J50" s="25">
        <f t="shared" si="2"/>
        <v>18.875408588435381</v>
      </c>
      <c r="K50" s="17" t="s">
        <v>11</v>
      </c>
    </row>
    <row r="51" spans="1:11" ht="15.75" customHeight="1" x14ac:dyDescent="0.2">
      <c r="A51" s="15">
        <v>44854</v>
      </c>
      <c r="B51" s="3">
        <v>50</v>
      </c>
      <c r="C51" s="4">
        <v>50701.94999999553</v>
      </c>
      <c r="D51" s="7">
        <v>5.17</v>
      </c>
      <c r="E51" s="23">
        <v>100</v>
      </c>
      <c r="F51" s="23">
        <v>100</v>
      </c>
      <c r="G51" s="16">
        <f>VLOOKUP(A51,'[1]DRDO Kolar Data'!$A:$E,5,0)*1000</f>
        <v>8200</v>
      </c>
      <c r="H51" s="24">
        <f t="shared" si="0"/>
        <v>2270449.9999999963</v>
      </c>
      <c r="I51" s="25">
        <f t="shared" si="1"/>
        <v>21.125812499998137</v>
      </c>
      <c r="J51" s="25">
        <f t="shared" si="2"/>
        <v>18.920416666666636</v>
      </c>
      <c r="K51" s="17" t="s">
        <v>11</v>
      </c>
    </row>
    <row r="52" spans="1:11" ht="15.75" customHeight="1" x14ac:dyDescent="0.2">
      <c r="A52" s="15">
        <v>44855</v>
      </c>
      <c r="B52" s="3">
        <v>51</v>
      </c>
      <c r="C52" s="4">
        <v>43548.70000000298</v>
      </c>
      <c r="D52" s="7">
        <v>4.51</v>
      </c>
      <c r="E52" s="23">
        <v>100</v>
      </c>
      <c r="F52" s="23">
        <v>100</v>
      </c>
      <c r="G52" s="16">
        <f>VLOOKUP(A52,'[1]DRDO Kolar Data'!$A:$E,5,0)*1000</f>
        <v>8300</v>
      </c>
      <c r="H52" s="24">
        <f t="shared" si="0"/>
        <v>2313998.6999999993</v>
      </c>
      <c r="I52" s="25">
        <f t="shared" si="1"/>
        <v>18.145291666667909</v>
      </c>
      <c r="J52" s="25">
        <f t="shared" si="2"/>
        <v>18.905218137254895</v>
      </c>
      <c r="K52" s="17" t="s">
        <v>11</v>
      </c>
    </row>
    <row r="53" spans="1:11" ht="15.75" customHeight="1" x14ac:dyDescent="0.2">
      <c r="A53" s="15">
        <v>44856</v>
      </c>
      <c r="B53" s="3">
        <v>52</v>
      </c>
      <c r="C53" s="4">
        <v>54601.94999999553</v>
      </c>
      <c r="D53" s="7">
        <v>5.58</v>
      </c>
      <c r="E53" s="23">
        <v>100</v>
      </c>
      <c r="F53" s="23">
        <v>100</v>
      </c>
      <c r="G53" s="16">
        <f>VLOOKUP(A53,'[1]DRDO Kolar Data'!$A:$E,5,0)*1000</f>
        <v>9000</v>
      </c>
      <c r="H53" s="24">
        <f t="shared" si="0"/>
        <v>2368600.6499999948</v>
      </c>
      <c r="I53" s="25">
        <f t="shared" si="1"/>
        <v>22.750812499998137</v>
      </c>
      <c r="J53" s="25">
        <f t="shared" si="2"/>
        <v>18.97917187499996</v>
      </c>
      <c r="K53" s="17" t="s">
        <v>11</v>
      </c>
    </row>
    <row r="54" spans="1:11" ht="15.75" customHeight="1" x14ac:dyDescent="0.2">
      <c r="A54" s="15">
        <v>44857</v>
      </c>
      <c r="B54" s="3">
        <v>53</v>
      </c>
      <c r="C54" s="4">
        <v>57846.75</v>
      </c>
      <c r="D54" s="7">
        <v>5.96</v>
      </c>
      <c r="E54" s="23">
        <v>100</v>
      </c>
      <c r="F54" s="23">
        <v>100</v>
      </c>
      <c r="G54" s="16">
        <f>VLOOKUP(A54,'[1]DRDO Kolar Data'!$A:$E,5,0)*1000</f>
        <v>11000</v>
      </c>
      <c r="H54" s="24">
        <f t="shared" si="0"/>
        <v>2426447.3999999948</v>
      </c>
      <c r="I54" s="25">
        <f t="shared" si="1"/>
        <v>24.102812500000002</v>
      </c>
      <c r="J54" s="25">
        <f t="shared" si="2"/>
        <v>19.075844339622599</v>
      </c>
      <c r="K54" s="17" t="s">
        <v>19</v>
      </c>
    </row>
    <row r="55" spans="1:11" ht="15.75" customHeight="1" x14ac:dyDescent="0.2">
      <c r="A55" s="15">
        <v>44858</v>
      </c>
      <c r="B55" s="3">
        <v>54</v>
      </c>
      <c r="C55" s="4">
        <v>63056.5</v>
      </c>
      <c r="D55" s="7">
        <v>6.43</v>
      </c>
      <c r="E55" s="23">
        <v>100</v>
      </c>
      <c r="F55" s="23">
        <v>100</v>
      </c>
      <c r="G55" s="16">
        <f>VLOOKUP(A55,'[1]DRDO Kolar Data'!$A:$E,5,0)*1000</f>
        <v>11000</v>
      </c>
      <c r="H55" s="24">
        <f t="shared" si="0"/>
        <v>2489503.8999999948</v>
      </c>
      <c r="I55" s="25">
        <f t="shared" si="1"/>
        <v>26.273541666666667</v>
      </c>
      <c r="J55" s="25">
        <f t="shared" si="2"/>
        <v>19.209135030864157</v>
      </c>
      <c r="K55" s="17" t="s">
        <v>19</v>
      </c>
    </row>
    <row r="56" spans="1:11" ht="15.75" customHeight="1" x14ac:dyDescent="0.2">
      <c r="A56" s="15">
        <v>44859</v>
      </c>
      <c r="B56" s="3">
        <v>55</v>
      </c>
      <c r="C56" s="4">
        <v>61100</v>
      </c>
      <c r="D56" s="7">
        <v>6.35</v>
      </c>
      <c r="E56" s="23">
        <v>100</v>
      </c>
      <c r="F56" s="23">
        <v>100</v>
      </c>
      <c r="G56" s="16">
        <f>VLOOKUP(A56,'[1]DRDO Kolar Data'!$A:$E,5,0)*1000</f>
        <v>10800</v>
      </c>
      <c r="H56" s="24">
        <f t="shared" si="0"/>
        <v>2550603.8999999948</v>
      </c>
      <c r="I56" s="25">
        <f t="shared" si="1"/>
        <v>25.458333333333332</v>
      </c>
      <c r="J56" s="25">
        <f t="shared" si="2"/>
        <v>19.32275681818178</v>
      </c>
      <c r="K56" s="17" t="s">
        <v>19</v>
      </c>
    </row>
    <row r="57" spans="1:11" ht="15.75" customHeight="1" x14ac:dyDescent="0.2">
      <c r="A57" s="15">
        <v>44860</v>
      </c>
      <c r="B57" s="3">
        <v>56</v>
      </c>
      <c r="C57" s="4">
        <v>59148.70000000298</v>
      </c>
      <c r="D57" s="7">
        <v>6.07</v>
      </c>
      <c r="E57" s="23">
        <v>100</v>
      </c>
      <c r="F57" s="23">
        <v>100</v>
      </c>
      <c r="G57" s="16">
        <f>VLOOKUP(A57,'[1]DRDO Kolar Data'!$A:$E,5,0)*1000</f>
        <v>10600</v>
      </c>
      <c r="H57" s="24">
        <f t="shared" si="0"/>
        <v>2609752.5999999978</v>
      </c>
      <c r="I57" s="25">
        <f t="shared" si="1"/>
        <v>24.645291666667909</v>
      </c>
      <c r="J57" s="25">
        <f t="shared" si="2"/>
        <v>19.417802083333317</v>
      </c>
      <c r="K57" s="17" t="s">
        <v>19</v>
      </c>
    </row>
    <row r="58" spans="1:11" ht="15.75" customHeight="1" x14ac:dyDescent="0.2">
      <c r="A58" s="15">
        <v>44861</v>
      </c>
      <c r="B58" s="3">
        <v>57</v>
      </c>
      <c r="C58" s="4">
        <v>57201.29999999702</v>
      </c>
      <c r="D58" s="7">
        <v>5.86</v>
      </c>
      <c r="E58" s="23">
        <v>100</v>
      </c>
      <c r="F58" s="23">
        <v>100</v>
      </c>
      <c r="G58" s="16">
        <f>VLOOKUP(A58,'[1]DRDO Kolar Data'!$A:$E,5,0)*1000</f>
        <v>10900</v>
      </c>
      <c r="H58" s="24">
        <f t="shared" si="0"/>
        <v>2666953.8999999948</v>
      </c>
      <c r="I58" s="25">
        <f t="shared" si="1"/>
        <v>23.833874999998759</v>
      </c>
      <c r="J58" s="25">
        <f t="shared" si="2"/>
        <v>19.495277046783588</v>
      </c>
      <c r="K58" s="17" t="s">
        <v>19</v>
      </c>
    </row>
    <row r="59" spans="1:11" ht="15.75" customHeight="1" x14ac:dyDescent="0.2">
      <c r="A59" s="15">
        <v>44862</v>
      </c>
      <c r="B59" s="3">
        <v>58</v>
      </c>
      <c r="C59" s="4">
        <v>35101.29999999702</v>
      </c>
      <c r="D59" s="7">
        <v>3.6</v>
      </c>
      <c r="E59" s="23">
        <v>100</v>
      </c>
      <c r="F59" s="23">
        <v>100</v>
      </c>
      <c r="G59" s="16">
        <f>VLOOKUP(A59,'[1]DRDO Kolar Data'!$A:$E,5,0)*1000</f>
        <v>9800</v>
      </c>
      <c r="H59" s="24">
        <f t="shared" si="0"/>
        <v>2702055.1999999918</v>
      </c>
      <c r="I59" s="25">
        <f t="shared" si="1"/>
        <v>14.625541666665425</v>
      </c>
      <c r="J59" s="25">
        <f t="shared" si="2"/>
        <v>19.411316091953964</v>
      </c>
      <c r="K59" s="17" t="s">
        <v>15</v>
      </c>
    </row>
    <row r="60" spans="1:11" ht="15.75" customHeight="1" x14ac:dyDescent="0.2">
      <c r="A60" s="15">
        <v>44863</v>
      </c>
      <c r="B60" s="3">
        <v>59</v>
      </c>
      <c r="C60" s="4">
        <v>26648.70000000298</v>
      </c>
      <c r="D60" s="7">
        <v>2.9</v>
      </c>
      <c r="E60" s="23">
        <v>100</v>
      </c>
      <c r="F60" s="23">
        <v>100</v>
      </c>
      <c r="G60" s="16">
        <f>VLOOKUP(A60,'[1]DRDO Kolar Data'!$A:$E,5,0)*1000</f>
        <v>7300</v>
      </c>
      <c r="H60" s="24">
        <f t="shared" si="0"/>
        <v>2728703.8999999948</v>
      </c>
      <c r="I60" s="25">
        <f t="shared" si="1"/>
        <v>11.103625000001243</v>
      </c>
      <c r="J60" s="25">
        <f t="shared" si="2"/>
        <v>19.270507768361544</v>
      </c>
      <c r="K60" s="17" t="s">
        <v>10</v>
      </c>
    </row>
    <row r="61" spans="1:11" ht="15.75" customHeight="1" x14ac:dyDescent="0.2">
      <c r="A61" s="15">
        <v>44864</v>
      </c>
      <c r="B61" s="3">
        <v>60</v>
      </c>
      <c r="C61" s="4">
        <v>29901.29999999702</v>
      </c>
      <c r="D61" s="7">
        <v>3.17</v>
      </c>
      <c r="E61" s="23">
        <v>100</v>
      </c>
      <c r="F61" s="23">
        <v>100</v>
      </c>
      <c r="G61" s="16">
        <f>VLOOKUP(A61,'[1]DRDO Kolar Data'!$A:$E,5,0)*1000</f>
        <v>8200</v>
      </c>
      <c r="H61" s="24">
        <f t="shared" si="0"/>
        <v>2758605.1999999918</v>
      </c>
      <c r="I61" s="25">
        <f t="shared" si="1"/>
        <v>12.458874999998757</v>
      </c>
      <c r="J61" s="25">
        <f t="shared" si="2"/>
        <v>19.156980555555496</v>
      </c>
      <c r="K61" s="17" t="s">
        <v>10</v>
      </c>
    </row>
    <row r="62" spans="1:11" ht="15.75" customHeight="1" x14ac:dyDescent="0.2">
      <c r="A62" s="15">
        <v>44865</v>
      </c>
      <c r="B62" s="3">
        <v>61</v>
      </c>
      <c r="C62" s="4">
        <v>58497.39999999851</v>
      </c>
      <c r="D62" s="7">
        <v>6</v>
      </c>
      <c r="E62" s="23">
        <v>100</v>
      </c>
      <c r="F62" s="23">
        <v>0</v>
      </c>
      <c r="G62" s="16">
        <f>VLOOKUP(A62,'[1]DRDO Kolar Data'!$A:$E,5,0)*1000</f>
        <v>10100</v>
      </c>
      <c r="H62" s="24">
        <f t="shared" si="0"/>
        <v>2817102.5999999903</v>
      </c>
      <c r="I62" s="25">
        <f t="shared" si="1"/>
        <v>24.373916666666045</v>
      </c>
      <c r="J62" s="25">
        <f t="shared" si="2"/>
        <v>19.242504098360588</v>
      </c>
      <c r="K62" s="17" t="s">
        <v>19</v>
      </c>
    </row>
    <row r="63" spans="1:11" ht="15.75" customHeight="1" x14ac:dyDescent="0.2">
      <c r="A63" s="15">
        <v>44866</v>
      </c>
      <c r="B63" s="3">
        <v>62</v>
      </c>
      <c r="C63" s="4">
        <v>12350.000000007451</v>
      </c>
      <c r="D63" s="5">
        <v>1.88</v>
      </c>
      <c r="E63" s="23">
        <v>100</v>
      </c>
      <c r="F63" s="23">
        <v>93.958333333333329</v>
      </c>
      <c r="G63" s="16">
        <f>VLOOKUP(A63,'[1]DRDO Kolar Data'!$A:$E,5,0)*1000</f>
        <v>3200</v>
      </c>
      <c r="H63" s="24">
        <f t="shared" si="0"/>
        <v>2829452.5999999978</v>
      </c>
      <c r="I63" s="25">
        <f t="shared" si="1"/>
        <v>5.1458333333364381</v>
      </c>
      <c r="J63" s="25">
        <f t="shared" si="2"/>
        <v>19.015138440860198</v>
      </c>
      <c r="K63" s="17" t="s">
        <v>20</v>
      </c>
    </row>
    <row r="64" spans="1:11" ht="15.75" customHeight="1" x14ac:dyDescent="0.2">
      <c r="A64" s="15">
        <v>44867</v>
      </c>
      <c r="B64" s="3">
        <v>63</v>
      </c>
      <c r="C64" s="4">
        <v>20149.999999992549</v>
      </c>
      <c r="D64" s="5">
        <v>2.13</v>
      </c>
      <c r="E64" s="23">
        <v>100</v>
      </c>
      <c r="F64" s="23">
        <v>100</v>
      </c>
      <c r="G64" s="16">
        <f>VLOOKUP(A64,'[1]DRDO Kolar Data'!$A:$E,5,0)*1000</f>
        <v>4400</v>
      </c>
      <c r="H64" s="24">
        <f t="shared" si="0"/>
        <v>2849602.5999999903</v>
      </c>
      <c r="I64" s="25">
        <f t="shared" si="1"/>
        <v>8.3958333333302289</v>
      </c>
      <c r="J64" s="25">
        <f t="shared" si="2"/>
        <v>18.846578042327977</v>
      </c>
      <c r="K64" s="17" t="s">
        <v>20</v>
      </c>
    </row>
    <row r="65" spans="1:11" ht="15.75" customHeight="1" x14ac:dyDescent="0.2">
      <c r="A65" s="15">
        <v>44868</v>
      </c>
      <c r="B65" s="3">
        <v>64</v>
      </c>
      <c r="C65" s="4">
        <v>35753.250000007451</v>
      </c>
      <c r="D65" s="5">
        <v>3.71</v>
      </c>
      <c r="E65" s="23">
        <v>100</v>
      </c>
      <c r="F65" s="23">
        <v>100</v>
      </c>
      <c r="G65" s="16">
        <f>VLOOKUP(A65,'[1]DRDO Kolar Data'!$A:$E,5,0)*1000</f>
        <v>5200</v>
      </c>
      <c r="H65" s="24">
        <f t="shared" si="0"/>
        <v>2885355.8499999978</v>
      </c>
      <c r="I65" s="25">
        <f t="shared" si="1"/>
        <v>14.897187500003103</v>
      </c>
      <c r="J65" s="25">
        <f t="shared" si="2"/>
        <v>18.784868815104154</v>
      </c>
      <c r="K65" s="17" t="s">
        <v>10</v>
      </c>
    </row>
    <row r="66" spans="1:11" ht="15.75" customHeight="1" x14ac:dyDescent="0.2">
      <c r="A66" s="15">
        <v>44869</v>
      </c>
      <c r="B66" s="3">
        <v>65</v>
      </c>
      <c r="C66" s="4">
        <v>36399.999999992549</v>
      </c>
      <c r="D66" s="5">
        <v>3.78</v>
      </c>
      <c r="E66" s="23">
        <v>100</v>
      </c>
      <c r="F66" s="23">
        <v>100</v>
      </c>
      <c r="G66" s="16">
        <f>VLOOKUP(A66,'[1]DRDO Kolar Data'!$A:$E,5,0)*1000</f>
        <v>6200</v>
      </c>
      <c r="H66" s="24">
        <f t="shared" si="0"/>
        <v>2921755.8499999903</v>
      </c>
      <c r="I66" s="25">
        <f t="shared" si="1"/>
        <v>15.166666666663561</v>
      </c>
      <c r="J66" s="25">
        <f t="shared" si="2"/>
        <v>18.729204166666605</v>
      </c>
      <c r="K66" s="17" t="s">
        <v>10</v>
      </c>
    </row>
    <row r="67" spans="1:11" ht="15.75" customHeight="1" x14ac:dyDescent="0.2">
      <c r="A67" s="15">
        <v>44870</v>
      </c>
      <c r="B67" s="3">
        <v>66</v>
      </c>
      <c r="C67" s="4">
        <v>53946.750000007451</v>
      </c>
      <c r="D67" s="5">
        <v>5.45</v>
      </c>
      <c r="E67" s="23">
        <v>100</v>
      </c>
      <c r="F67" s="23">
        <v>100</v>
      </c>
      <c r="G67" s="16">
        <f>VLOOKUP(A67,'[1]DRDO Kolar Data'!$A:$E,5,0)*1000</f>
        <v>9200</v>
      </c>
      <c r="H67" s="24">
        <f t="shared" ref="H67:H130" si="3">H66+C67</f>
        <v>2975702.5999999978</v>
      </c>
      <c r="I67" s="25">
        <f t="shared" ref="I67:I130" si="4">(C67/(10*24*1000))*100</f>
        <v>22.477812500003104</v>
      </c>
      <c r="J67" s="25">
        <f t="shared" ref="J67:J130" si="5">(H67/(24*B67*10*1000))*100</f>
        <v>18.786001262626247</v>
      </c>
      <c r="K67" s="17" t="s">
        <v>12</v>
      </c>
    </row>
    <row r="68" spans="1:11" ht="15.75" customHeight="1" x14ac:dyDescent="0.2">
      <c r="A68" s="15">
        <v>44871</v>
      </c>
      <c r="B68" s="3">
        <v>67</v>
      </c>
      <c r="C68" s="4">
        <v>31202.60000000149</v>
      </c>
      <c r="D68" s="5">
        <v>2.82</v>
      </c>
      <c r="E68" s="23">
        <v>100</v>
      </c>
      <c r="F68" s="23">
        <v>100</v>
      </c>
      <c r="G68" s="16">
        <f>VLOOKUP(A68,'[1]DRDO Kolar Data'!$A:$E,5,0)*1000</f>
        <v>6100</v>
      </c>
      <c r="H68" s="24">
        <f t="shared" si="3"/>
        <v>3006905.1999999993</v>
      </c>
      <c r="I68" s="25">
        <f t="shared" si="4"/>
        <v>13.001083333333954</v>
      </c>
      <c r="J68" s="25">
        <f t="shared" si="5"/>
        <v>18.699659203980097</v>
      </c>
      <c r="K68" s="17" t="s">
        <v>10</v>
      </c>
    </row>
    <row r="69" spans="1:11" ht="15.75" customHeight="1" x14ac:dyDescent="0.2">
      <c r="A69" s="15">
        <v>44872</v>
      </c>
      <c r="B69" s="3">
        <v>68</v>
      </c>
      <c r="C69" s="4">
        <v>64349.34999999404</v>
      </c>
      <c r="D69" s="5">
        <v>6.35</v>
      </c>
      <c r="E69" s="23">
        <v>100</v>
      </c>
      <c r="F69" s="23">
        <v>100</v>
      </c>
      <c r="G69" s="16">
        <f>VLOOKUP(A69,'[1]DRDO Kolar Data'!$A:$E,5,0)*1000</f>
        <v>10800</v>
      </c>
      <c r="H69" s="24">
        <f t="shared" si="3"/>
        <v>3071254.5499999933</v>
      </c>
      <c r="I69" s="25">
        <f t="shared" si="4"/>
        <v>26.812229166664181</v>
      </c>
      <c r="J69" s="25">
        <f t="shared" si="5"/>
        <v>18.818961703431331</v>
      </c>
      <c r="K69" s="17" t="s">
        <v>13</v>
      </c>
    </row>
    <row r="70" spans="1:11" ht="15.75" customHeight="1" x14ac:dyDescent="0.2">
      <c r="A70" s="15">
        <v>44873</v>
      </c>
      <c r="B70" s="3">
        <v>69</v>
      </c>
      <c r="C70" s="4">
        <v>61751.29999999702</v>
      </c>
      <c r="D70" s="7">
        <v>6.73</v>
      </c>
      <c r="E70" s="23">
        <v>100</v>
      </c>
      <c r="F70" s="23">
        <v>100</v>
      </c>
      <c r="G70" s="16">
        <f>VLOOKUP(A70,'[1]DRDO Kolar Data'!$A:$E,5,0)*1000</f>
        <v>10600</v>
      </c>
      <c r="H70" s="24">
        <f t="shared" si="3"/>
        <v>3133005.8499999903</v>
      </c>
      <c r="I70" s="25">
        <f t="shared" si="4"/>
        <v>25.729708333332091</v>
      </c>
      <c r="J70" s="25">
        <f t="shared" si="5"/>
        <v>18.919117451690763</v>
      </c>
      <c r="K70" s="17" t="s">
        <v>13</v>
      </c>
    </row>
    <row r="71" spans="1:11" ht="15.75" customHeight="1" x14ac:dyDescent="0.2">
      <c r="A71" s="15">
        <v>44874</v>
      </c>
      <c r="B71" s="3">
        <v>70</v>
      </c>
      <c r="C71" s="4">
        <v>55898.70000000298</v>
      </c>
      <c r="D71" s="7">
        <v>5.72</v>
      </c>
      <c r="E71" s="23">
        <v>100</v>
      </c>
      <c r="F71" s="23">
        <v>100</v>
      </c>
      <c r="G71" s="16">
        <f>VLOOKUP(A71,'[1]DRDO Kolar Data'!$A:$E,5,0)*1000</f>
        <v>10300</v>
      </c>
      <c r="H71" s="24">
        <f t="shared" si="3"/>
        <v>3188904.5499999933</v>
      </c>
      <c r="I71" s="25">
        <f t="shared" si="4"/>
        <v>23.291125000001241</v>
      </c>
      <c r="J71" s="25">
        <f t="shared" si="5"/>
        <v>18.981574702380914</v>
      </c>
      <c r="K71" s="17" t="s">
        <v>13</v>
      </c>
    </row>
    <row r="72" spans="1:11" ht="15.75" customHeight="1" x14ac:dyDescent="0.2">
      <c r="A72" s="15">
        <v>44875</v>
      </c>
      <c r="B72" s="3">
        <v>71</v>
      </c>
      <c r="C72" s="4">
        <v>46798.05000000447</v>
      </c>
      <c r="D72" s="7">
        <v>4.59</v>
      </c>
      <c r="E72" s="23">
        <v>100</v>
      </c>
      <c r="F72" s="23">
        <v>100</v>
      </c>
      <c r="G72" s="16">
        <f>VLOOKUP(A72,'[1]DRDO Kolar Data'!$A:$E,5,0)*1000</f>
        <v>9600</v>
      </c>
      <c r="H72" s="24">
        <f t="shared" si="3"/>
        <v>3235702.5999999978</v>
      </c>
      <c r="I72" s="25">
        <f t="shared" si="4"/>
        <v>19.499187500001863</v>
      </c>
      <c r="J72" s="25">
        <f t="shared" si="5"/>
        <v>18.988865023474165</v>
      </c>
      <c r="K72" s="17" t="s">
        <v>11</v>
      </c>
    </row>
    <row r="73" spans="1:11" ht="15.75" customHeight="1" x14ac:dyDescent="0.2">
      <c r="A73" s="15">
        <v>44876</v>
      </c>
      <c r="B73" s="3">
        <v>72</v>
      </c>
      <c r="C73" s="4">
        <v>11699.999999992549</v>
      </c>
      <c r="D73" s="7">
        <v>1.2</v>
      </c>
      <c r="E73" s="23">
        <v>100</v>
      </c>
      <c r="F73" s="23">
        <v>100</v>
      </c>
      <c r="G73" s="16">
        <f>VLOOKUP(A73,'[1]DRDO Kolar Data'!$A:$E,5,0)*1000</f>
        <v>5100</v>
      </c>
      <c r="H73" s="24">
        <f t="shared" si="3"/>
        <v>3247402.5999999903</v>
      </c>
      <c r="I73" s="25">
        <f t="shared" si="4"/>
        <v>4.8749999999968958</v>
      </c>
      <c r="J73" s="25">
        <f t="shared" si="5"/>
        <v>18.792839120370314</v>
      </c>
      <c r="K73" s="17" t="s">
        <v>20</v>
      </c>
    </row>
    <row r="74" spans="1:11" ht="15.75" customHeight="1" x14ac:dyDescent="0.2">
      <c r="A74" s="15">
        <v>44877</v>
      </c>
      <c r="B74" s="3">
        <v>73</v>
      </c>
      <c r="C74" s="4">
        <v>7799.3500000014901</v>
      </c>
      <c r="D74" s="7">
        <v>0.89</v>
      </c>
      <c r="E74" s="23">
        <v>100</v>
      </c>
      <c r="F74" s="23">
        <v>100</v>
      </c>
      <c r="G74" s="16">
        <f>VLOOKUP(A74,'[1]DRDO Kolar Data'!$A:$E,5,0)*1000</f>
        <v>3100</v>
      </c>
      <c r="H74" s="24">
        <f t="shared" si="3"/>
        <v>3255201.9499999918</v>
      </c>
      <c r="I74" s="25">
        <f t="shared" si="4"/>
        <v>3.2497291666672874</v>
      </c>
      <c r="J74" s="25">
        <f t="shared" si="5"/>
        <v>18.579919805936026</v>
      </c>
      <c r="K74" s="17" t="s">
        <v>20</v>
      </c>
    </row>
    <row r="75" spans="1:11" ht="15.75" customHeight="1" x14ac:dyDescent="0.2">
      <c r="A75" s="15">
        <v>44878</v>
      </c>
      <c r="B75" s="3">
        <v>74</v>
      </c>
      <c r="C75" s="4">
        <v>20153.90000000596</v>
      </c>
      <c r="D75" s="7">
        <v>2.33</v>
      </c>
      <c r="E75" s="23">
        <v>100</v>
      </c>
      <c r="F75" s="23">
        <v>100</v>
      </c>
      <c r="G75" s="16">
        <f>VLOOKUP(A75,'[1]DRDO Kolar Data'!$A:$E,5,0)*1000</f>
        <v>4500</v>
      </c>
      <c r="H75" s="24">
        <f t="shared" si="3"/>
        <v>3275355.8499999978</v>
      </c>
      <c r="I75" s="25">
        <f t="shared" si="4"/>
        <v>8.3974583333358161</v>
      </c>
      <c r="J75" s="25">
        <f t="shared" si="5"/>
        <v>18.442318975225213</v>
      </c>
      <c r="K75" s="17" t="s">
        <v>20</v>
      </c>
    </row>
    <row r="76" spans="1:11" ht="15.75" customHeight="1" x14ac:dyDescent="0.2">
      <c r="A76" s="15">
        <v>44879</v>
      </c>
      <c r="B76" s="3">
        <v>75</v>
      </c>
      <c r="C76" s="4">
        <v>39648.69999999553</v>
      </c>
      <c r="D76" s="7">
        <v>4.68</v>
      </c>
      <c r="E76" s="23">
        <v>100</v>
      </c>
      <c r="F76" s="23">
        <v>100</v>
      </c>
      <c r="G76" s="16">
        <f>VLOOKUP(A76,'[1]DRDO Kolar Data'!$A:$E,5,0)*1000</f>
        <v>7800</v>
      </c>
      <c r="H76" s="24">
        <f t="shared" si="3"/>
        <v>3315004.5499999933</v>
      </c>
      <c r="I76" s="25">
        <f t="shared" si="4"/>
        <v>16.520291666664804</v>
      </c>
      <c r="J76" s="25">
        <f t="shared" si="5"/>
        <v>18.416691944444409</v>
      </c>
      <c r="K76" s="17" t="s">
        <v>10</v>
      </c>
    </row>
    <row r="77" spans="1:11" ht="15.75" customHeight="1" x14ac:dyDescent="0.2">
      <c r="A77" s="15">
        <v>44880</v>
      </c>
      <c r="B77" s="3">
        <v>76</v>
      </c>
      <c r="C77" s="4">
        <v>41601.30000000447</v>
      </c>
      <c r="D77" s="7">
        <v>4.3600000000000003</v>
      </c>
      <c r="E77" s="23">
        <v>100</v>
      </c>
      <c r="F77" s="23">
        <v>100</v>
      </c>
      <c r="G77" s="16">
        <f>VLOOKUP(A77,'[1]DRDO Kolar Data'!$A:$E,5,0)*1000</f>
        <v>10300</v>
      </c>
      <c r="H77" s="24">
        <f t="shared" si="3"/>
        <v>3356605.8499999978</v>
      </c>
      <c r="I77" s="25">
        <f t="shared" si="4"/>
        <v>17.333875000001864</v>
      </c>
      <c r="J77" s="25">
        <f t="shared" si="5"/>
        <v>18.402444353070162</v>
      </c>
      <c r="K77" s="17" t="s">
        <v>11</v>
      </c>
    </row>
    <row r="78" spans="1:11" ht="15.75" customHeight="1" x14ac:dyDescent="0.2">
      <c r="A78" s="15">
        <v>44881</v>
      </c>
      <c r="B78" s="3">
        <v>77</v>
      </c>
      <c r="C78" s="4">
        <v>53296.749999992549</v>
      </c>
      <c r="D78" s="7">
        <v>5.42</v>
      </c>
      <c r="E78" s="23">
        <v>100</v>
      </c>
      <c r="F78" s="23">
        <v>100</v>
      </c>
      <c r="G78" s="16">
        <f>VLOOKUP(A78,'[1]DRDO Kolar Data'!$A:$E,5,0)*1000</f>
        <v>10300</v>
      </c>
      <c r="H78" s="24">
        <f t="shared" si="3"/>
        <v>3409902.5999999903</v>
      </c>
      <c r="I78" s="25">
        <f t="shared" si="4"/>
        <v>22.206979166663562</v>
      </c>
      <c r="J78" s="25">
        <f t="shared" si="5"/>
        <v>18.451853896103842</v>
      </c>
      <c r="K78" s="17" t="s">
        <v>11</v>
      </c>
    </row>
    <row r="79" spans="1:11" ht="15.75" customHeight="1" x14ac:dyDescent="0.2">
      <c r="A79" s="15">
        <v>44882</v>
      </c>
      <c r="B79" s="3">
        <v>78</v>
      </c>
      <c r="C79" s="4">
        <v>63051.95000000298</v>
      </c>
      <c r="D79" s="7">
        <v>6.27</v>
      </c>
      <c r="E79" s="23">
        <v>100</v>
      </c>
      <c r="F79" s="23">
        <v>100</v>
      </c>
      <c r="G79" s="16">
        <f>VLOOKUP(A79,'[1]DRDO Kolar Data'!$A:$E,5,0)*1000</f>
        <v>10200</v>
      </c>
      <c r="H79" s="24">
        <f t="shared" si="3"/>
        <v>3472954.5499999933</v>
      </c>
      <c r="I79" s="25">
        <f t="shared" si="4"/>
        <v>26.271645833334574</v>
      </c>
      <c r="J79" s="25">
        <f t="shared" si="5"/>
        <v>18.552107638888852</v>
      </c>
      <c r="K79" s="17" t="s">
        <v>13</v>
      </c>
    </row>
    <row r="80" spans="1:11" ht="15.75" customHeight="1" x14ac:dyDescent="0.2">
      <c r="A80" s="15">
        <v>44883</v>
      </c>
      <c r="B80" s="3">
        <v>79</v>
      </c>
      <c r="C80" s="4">
        <v>62401.30000000447</v>
      </c>
      <c r="D80" s="7">
        <v>6.02</v>
      </c>
      <c r="E80" s="23">
        <v>100</v>
      </c>
      <c r="F80" s="23">
        <v>100</v>
      </c>
      <c r="G80" s="16">
        <f>VLOOKUP(A80,'[1]DRDO Kolar Data'!$A:$E,5,0)*1000</f>
        <v>10700</v>
      </c>
      <c r="H80" s="24">
        <f t="shared" si="3"/>
        <v>3535355.8499999978</v>
      </c>
      <c r="I80" s="25">
        <f t="shared" si="4"/>
        <v>26.000541666668532</v>
      </c>
      <c r="J80" s="25">
        <f t="shared" si="5"/>
        <v>18.646391613924038</v>
      </c>
      <c r="K80" s="17" t="s">
        <v>13</v>
      </c>
    </row>
    <row r="81" spans="1:11" ht="15.75" customHeight="1" x14ac:dyDescent="0.2">
      <c r="A81" s="15">
        <v>44884</v>
      </c>
      <c r="B81" s="3">
        <v>80</v>
      </c>
      <c r="C81" s="4">
        <v>53296.749999992549</v>
      </c>
      <c r="D81" s="7">
        <v>5.18</v>
      </c>
      <c r="E81" s="23">
        <v>100</v>
      </c>
      <c r="F81" s="23">
        <v>100</v>
      </c>
      <c r="G81" s="16">
        <f>VLOOKUP(A81,'[1]DRDO Kolar Data'!$A:$E,5,0)*1000</f>
        <v>9200</v>
      </c>
      <c r="H81" s="24">
        <f t="shared" si="3"/>
        <v>3588652.5999999903</v>
      </c>
      <c r="I81" s="25">
        <f t="shared" si="4"/>
        <v>22.206979166663562</v>
      </c>
      <c r="J81" s="25">
        <f t="shared" si="5"/>
        <v>18.690898958333282</v>
      </c>
      <c r="K81" s="17" t="s">
        <v>11</v>
      </c>
    </row>
    <row r="82" spans="1:11" ht="15.75" customHeight="1" x14ac:dyDescent="0.2">
      <c r="A82" s="15">
        <v>44885</v>
      </c>
      <c r="B82" s="3">
        <v>81</v>
      </c>
      <c r="C82" s="4">
        <v>36399.350000008941</v>
      </c>
      <c r="D82" s="7">
        <v>3.54</v>
      </c>
      <c r="E82" s="23">
        <v>100</v>
      </c>
      <c r="F82" s="23">
        <v>100</v>
      </c>
      <c r="G82" s="16">
        <f>VLOOKUP(A82,'[1]DRDO Kolar Data'!$A:$E,5,0)*1000</f>
        <v>8500</v>
      </c>
      <c r="H82" s="24">
        <f t="shared" si="3"/>
        <v>3625051.9499999993</v>
      </c>
      <c r="I82" s="25">
        <f t="shared" si="4"/>
        <v>15.166395833337059</v>
      </c>
      <c r="J82" s="25">
        <f t="shared" si="5"/>
        <v>18.647386574074069</v>
      </c>
      <c r="K82" s="17" t="s">
        <v>15</v>
      </c>
    </row>
    <row r="83" spans="1:11" ht="15.75" customHeight="1" x14ac:dyDescent="0.2">
      <c r="A83" s="15">
        <v>44886</v>
      </c>
      <c r="B83" s="3">
        <v>82</v>
      </c>
      <c r="C83" s="4">
        <v>35751.94999999553</v>
      </c>
      <c r="D83" s="7">
        <v>3.54</v>
      </c>
      <c r="E83" s="23">
        <v>100</v>
      </c>
      <c r="F83" s="23">
        <v>100</v>
      </c>
      <c r="G83" s="16">
        <f>VLOOKUP(A83,'[1]DRDO Kolar Data'!$A:$E,5,0)*1000</f>
        <v>10300</v>
      </c>
      <c r="H83" s="24">
        <f t="shared" si="3"/>
        <v>3660803.8999999948</v>
      </c>
      <c r="I83" s="25">
        <f t="shared" si="4"/>
        <v>14.896645833331471</v>
      </c>
      <c r="J83" s="25">
        <f t="shared" si="5"/>
        <v>18.601645833333308</v>
      </c>
      <c r="K83" s="17" t="s">
        <v>15</v>
      </c>
    </row>
    <row r="84" spans="1:11" ht="15.75" customHeight="1" x14ac:dyDescent="0.2">
      <c r="A84" s="15">
        <v>44887</v>
      </c>
      <c r="B84" s="3">
        <v>83</v>
      </c>
      <c r="C84" s="4">
        <v>12996.750000007451</v>
      </c>
      <c r="D84" s="7">
        <v>1.53</v>
      </c>
      <c r="E84" s="23">
        <v>100</v>
      </c>
      <c r="F84" s="23">
        <v>86.111111111111114</v>
      </c>
      <c r="G84" s="16">
        <f>VLOOKUP(A84,'[1]DRDO Kolar Data'!$A:$E,5,0)*1000</f>
        <v>4600</v>
      </c>
      <c r="H84" s="24">
        <f t="shared" si="3"/>
        <v>3673800.6500000022</v>
      </c>
      <c r="I84" s="25">
        <f t="shared" si="4"/>
        <v>5.4153125000031039</v>
      </c>
      <c r="J84" s="25">
        <f t="shared" si="5"/>
        <v>18.44277434738957</v>
      </c>
      <c r="K84" s="17" t="s">
        <v>20</v>
      </c>
    </row>
    <row r="85" spans="1:11" ht="15.75" customHeight="1" x14ac:dyDescent="0.2">
      <c r="A85" s="15">
        <v>44888</v>
      </c>
      <c r="B85" s="3">
        <v>84</v>
      </c>
      <c r="C85" s="4">
        <v>14952.59999999404</v>
      </c>
      <c r="D85" s="7">
        <v>1.51</v>
      </c>
      <c r="E85" s="23">
        <v>100</v>
      </c>
      <c r="F85" s="23">
        <v>100</v>
      </c>
      <c r="G85" s="16">
        <f>VLOOKUP(A85,'[1]DRDO Kolar Data'!$A:$E,5,0)*1000</f>
        <v>9200</v>
      </c>
      <c r="H85" s="24">
        <f t="shared" si="3"/>
        <v>3688753.2499999963</v>
      </c>
      <c r="I85" s="25">
        <f t="shared" si="4"/>
        <v>6.2302499999975165</v>
      </c>
      <c r="J85" s="25">
        <f t="shared" si="5"/>
        <v>18.297387152777759</v>
      </c>
      <c r="K85" s="17" t="s">
        <v>20</v>
      </c>
    </row>
    <row r="86" spans="1:11" ht="15.75" customHeight="1" x14ac:dyDescent="0.2">
      <c r="A86" s="15">
        <v>44889</v>
      </c>
      <c r="B86" s="3">
        <v>85</v>
      </c>
      <c r="C86" s="4">
        <v>28600.64999999851</v>
      </c>
      <c r="D86" s="7">
        <v>2.94</v>
      </c>
      <c r="E86" s="23">
        <v>100</v>
      </c>
      <c r="F86" s="23">
        <v>100</v>
      </c>
      <c r="G86" s="16">
        <f>VLOOKUP(A86,'[1]DRDO Kolar Data'!$A:$E,5,0)*1000</f>
        <v>10000</v>
      </c>
      <c r="H86" s="24">
        <f t="shared" si="3"/>
        <v>3717353.8999999948</v>
      </c>
      <c r="I86" s="25">
        <f t="shared" si="4"/>
        <v>11.91693749999938</v>
      </c>
      <c r="J86" s="25">
        <f t="shared" si="5"/>
        <v>18.222323039215659</v>
      </c>
      <c r="K86" s="17" t="s">
        <v>10</v>
      </c>
    </row>
    <row r="87" spans="1:11" ht="15.75" customHeight="1" x14ac:dyDescent="0.2">
      <c r="A87" s="15">
        <v>44890</v>
      </c>
      <c r="B87" s="3">
        <v>86</v>
      </c>
      <c r="C87" s="4">
        <v>46798.05000000447</v>
      </c>
      <c r="D87" s="7">
        <v>4.62</v>
      </c>
      <c r="E87" s="23">
        <v>100</v>
      </c>
      <c r="F87" s="23">
        <v>100</v>
      </c>
      <c r="G87" s="16">
        <f>VLOOKUP(A87,'[1]DRDO Kolar Data'!$A:$E,5,0)*1000</f>
        <v>10900</v>
      </c>
      <c r="H87" s="24">
        <f t="shared" si="3"/>
        <v>3764151.9499999993</v>
      </c>
      <c r="I87" s="25">
        <f t="shared" si="4"/>
        <v>19.499187500001863</v>
      </c>
      <c r="J87" s="25">
        <f t="shared" si="5"/>
        <v>18.237170300387593</v>
      </c>
      <c r="K87" s="17" t="s">
        <v>11</v>
      </c>
    </row>
    <row r="88" spans="1:11" ht="15.75" customHeight="1" x14ac:dyDescent="0.2">
      <c r="A88" s="15">
        <v>44891</v>
      </c>
      <c r="B88" s="3">
        <v>87</v>
      </c>
      <c r="C88" s="4">
        <v>53300.64999999851</v>
      </c>
      <c r="D88" s="7">
        <v>5.35</v>
      </c>
      <c r="E88" s="23">
        <v>100</v>
      </c>
      <c r="F88" s="23">
        <v>100</v>
      </c>
      <c r="G88" s="16">
        <f>VLOOKUP(A88,'[1]DRDO Kolar Data'!$A:$E,5,0)*1000</f>
        <v>11000</v>
      </c>
      <c r="H88" s="24">
        <f t="shared" si="3"/>
        <v>3817452.5999999978</v>
      </c>
      <c r="I88" s="25">
        <f t="shared" si="4"/>
        <v>22.208604166666046</v>
      </c>
      <c r="J88" s="25">
        <f t="shared" si="5"/>
        <v>18.28281896551723</v>
      </c>
      <c r="K88" s="17" t="s">
        <v>13</v>
      </c>
    </row>
    <row r="89" spans="1:11" ht="15.75" customHeight="1" x14ac:dyDescent="0.2">
      <c r="A89" s="15">
        <v>44892</v>
      </c>
      <c r="B89" s="3">
        <v>88</v>
      </c>
      <c r="C89" s="4">
        <v>48750</v>
      </c>
      <c r="D89" s="7">
        <v>4.9800000000000004</v>
      </c>
      <c r="E89" s="23">
        <v>100</v>
      </c>
      <c r="F89" s="23">
        <v>100</v>
      </c>
      <c r="G89" s="16">
        <f>VLOOKUP(A89,'[1]DRDO Kolar Data'!$A:$E,5,0)*1000</f>
        <v>10000</v>
      </c>
      <c r="H89" s="24">
        <f t="shared" si="3"/>
        <v>3866202.5999999978</v>
      </c>
      <c r="I89" s="25">
        <f t="shared" si="4"/>
        <v>20.3125</v>
      </c>
      <c r="J89" s="25">
        <f t="shared" si="5"/>
        <v>18.305883522727264</v>
      </c>
      <c r="K89" s="17" t="s">
        <v>11</v>
      </c>
    </row>
    <row r="90" spans="1:11" ht="15.75" customHeight="1" x14ac:dyDescent="0.2">
      <c r="A90" s="15">
        <v>44893</v>
      </c>
      <c r="B90" s="3">
        <v>89</v>
      </c>
      <c r="C90" s="4">
        <v>44850</v>
      </c>
      <c r="D90" s="7">
        <v>4.5599999999999996</v>
      </c>
      <c r="E90" s="23">
        <v>100</v>
      </c>
      <c r="F90" s="23">
        <v>100</v>
      </c>
      <c r="G90" s="16">
        <f>VLOOKUP(A90,'[1]DRDO Kolar Data'!$A:$E,5,0)*1000</f>
        <v>8800</v>
      </c>
      <c r="H90" s="24">
        <f t="shared" si="3"/>
        <v>3911052.5999999978</v>
      </c>
      <c r="I90" s="25">
        <f t="shared" si="4"/>
        <v>18.6875</v>
      </c>
      <c r="J90" s="25">
        <f t="shared" si="5"/>
        <v>18.310171348314597</v>
      </c>
      <c r="K90" s="17" t="s">
        <v>11</v>
      </c>
    </row>
    <row r="91" spans="1:11" ht="15.75" customHeight="1" x14ac:dyDescent="0.2">
      <c r="A91" s="15">
        <v>44894</v>
      </c>
      <c r="B91" s="3">
        <v>90</v>
      </c>
      <c r="C91" s="4">
        <v>50701.94999999553</v>
      </c>
      <c r="D91" s="7">
        <v>5.16</v>
      </c>
      <c r="E91" s="23">
        <v>100</v>
      </c>
      <c r="F91" s="23">
        <v>100</v>
      </c>
      <c r="G91" s="16">
        <f>VLOOKUP(A91,'[1]DRDO Kolar Data'!$A:$E,5,0)*1000</f>
        <v>9100</v>
      </c>
      <c r="H91" s="24">
        <f t="shared" si="3"/>
        <v>3961754.5499999933</v>
      </c>
      <c r="I91" s="25">
        <f t="shared" si="4"/>
        <v>21.125812499998137</v>
      </c>
      <c r="J91" s="25">
        <f t="shared" si="5"/>
        <v>18.341456249999968</v>
      </c>
      <c r="K91" s="17" t="s">
        <v>11</v>
      </c>
    </row>
    <row r="92" spans="1:11" ht="15.75" customHeight="1" x14ac:dyDescent="0.2">
      <c r="A92" s="15">
        <v>44895</v>
      </c>
      <c r="B92" s="3">
        <v>91</v>
      </c>
      <c r="C92" s="4">
        <v>58497.40000000596</v>
      </c>
      <c r="D92" s="7">
        <v>5.72</v>
      </c>
      <c r="E92" s="23">
        <v>100</v>
      </c>
      <c r="F92" s="23">
        <v>100</v>
      </c>
      <c r="G92" s="16">
        <f>VLOOKUP(A92,'[1]DRDO Kolar Data'!$A:$E,5,0)*1000</f>
        <v>9600</v>
      </c>
      <c r="H92" s="24">
        <f t="shared" si="3"/>
        <v>4020251.9499999993</v>
      </c>
      <c r="I92" s="25">
        <f t="shared" si="4"/>
        <v>24.373916666669153</v>
      </c>
      <c r="J92" s="25">
        <f t="shared" si="5"/>
        <v>18.40774702380952</v>
      </c>
      <c r="K92" s="17" t="s">
        <v>13</v>
      </c>
    </row>
    <row r="93" spans="1:11" ht="15.75" customHeight="1" x14ac:dyDescent="0.2">
      <c r="A93" s="15">
        <v>44896</v>
      </c>
      <c r="B93" s="3">
        <v>92</v>
      </c>
      <c r="C93" s="4">
        <v>21451.29999999702</v>
      </c>
      <c r="D93" s="8">
        <v>2.17</v>
      </c>
      <c r="E93" s="26">
        <v>100</v>
      </c>
      <c r="F93" s="26">
        <v>100</v>
      </c>
      <c r="G93" s="16">
        <f>VLOOKUP(A93,'[1]DRDO Kolar Data'!$A:$E,5,0)*1000</f>
        <v>6200</v>
      </c>
      <c r="H93" s="24">
        <f t="shared" si="3"/>
        <v>4041703.2499999963</v>
      </c>
      <c r="I93" s="25">
        <f t="shared" si="4"/>
        <v>8.9380416666654252</v>
      </c>
      <c r="J93" s="25">
        <f t="shared" si="5"/>
        <v>18.304815443840564</v>
      </c>
      <c r="K93" s="18" t="s">
        <v>21</v>
      </c>
    </row>
    <row r="94" spans="1:11" ht="15.75" customHeight="1" x14ac:dyDescent="0.2">
      <c r="A94" s="15">
        <v>44897</v>
      </c>
      <c r="B94" s="3">
        <v>93</v>
      </c>
      <c r="C94" s="4">
        <v>40950</v>
      </c>
      <c r="D94" s="8">
        <v>4.08</v>
      </c>
      <c r="E94" s="26">
        <v>100</v>
      </c>
      <c r="F94" s="26">
        <v>100</v>
      </c>
      <c r="G94" s="16">
        <f>VLOOKUP(A94,'[1]DRDO Kolar Data'!$A:$E,5,0)*1000</f>
        <v>11100</v>
      </c>
      <c r="H94" s="24">
        <f t="shared" si="3"/>
        <v>4082653.2499999963</v>
      </c>
      <c r="I94" s="25">
        <f t="shared" si="4"/>
        <v>17.0625</v>
      </c>
      <c r="J94" s="25">
        <f t="shared" si="5"/>
        <v>18.291457213261634</v>
      </c>
      <c r="K94" s="17" t="s">
        <v>11</v>
      </c>
    </row>
    <row r="95" spans="1:11" ht="15.75" customHeight="1" x14ac:dyDescent="0.2">
      <c r="A95" s="15">
        <v>44898</v>
      </c>
      <c r="B95" s="3">
        <v>94</v>
      </c>
      <c r="C95" s="4">
        <v>48099.35000000149</v>
      </c>
      <c r="D95" s="8">
        <v>4.7300000000000004</v>
      </c>
      <c r="E95" s="26">
        <v>100</v>
      </c>
      <c r="F95" s="26">
        <v>100</v>
      </c>
      <c r="G95" s="16">
        <f>VLOOKUP(A95,'[1]DRDO Kolar Data'!$A:$E,5,0)*1000</f>
        <v>11100</v>
      </c>
      <c r="H95" s="24">
        <f t="shared" si="3"/>
        <v>4130752.5999999978</v>
      </c>
      <c r="I95" s="25">
        <f t="shared" si="4"/>
        <v>20.041395833333954</v>
      </c>
      <c r="J95" s="25">
        <f t="shared" si="5"/>
        <v>18.310073581560275</v>
      </c>
      <c r="K95" s="17" t="s">
        <v>11</v>
      </c>
    </row>
    <row r="96" spans="1:11" ht="15.75" customHeight="1" x14ac:dyDescent="0.2">
      <c r="A96" s="15">
        <v>44899</v>
      </c>
      <c r="B96" s="3">
        <v>95</v>
      </c>
      <c r="C96" s="4">
        <v>33800</v>
      </c>
      <c r="D96" s="8">
        <v>4.97</v>
      </c>
      <c r="E96" s="26">
        <v>100</v>
      </c>
      <c r="F96" s="26">
        <v>88.263888888888886</v>
      </c>
      <c r="G96" s="16">
        <f>VLOOKUP(A96,'[1]DRDO Kolar Data'!$A:$E,5,0)*1000</f>
        <v>10900</v>
      </c>
      <c r="H96" s="24">
        <f t="shared" si="3"/>
        <v>4164552.5999999978</v>
      </c>
      <c r="I96" s="25">
        <f t="shared" si="4"/>
        <v>14.083333333333334</v>
      </c>
      <c r="J96" s="25">
        <f t="shared" si="5"/>
        <v>18.265581578947359</v>
      </c>
      <c r="K96" s="17" t="s">
        <v>22</v>
      </c>
    </row>
    <row r="97" spans="1:11" ht="15.75" customHeight="1" x14ac:dyDescent="0.2">
      <c r="A97" s="15">
        <v>44900</v>
      </c>
      <c r="B97" s="3">
        <v>96</v>
      </c>
      <c r="C97" s="4">
        <v>49398.04999999702</v>
      </c>
      <c r="D97" s="8">
        <v>4.92</v>
      </c>
      <c r="E97" s="26">
        <v>100</v>
      </c>
      <c r="F97" s="26">
        <v>100</v>
      </c>
      <c r="G97" s="16">
        <f>VLOOKUP(A97,'[1]DRDO Kolar Data'!$A:$E,5,0)*1000</f>
        <v>10300</v>
      </c>
      <c r="H97" s="24">
        <f t="shared" si="3"/>
        <v>4213950.6499999948</v>
      </c>
      <c r="I97" s="25">
        <f t="shared" si="4"/>
        <v>20.58252083333209</v>
      </c>
      <c r="J97" s="25">
        <f t="shared" si="5"/>
        <v>18.289716362847201</v>
      </c>
      <c r="K97" s="17" t="s">
        <v>11</v>
      </c>
    </row>
    <row r="98" spans="1:11" ht="15.75" customHeight="1" x14ac:dyDescent="0.2">
      <c r="A98" s="15">
        <v>44901</v>
      </c>
      <c r="B98" s="3">
        <v>97</v>
      </c>
      <c r="C98" s="4">
        <v>39002.60000000149</v>
      </c>
      <c r="D98" s="8">
        <v>3.9</v>
      </c>
      <c r="E98" s="26">
        <v>100</v>
      </c>
      <c r="F98" s="26">
        <v>100</v>
      </c>
      <c r="G98" s="16">
        <f>VLOOKUP(A98,'[1]DRDO Kolar Data'!$A:$E,5,0)*1000</f>
        <v>10100</v>
      </c>
      <c r="H98" s="24">
        <f t="shared" si="3"/>
        <v>4252953.2499999963</v>
      </c>
      <c r="I98" s="25">
        <f t="shared" si="4"/>
        <v>16.251083333333955</v>
      </c>
      <c r="J98" s="25">
        <f t="shared" si="5"/>
        <v>18.268699527491393</v>
      </c>
      <c r="K98" s="17" t="s">
        <v>15</v>
      </c>
    </row>
    <row r="99" spans="1:11" ht="15.75" customHeight="1" x14ac:dyDescent="0.2">
      <c r="A99" s="15">
        <v>44902</v>
      </c>
      <c r="B99" s="3">
        <v>98</v>
      </c>
      <c r="C99" s="4">
        <v>46798.05000000447</v>
      </c>
      <c r="D99" s="8">
        <v>4.54</v>
      </c>
      <c r="E99" s="26">
        <v>100</v>
      </c>
      <c r="F99" s="26">
        <v>100</v>
      </c>
      <c r="G99" s="16">
        <f>VLOOKUP(A99,'[1]DRDO Kolar Data'!$A:$E,5,0)*1000</f>
        <v>10800</v>
      </c>
      <c r="H99" s="24">
        <f t="shared" si="3"/>
        <v>4299751.3000000007</v>
      </c>
      <c r="I99" s="25">
        <f t="shared" si="4"/>
        <v>19.499187500001863</v>
      </c>
      <c r="J99" s="25">
        <f t="shared" si="5"/>
        <v>18.281255527210888</v>
      </c>
      <c r="K99" s="17" t="s">
        <v>11</v>
      </c>
    </row>
    <row r="100" spans="1:11" ht="15.75" customHeight="1" x14ac:dyDescent="0.2">
      <c r="A100" s="15">
        <v>44903</v>
      </c>
      <c r="B100" s="3">
        <v>99</v>
      </c>
      <c r="C100" s="4">
        <v>42251.29999999702</v>
      </c>
      <c r="D100" s="6">
        <v>4.04</v>
      </c>
      <c r="E100" s="26">
        <v>100</v>
      </c>
      <c r="F100" s="26">
        <v>100</v>
      </c>
      <c r="G100" s="16">
        <f>VLOOKUP(A100,'[1]DRDO Kolar Data'!$A:$E,5,0)*1000</f>
        <v>10100</v>
      </c>
      <c r="H100" s="24">
        <f t="shared" si="3"/>
        <v>4342002.5999999978</v>
      </c>
      <c r="I100" s="25">
        <f t="shared" si="4"/>
        <v>17.604708333332091</v>
      </c>
      <c r="J100" s="25">
        <f t="shared" si="5"/>
        <v>18.274421717171705</v>
      </c>
      <c r="K100" s="17" t="s">
        <v>10</v>
      </c>
    </row>
    <row r="101" spans="1:11" ht="15.75" customHeight="1" x14ac:dyDescent="0.2">
      <c r="A101" s="15">
        <v>44904</v>
      </c>
      <c r="B101" s="3">
        <v>100</v>
      </c>
      <c r="C101" s="4">
        <v>12350</v>
      </c>
      <c r="D101" s="6">
        <v>1.18</v>
      </c>
      <c r="E101" s="26">
        <v>100</v>
      </c>
      <c r="F101" s="26">
        <v>100</v>
      </c>
      <c r="G101" s="16">
        <f>VLOOKUP(A101,'[1]DRDO Kolar Data'!$A:$E,5,0)*1000</f>
        <v>5500</v>
      </c>
      <c r="H101" s="24">
        <f t="shared" si="3"/>
        <v>4354352.5999999978</v>
      </c>
      <c r="I101" s="25">
        <f t="shared" si="4"/>
        <v>5.1458333333333339</v>
      </c>
      <c r="J101" s="25">
        <f t="shared" si="5"/>
        <v>18.143135833333325</v>
      </c>
      <c r="K101" s="17" t="s">
        <v>23</v>
      </c>
    </row>
    <row r="102" spans="1:11" ht="15.75" customHeight="1" x14ac:dyDescent="0.2">
      <c r="A102" s="15">
        <v>44905</v>
      </c>
      <c r="B102" s="3">
        <v>101</v>
      </c>
      <c r="C102" s="4">
        <v>4550.6499999985099</v>
      </c>
      <c r="D102" s="6">
        <v>0.48</v>
      </c>
      <c r="E102" s="26">
        <v>100</v>
      </c>
      <c r="F102" s="26">
        <v>100</v>
      </c>
      <c r="G102" s="16">
        <f>VLOOKUP(A102,'[1]DRDO Kolar Data'!$A:$E,5,0)*1000</f>
        <v>1600</v>
      </c>
      <c r="H102" s="24">
        <f t="shared" si="3"/>
        <v>4358903.2499999963</v>
      </c>
      <c r="I102" s="25">
        <f t="shared" si="4"/>
        <v>1.8961041666660456</v>
      </c>
      <c r="J102" s="25">
        <f t="shared" si="5"/>
        <v>17.982274133663349</v>
      </c>
      <c r="K102" s="17" t="s">
        <v>23</v>
      </c>
    </row>
    <row r="103" spans="1:11" ht="15.75" customHeight="1" x14ac:dyDescent="0.2">
      <c r="A103" s="15">
        <v>44906</v>
      </c>
      <c r="B103" s="3">
        <v>102</v>
      </c>
      <c r="C103" s="4">
        <v>11049.35000000149</v>
      </c>
      <c r="D103" s="6">
        <v>1.1000000000000001</v>
      </c>
      <c r="E103" s="26">
        <v>100</v>
      </c>
      <c r="F103" s="26">
        <v>100</v>
      </c>
      <c r="G103" s="16">
        <f>VLOOKUP(A103,'[1]DRDO Kolar Data'!$A:$E,5,0)*1000</f>
        <v>5100</v>
      </c>
      <c r="H103" s="24">
        <f t="shared" si="3"/>
        <v>4369952.5999999978</v>
      </c>
      <c r="I103" s="25">
        <f t="shared" si="4"/>
        <v>4.6038958333339544</v>
      </c>
      <c r="J103" s="25">
        <f t="shared" si="5"/>
        <v>17.851113562091495</v>
      </c>
      <c r="K103" s="17" t="s">
        <v>23</v>
      </c>
    </row>
    <row r="104" spans="1:11" ht="15.75" customHeight="1" x14ac:dyDescent="0.2">
      <c r="A104" s="15">
        <v>44907</v>
      </c>
      <c r="B104" s="3">
        <v>103</v>
      </c>
      <c r="C104" s="4">
        <v>20800</v>
      </c>
      <c r="D104" s="6">
        <v>1.9</v>
      </c>
      <c r="E104" s="26">
        <v>100</v>
      </c>
      <c r="F104" s="26">
        <v>100</v>
      </c>
      <c r="G104" s="16">
        <f>VLOOKUP(A104,'[1]DRDO Kolar Data'!$A:$E,5,0)*1000</f>
        <v>8900</v>
      </c>
      <c r="H104" s="24">
        <f t="shared" si="3"/>
        <v>4390752.5999999978</v>
      </c>
      <c r="I104" s="25">
        <f t="shared" si="4"/>
        <v>8.6666666666666679</v>
      </c>
      <c r="J104" s="25">
        <f t="shared" si="5"/>
        <v>17.761944174757271</v>
      </c>
      <c r="K104" s="17" t="s">
        <v>23</v>
      </c>
    </row>
    <row r="105" spans="1:11" ht="15.75" customHeight="1" x14ac:dyDescent="0.2">
      <c r="A105" s="15">
        <v>44908</v>
      </c>
      <c r="B105" s="3">
        <v>104</v>
      </c>
      <c r="C105" s="4">
        <v>8450.6499999985099</v>
      </c>
      <c r="D105" s="6">
        <v>0.88</v>
      </c>
      <c r="E105" s="26">
        <v>100</v>
      </c>
      <c r="F105" s="26">
        <v>100</v>
      </c>
      <c r="G105" s="16">
        <f>VLOOKUP(A105,'[1]DRDO Kolar Data'!$A:$E,5,0)*1000</f>
        <v>5400</v>
      </c>
      <c r="H105" s="24">
        <f t="shared" si="3"/>
        <v>4399203.2499999963</v>
      </c>
      <c r="I105" s="25">
        <f t="shared" si="4"/>
        <v>3.5211041666660456</v>
      </c>
      <c r="J105" s="25">
        <f t="shared" si="5"/>
        <v>17.625013020833318</v>
      </c>
      <c r="K105" s="17" t="s">
        <v>23</v>
      </c>
    </row>
    <row r="106" spans="1:11" ht="15.75" customHeight="1" x14ac:dyDescent="0.2">
      <c r="A106" s="15">
        <v>44909</v>
      </c>
      <c r="B106" s="3">
        <v>105</v>
      </c>
      <c r="C106" s="4">
        <v>46151.30000000447</v>
      </c>
      <c r="D106" s="6">
        <v>4.4400000000000004</v>
      </c>
      <c r="E106" s="26">
        <v>100</v>
      </c>
      <c r="F106" s="26">
        <v>100</v>
      </c>
      <c r="G106" s="16">
        <f>VLOOKUP(A106,'[1]DRDO Kolar Data'!$A:$E,5,0)*1000</f>
        <v>10900</v>
      </c>
      <c r="H106" s="24">
        <f t="shared" si="3"/>
        <v>4445354.5500000007</v>
      </c>
      <c r="I106" s="25">
        <f t="shared" si="4"/>
        <v>19.229708333335196</v>
      </c>
      <c r="J106" s="25">
        <f t="shared" si="5"/>
        <v>17.640295833333337</v>
      </c>
      <c r="K106" s="17" t="s">
        <v>11</v>
      </c>
    </row>
    <row r="107" spans="1:11" ht="15.75" customHeight="1" x14ac:dyDescent="0.2">
      <c r="A107" s="15">
        <v>44910</v>
      </c>
      <c r="B107" s="3">
        <v>106</v>
      </c>
      <c r="C107" s="4">
        <v>68261.04999999702</v>
      </c>
      <c r="D107" s="6">
        <v>6.48</v>
      </c>
      <c r="E107" s="26">
        <v>100</v>
      </c>
      <c r="F107" s="26">
        <v>100</v>
      </c>
      <c r="G107" s="16">
        <f>VLOOKUP(A107,'[1]DRDO Kolar Data'!$A:$E,5,0)*1000</f>
        <v>9700</v>
      </c>
      <c r="H107" s="24">
        <f t="shared" si="3"/>
        <v>4513615.5999999978</v>
      </c>
      <c r="I107" s="25">
        <f t="shared" si="4"/>
        <v>28.442104166665427</v>
      </c>
      <c r="J107" s="25">
        <f t="shared" si="5"/>
        <v>17.742199685534583</v>
      </c>
      <c r="K107" s="17" t="s">
        <v>24</v>
      </c>
    </row>
    <row r="108" spans="1:11" ht="15.75" customHeight="1" x14ac:dyDescent="0.2">
      <c r="A108" s="15">
        <v>44911</v>
      </c>
      <c r="B108" s="3">
        <v>107</v>
      </c>
      <c r="C108" s="4">
        <v>66285.69999999553</v>
      </c>
      <c r="D108" s="7">
        <v>6.32</v>
      </c>
      <c r="E108" s="26">
        <v>100</v>
      </c>
      <c r="F108" s="26">
        <v>100</v>
      </c>
      <c r="G108" s="16">
        <f>VLOOKUP(A108,'[1]DRDO Kolar Data'!$A:$E,5,0)*1000</f>
        <v>9500</v>
      </c>
      <c r="H108" s="24">
        <f t="shared" si="3"/>
        <v>4579901.2999999933</v>
      </c>
      <c r="I108" s="25">
        <f t="shared" si="4"/>
        <v>27.619041666664806</v>
      </c>
      <c r="J108" s="25">
        <f t="shared" si="5"/>
        <v>17.834506619937667</v>
      </c>
      <c r="K108" s="17" t="s">
        <v>24</v>
      </c>
    </row>
    <row r="109" spans="1:11" ht="15.75" customHeight="1" x14ac:dyDescent="0.2">
      <c r="A109" s="15">
        <v>44912</v>
      </c>
      <c r="B109" s="3">
        <v>108</v>
      </c>
      <c r="C109" s="4">
        <v>61100.000000007451</v>
      </c>
      <c r="D109" s="7">
        <v>5.89</v>
      </c>
      <c r="E109" s="26">
        <v>100</v>
      </c>
      <c r="F109" s="26">
        <v>100</v>
      </c>
      <c r="G109" s="16">
        <f>VLOOKUP(A109,'[1]DRDO Kolar Data'!$A:$E,5,0)*1000</f>
        <v>10000</v>
      </c>
      <c r="H109" s="24">
        <f t="shared" si="3"/>
        <v>4641001.3000000007</v>
      </c>
      <c r="I109" s="25">
        <f t="shared" si="4"/>
        <v>25.458333333336437</v>
      </c>
      <c r="J109" s="25">
        <f t="shared" si="5"/>
        <v>17.905097608024693</v>
      </c>
      <c r="K109" s="17" t="s">
        <v>13</v>
      </c>
    </row>
    <row r="110" spans="1:11" ht="15.75" customHeight="1" x14ac:dyDescent="0.2">
      <c r="A110" s="15">
        <v>44913</v>
      </c>
      <c r="B110" s="3">
        <v>109</v>
      </c>
      <c r="C110" s="4">
        <v>46801.94999999553</v>
      </c>
      <c r="D110" s="6">
        <v>4.5</v>
      </c>
      <c r="E110" s="26">
        <v>100</v>
      </c>
      <c r="F110" s="26">
        <v>100</v>
      </c>
      <c r="G110" s="16">
        <f>VLOOKUP(A110,'[1]DRDO Kolar Data'!$A:$E,5,0)*1000</f>
        <v>10100</v>
      </c>
      <c r="H110" s="24">
        <f t="shared" si="3"/>
        <v>4687803.2499999963</v>
      </c>
      <c r="I110" s="25">
        <f t="shared" si="4"/>
        <v>19.500812499998137</v>
      </c>
      <c r="J110" s="25">
        <f t="shared" si="5"/>
        <v>17.91973719418959</v>
      </c>
      <c r="K110" s="17" t="s">
        <v>11</v>
      </c>
    </row>
    <row r="111" spans="1:11" ht="15.75" customHeight="1" x14ac:dyDescent="0.2">
      <c r="A111" s="15">
        <v>44914</v>
      </c>
      <c r="B111" s="3">
        <v>110</v>
      </c>
      <c r="C111" s="4">
        <v>59148.05000000447</v>
      </c>
      <c r="D111" s="7">
        <v>5.61</v>
      </c>
      <c r="E111" s="26">
        <v>100</v>
      </c>
      <c r="F111" s="26">
        <v>100</v>
      </c>
      <c r="G111" s="16">
        <f>VLOOKUP(A111,'[1]DRDO Kolar Data'!$A:$E,5,0)*1000</f>
        <v>10700</v>
      </c>
      <c r="H111" s="24">
        <f t="shared" si="3"/>
        <v>4746951.3000000007</v>
      </c>
      <c r="I111" s="25">
        <f t="shared" si="4"/>
        <v>24.645020833335195</v>
      </c>
      <c r="J111" s="25">
        <f t="shared" si="5"/>
        <v>17.980876136363637</v>
      </c>
      <c r="K111" s="17" t="s">
        <v>13</v>
      </c>
    </row>
    <row r="112" spans="1:11" ht="15.75" customHeight="1" x14ac:dyDescent="0.2">
      <c r="A112" s="15">
        <v>44915</v>
      </c>
      <c r="B112" s="3">
        <v>111</v>
      </c>
      <c r="C112" s="4">
        <v>53951.29999999702</v>
      </c>
      <c r="D112" s="7">
        <v>5.75</v>
      </c>
      <c r="E112" s="26">
        <v>100</v>
      </c>
      <c r="F112" s="26">
        <v>95.763888888888886</v>
      </c>
      <c r="G112" s="16">
        <f>VLOOKUP(A112,'[1]DRDO Kolar Data'!$A:$E,5,0)*1000</f>
        <v>10400</v>
      </c>
      <c r="H112" s="24">
        <f t="shared" si="3"/>
        <v>4800902.5999999978</v>
      </c>
      <c r="I112" s="25">
        <f t="shared" si="4"/>
        <v>22.479708333332091</v>
      </c>
      <c r="J112" s="25">
        <f t="shared" si="5"/>
        <v>18.021406156156146</v>
      </c>
      <c r="K112" s="17" t="s">
        <v>13</v>
      </c>
    </row>
    <row r="113" spans="1:11" ht="15.75" customHeight="1" x14ac:dyDescent="0.2">
      <c r="A113" s="15">
        <v>44916</v>
      </c>
      <c r="B113" s="3">
        <v>112</v>
      </c>
      <c r="C113" s="4">
        <v>45500.64999999851</v>
      </c>
      <c r="D113" s="7">
        <v>4.82</v>
      </c>
      <c r="E113" s="26">
        <v>100</v>
      </c>
      <c r="F113" s="26">
        <v>97.083333333333329</v>
      </c>
      <c r="G113" s="16">
        <f>VLOOKUP(A113,'[1]DRDO Kolar Data'!$A:$E,5,0)*1000</f>
        <v>11000</v>
      </c>
      <c r="H113" s="24">
        <f t="shared" si="3"/>
        <v>4846403.2499999963</v>
      </c>
      <c r="I113" s="25">
        <f t="shared" si="4"/>
        <v>18.958604166666046</v>
      </c>
      <c r="J113" s="25">
        <f t="shared" si="5"/>
        <v>18.029773995535699</v>
      </c>
      <c r="K113" s="17" t="s">
        <v>11</v>
      </c>
    </row>
    <row r="114" spans="1:11" ht="15.75" customHeight="1" x14ac:dyDescent="0.2">
      <c r="A114" s="15">
        <v>44917</v>
      </c>
      <c r="B114" s="3">
        <v>113</v>
      </c>
      <c r="C114" s="4">
        <v>66297.39999999851</v>
      </c>
      <c r="D114" s="7">
        <v>6.26</v>
      </c>
      <c r="E114" s="26">
        <v>100</v>
      </c>
      <c r="F114" s="26">
        <v>100</v>
      </c>
      <c r="G114" s="16">
        <f>VLOOKUP(A114,'[1]DRDO Kolar Data'!$A:$E,5,0)*1000</f>
        <v>10000</v>
      </c>
      <c r="H114" s="24">
        <f t="shared" si="3"/>
        <v>4912700.6499999948</v>
      </c>
      <c r="I114" s="25">
        <f t="shared" si="4"/>
        <v>27.623916666666048</v>
      </c>
      <c r="J114" s="25">
        <f t="shared" si="5"/>
        <v>18.114677912979332</v>
      </c>
      <c r="K114" s="17" t="s">
        <v>24</v>
      </c>
    </row>
    <row r="115" spans="1:11" ht="15.75" customHeight="1" x14ac:dyDescent="0.2">
      <c r="A115" s="15">
        <v>44918</v>
      </c>
      <c r="B115" s="3">
        <v>114</v>
      </c>
      <c r="C115" s="4">
        <v>65650.64999999851</v>
      </c>
      <c r="D115" s="7">
        <v>6.14</v>
      </c>
      <c r="E115" s="26">
        <v>100</v>
      </c>
      <c r="F115" s="26">
        <v>100</v>
      </c>
      <c r="G115" s="16">
        <f>VLOOKUP(A115,'[1]DRDO Kolar Data'!$A:$E,5,0)*1000</f>
        <v>10100</v>
      </c>
      <c r="H115" s="24">
        <f t="shared" si="3"/>
        <v>4978351.2999999933</v>
      </c>
      <c r="I115" s="25">
        <f t="shared" si="4"/>
        <v>27.354437499999378</v>
      </c>
      <c r="J115" s="25">
        <f t="shared" si="5"/>
        <v>18.195728435672489</v>
      </c>
      <c r="K115" s="17" t="s">
        <v>24</v>
      </c>
    </row>
    <row r="116" spans="1:11" ht="15.75" customHeight="1" x14ac:dyDescent="0.2">
      <c r="A116" s="15">
        <v>44919</v>
      </c>
      <c r="B116" s="3">
        <v>115</v>
      </c>
      <c r="C116" s="4">
        <v>59151.95000000298</v>
      </c>
      <c r="D116" s="7">
        <v>5.74</v>
      </c>
      <c r="E116" s="26">
        <v>100</v>
      </c>
      <c r="F116" s="26">
        <v>100</v>
      </c>
      <c r="G116" s="16">
        <f>VLOOKUP(A116,'[1]DRDO Kolar Data'!$A:$E,5,0)*1000</f>
        <v>9800</v>
      </c>
      <c r="H116" s="24">
        <f t="shared" si="3"/>
        <v>5037503.2499999963</v>
      </c>
      <c r="I116" s="25">
        <f t="shared" si="4"/>
        <v>24.646645833334574</v>
      </c>
      <c r="J116" s="25">
        <f t="shared" si="5"/>
        <v>18.251823369565205</v>
      </c>
      <c r="K116" s="17" t="s">
        <v>13</v>
      </c>
    </row>
    <row r="117" spans="1:11" ht="15.75" customHeight="1" x14ac:dyDescent="0.2">
      <c r="A117" s="15">
        <v>44920</v>
      </c>
      <c r="B117" s="3">
        <v>116</v>
      </c>
      <c r="C117" s="4">
        <v>14949.35000000149</v>
      </c>
      <c r="D117" s="7">
        <v>1.49</v>
      </c>
      <c r="E117" s="26">
        <v>100</v>
      </c>
      <c r="F117" s="26">
        <v>100</v>
      </c>
      <c r="G117" s="16">
        <f>VLOOKUP(A117,'[1]DRDO Kolar Data'!$A:$E,5,0)*1000</f>
        <v>8700</v>
      </c>
      <c r="H117" s="24">
        <f t="shared" si="3"/>
        <v>5052452.5999999978</v>
      </c>
      <c r="I117" s="25">
        <f t="shared" si="4"/>
        <v>6.2288958333339544</v>
      </c>
      <c r="J117" s="25">
        <f t="shared" si="5"/>
        <v>18.148177442528727</v>
      </c>
      <c r="K117" s="17" t="s">
        <v>10</v>
      </c>
    </row>
    <row r="118" spans="1:11" ht="15.75" customHeight="1" x14ac:dyDescent="0.2">
      <c r="A118" s="15">
        <v>44921</v>
      </c>
      <c r="B118" s="3">
        <v>117</v>
      </c>
      <c r="C118" s="4">
        <v>22748.04999999702</v>
      </c>
      <c r="D118" s="7">
        <v>2.29</v>
      </c>
      <c r="E118" s="26">
        <v>100</v>
      </c>
      <c r="F118" s="26">
        <v>100</v>
      </c>
      <c r="G118" s="16">
        <f>VLOOKUP(A118,'[1]DRDO Kolar Data'!$A:$E,5,0)*1000</f>
        <v>10000</v>
      </c>
      <c r="H118" s="24">
        <f t="shared" si="3"/>
        <v>5075200.6499999948</v>
      </c>
      <c r="I118" s="25">
        <f t="shared" si="4"/>
        <v>9.4783541666654241</v>
      </c>
      <c r="J118" s="25">
        <f t="shared" si="5"/>
        <v>18.074076388888869</v>
      </c>
      <c r="K118" s="17" t="s">
        <v>10</v>
      </c>
    </row>
    <row r="119" spans="1:11" ht="15.75" customHeight="1" x14ac:dyDescent="0.2">
      <c r="A119" s="15">
        <v>44922</v>
      </c>
      <c r="B119" s="3">
        <v>118</v>
      </c>
      <c r="C119" s="4">
        <v>19507.15000000596</v>
      </c>
      <c r="D119" s="7">
        <v>2.0699999999999998</v>
      </c>
      <c r="E119" s="26">
        <v>100</v>
      </c>
      <c r="F119" s="26">
        <v>93.333333333333329</v>
      </c>
      <c r="G119" s="16">
        <f>VLOOKUP(A119,'[1]DRDO Kolar Data'!$A:$E,5,0)*1000</f>
        <v>9500</v>
      </c>
      <c r="H119" s="24">
        <f t="shared" si="3"/>
        <v>5094707.8000000007</v>
      </c>
      <c r="I119" s="25">
        <f t="shared" si="4"/>
        <v>8.1279791666691494</v>
      </c>
      <c r="J119" s="25">
        <f t="shared" si="5"/>
        <v>17.989787429378534</v>
      </c>
      <c r="K119" s="17" t="s">
        <v>15</v>
      </c>
    </row>
    <row r="120" spans="1:11" ht="15.75" customHeight="1" x14ac:dyDescent="0.2">
      <c r="A120" s="15">
        <v>44923</v>
      </c>
      <c r="B120" s="3">
        <v>119</v>
      </c>
      <c r="C120" s="4">
        <v>58493.5</v>
      </c>
      <c r="D120" s="7">
        <v>5.58</v>
      </c>
      <c r="E120" s="26">
        <v>100</v>
      </c>
      <c r="F120" s="26">
        <v>100</v>
      </c>
      <c r="G120" s="16">
        <f>VLOOKUP(A120,'[1]DRDO Kolar Data'!$A:$E,5,0)*1000</f>
        <v>10700</v>
      </c>
      <c r="H120" s="24">
        <f t="shared" si="3"/>
        <v>5153201.3000000007</v>
      </c>
      <c r="I120" s="25">
        <f t="shared" si="4"/>
        <v>24.372291666666669</v>
      </c>
      <c r="J120" s="25">
        <f t="shared" si="5"/>
        <v>18.04342191876751</v>
      </c>
      <c r="K120" s="17" t="s">
        <v>13</v>
      </c>
    </row>
    <row r="121" spans="1:11" ht="15.75" customHeight="1" x14ac:dyDescent="0.2">
      <c r="A121" s="15">
        <v>44924</v>
      </c>
      <c r="B121" s="3">
        <v>120</v>
      </c>
      <c r="C121" s="4">
        <v>60449.999999992549</v>
      </c>
      <c r="D121" s="7">
        <v>5.87</v>
      </c>
      <c r="E121" s="26">
        <v>100</v>
      </c>
      <c r="F121" s="26">
        <v>100</v>
      </c>
      <c r="G121" s="16">
        <f>VLOOKUP(A121,'[1]DRDO Kolar Data'!$A:$E,5,0)*1000</f>
        <v>11000</v>
      </c>
      <c r="H121" s="24">
        <f t="shared" si="3"/>
        <v>5213651.2999999933</v>
      </c>
      <c r="I121" s="25">
        <f t="shared" si="4"/>
        <v>25.187499999996891</v>
      </c>
      <c r="J121" s="25">
        <f t="shared" si="5"/>
        <v>18.102955902777754</v>
      </c>
      <c r="K121" s="17" t="s">
        <v>13</v>
      </c>
    </row>
    <row r="122" spans="1:11" ht="15.75" customHeight="1" x14ac:dyDescent="0.2">
      <c r="A122" s="15">
        <v>44925</v>
      </c>
      <c r="B122" s="3">
        <v>121</v>
      </c>
      <c r="C122" s="4">
        <v>61100.000000007451</v>
      </c>
      <c r="D122" s="7">
        <v>5.74</v>
      </c>
      <c r="E122" s="26">
        <v>100</v>
      </c>
      <c r="F122" s="26">
        <v>100</v>
      </c>
      <c r="G122" s="16">
        <f>VLOOKUP(A122,'[1]DRDO Kolar Data'!$A:$E,5,0)*1000</f>
        <v>10000</v>
      </c>
      <c r="H122" s="24">
        <f t="shared" si="3"/>
        <v>5274751.3000000007</v>
      </c>
      <c r="I122" s="25">
        <f t="shared" si="4"/>
        <v>25.458333333336437</v>
      </c>
      <c r="J122" s="25">
        <f t="shared" si="5"/>
        <v>18.163744146005513</v>
      </c>
      <c r="K122" s="17" t="s">
        <v>13</v>
      </c>
    </row>
    <row r="123" spans="1:11" ht="15.75" customHeight="1" x14ac:dyDescent="0.2">
      <c r="A123" s="15">
        <v>44926</v>
      </c>
      <c r="B123" s="3">
        <v>122</v>
      </c>
      <c r="C123" s="4">
        <v>64353.25</v>
      </c>
      <c r="D123" s="9">
        <v>6.07</v>
      </c>
      <c r="E123" s="26">
        <v>100</v>
      </c>
      <c r="F123" s="26">
        <v>100</v>
      </c>
      <c r="G123" s="16">
        <f>VLOOKUP(A123,'[1]DRDO Kolar Data'!$A:$E,5,0)*1000</f>
        <v>9600</v>
      </c>
      <c r="H123" s="24">
        <f t="shared" si="3"/>
        <v>5339104.5500000007</v>
      </c>
      <c r="I123" s="25">
        <f t="shared" si="4"/>
        <v>26.813854166666669</v>
      </c>
      <c r="J123" s="25">
        <f t="shared" si="5"/>
        <v>18.234646687158474</v>
      </c>
      <c r="K123" s="17" t="s">
        <v>24</v>
      </c>
    </row>
    <row r="124" spans="1:11" ht="15.75" customHeight="1" x14ac:dyDescent="0.2">
      <c r="A124" s="15">
        <v>44927</v>
      </c>
      <c r="B124" s="3">
        <v>123</v>
      </c>
      <c r="C124" s="4">
        <v>63698.69999999553</v>
      </c>
      <c r="D124" s="5">
        <v>5.99</v>
      </c>
      <c r="E124" s="23">
        <v>100</v>
      </c>
      <c r="F124" s="23">
        <v>100</v>
      </c>
      <c r="G124" s="16">
        <f>VLOOKUP(A124,'[1]DRDO Kolar Data'!$A:$E,5,0)*1000</f>
        <v>9600</v>
      </c>
      <c r="H124" s="24">
        <f t="shared" si="3"/>
        <v>5402803.2499999963</v>
      </c>
      <c r="I124" s="25">
        <f t="shared" si="4"/>
        <v>26.541124999998139</v>
      </c>
      <c r="J124" s="25">
        <f t="shared" si="5"/>
        <v>18.302179031165299</v>
      </c>
      <c r="K124" s="17" t="s">
        <v>24</v>
      </c>
    </row>
    <row r="125" spans="1:11" ht="15.75" customHeight="1" x14ac:dyDescent="0.2">
      <c r="A125" s="15">
        <v>44928</v>
      </c>
      <c r="B125" s="3">
        <v>124</v>
      </c>
      <c r="C125" s="4">
        <v>60449.35000000149</v>
      </c>
      <c r="D125" s="5">
        <v>5.72</v>
      </c>
      <c r="E125" s="23">
        <v>100</v>
      </c>
      <c r="F125" s="23">
        <v>100</v>
      </c>
      <c r="G125" s="16">
        <f>VLOOKUP(A125,'[1]DRDO Kolar Data'!$A:$E,5,0)*1000</f>
        <v>9500</v>
      </c>
      <c r="H125" s="24">
        <f t="shared" si="3"/>
        <v>5463252.5999999978</v>
      </c>
      <c r="I125" s="25">
        <f t="shared" si="4"/>
        <v>25.187229166667287</v>
      </c>
      <c r="J125" s="25">
        <f t="shared" si="5"/>
        <v>18.357703629032251</v>
      </c>
      <c r="K125" s="17" t="s">
        <v>13</v>
      </c>
    </row>
    <row r="126" spans="1:11" ht="15.75" customHeight="1" x14ac:dyDescent="0.2">
      <c r="A126" s="15">
        <v>44929</v>
      </c>
      <c r="B126" s="3">
        <v>125</v>
      </c>
      <c r="C126" s="4">
        <v>50051.29999999702</v>
      </c>
      <c r="D126" s="5">
        <v>4.7699999999999996</v>
      </c>
      <c r="E126" s="23">
        <v>100</v>
      </c>
      <c r="F126" s="23">
        <v>100</v>
      </c>
      <c r="G126" s="16">
        <f>VLOOKUP(A126,'[1]DRDO Kolar Data'!$A:$E,5,0)*1000</f>
        <v>10700</v>
      </c>
      <c r="H126" s="24">
        <f t="shared" si="3"/>
        <v>5513303.8999999948</v>
      </c>
      <c r="I126" s="25">
        <f t="shared" si="4"/>
        <v>20.854708333332091</v>
      </c>
      <c r="J126" s="25">
        <f t="shared" si="5"/>
        <v>18.377679666666648</v>
      </c>
      <c r="K126" s="17" t="s">
        <v>11</v>
      </c>
    </row>
    <row r="127" spans="1:11" ht="15.75" customHeight="1" x14ac:dyDescent="0.2">
      <c r="A127" s="15">
        <v>44930</v>
      </c>
      <c r="B127" s="3">
        <v>126</v>
      </c>
      <c r="C127" s="4">
        <v>48750</v>
      </c>
      <c r="D127" s="5">
        <v>4.82</v>
      </c>
      <c r="E127" s="23">
        <v>100</v>
      </c>
      <c r="F127" s="23">
        <v>98.680555555555557</v>
      </c>
      <c r="G127" s="16">
        <f>VLOOKUP(A127,'[1]DRDO Kolar Data'!$A:$E,5,0)*1000</f>
        <v>11100</v>
      </c>
      <c r="H127" s="24">
        <f t="shared" si="3"/>
        <v>5562053.8999999948</v>
      </c>
      <c r="I127" s="25">
        <f t="shared" si="4"/>
        <v>20.3125</v>
      </c>
      <c r="J127" s="25">
        <f t="shared" si="5"/>
        <v>18.393035383597866</v>
      </c>
      <c r="K127" s="17" t="s">
        <v>11</v>
      </c>
    </row>
    <row r="128" spans="1:11" ht="15.75" customHeight="1" x14ac:dyDescent="0.2">
      <c r="A128" s="15">
        <v>44931</v>
      </c>
      <c r="B128" s="3">
        <v>127</v>
      </c>
      <c r="C128" s="4">
        <v>41597.39999999851</v>
      </c>
      <c r="D128" s="5">
        <v>3.89</v>
      </c>
      <c r="E128" s="23">
        <v>100</v>
      </c>
      <c r="F128" s="23">
        <v>100</v>
      </c>
      <c r="G128" s="16">
        <f>VLOOKUP(A128,'[1]DRDO Kolar Data'!$A:$E,5,0)*1000</f>
        <v>11100</v>
      </c>
      <c r="H128" s="24">
        <f t="shared" si="3"/>
        <v>5603651.2999999933</v>
      </c>
      <c r="I128" s="25">
        <f t="shared" si="4"/>
        <v>17.33224999999938</v>
      </c>
      <c r="J128" s="25">
        <f t="shared" si="5"/>
        <v>18.384682742782129</v>
      </c>
      <c r="K128" s="17" t="s">
        <v>11</v>
      </c>
    </row>
    <row r="129" spans="1:11" ht="15.75" customHeight="1" x14ac:dyDescent="0.2">
      <c r="A129" s="15">
        <v>44932</v>
      </c>
      <c r="B129" s="3">
        <v>128</v>
      </c>
      <c r="C129" s="4">
        <v>55251.95000000298</v>
      </c>
      <c r="D129" s="5">
        <v>5.25</v>
      </c>
      <c r="E129" s="23">
        <v>100</v>
      </c>
      <c r="F129" s="23">
        <v>100</v>
      </c>
      <c r="G129" s="16">
        <f>VLOOKUP(A129,'[1]DRDO Kolar Data'!$A:$E,5,0)*1000</f>
        <v>10200</v>
      </c>
      <c r="H129" s="24">
        <f t="shared" si="3"/>
        <v>5658903.2499999963</v>
      </c>
      <c r="I129" s="25">
        <f t="shared" si="4"/>
        <v>23.021645833334574</v>
      </c>
      <c r="J129" s="25">
        <f t="shared" si="5"/>
        <v>18.42090901692707</v>
      </c>
      <c r="K129" s="17" t="s">
        <v>13</v>
      </c>
    </row>
    <row r="130" spans="1:11" ht="15.75" customHeight="1" x14ac:dyDescent="0.2">
      <c r="A130" s="15">
        <v>44933</v>
      </c>
      <c r="B130" s="3">
        <v>129</v>
      </c>
      <c r="C130" s="4">
        <v>37050.65000000596</v>
      </c>
      <c r="D130" s="5">
        <v>3.52</v>
      </c>
      <c r="E130" s="23">
        <v>100</v>
      </c>
      <c r="F130" s="23">
        <v>100</v>
      </c>
      <c r="G130" s="16">
        <f>VLOOKUP(A130,'[1]DRDO Kolar Data'!$A:$E,5,0)*1000</f>
        <v>10400</v>
      </c>
      <c r="H130" s="24">
        <f t="shared" si="3"/>
        <v>5695953.9000000022</v>
      </c>
      <c r="I130" s="25">
        <f t="shared" si="4"/>
        <v>15.437770833335819</v>
      </c>
      <c r="J130" s="25">
        <f t="shared" si="5"/>
        <v>18.397783914728688</v>
      </c>
      <c r="K130" s="17" t="s">
        <v>15</v>
      </c>
    </row>
    <row r="131" spans="1:11" ht="15.75" customHeight="1" x14ac:dyDescent="0.2">
      <c r="A131" s="15">
        <v>44934</v>
      </c>
      <c r="B131" s="3">
        <v>130</v>
      </c>
      <c r="C131" s="4">
        <v>45496.749999992549</v>
      </c>
      <c r="D131" s="7">
        <v>4.47</v>
      </c>
      <c r="E131" s="23">
        <v>100</v>
      </c>
      <c r="F131" s="23">
        <v>100</v>
      </c>
      <c r="G131" s="16">
        <f>VLOOKUP(A131,'[1]DRDO Kolar Data'!$A:$E,5,0)*1000</f>
        <v>10400</v>
      </c>
      <c r="H131" s="24">
        <f t="shared" ref="H131:H194" si="6">H130+C131</f>
        <v>5741450.6499999948</v>
      </c>
      <c r="I131" s="25">
        <f t="shared" ref="I131:I194" si="7">(C131/(10*24*1000))*100</f>
        <v>18.956979166663562</v>
      </c>
      <c r="J131" s="25">
        <f t="shared" ref="J131:J194" si="8">(H131/(24*B131*10*1000))*100</f>
        <v>18.402085416666651</v>
      </c>
      <c r="K131" s="17" t="s">
        <v>11</v>
      </c>
    </row>
    <row r="132" spans="1:11" ht="15.75" customHeight="1" x14ac:dyDescent="0.2">
      <c r="A132" s="15">
        <v>44935</v>
      </c>
      <c r="B132" s="3">
        <v>131</v>
      </c>
      <c r="C132" s="4">
        <v>66301.30000000447</v>
      </c>
      <c r="D132" s="7">
        <v>6.22</v>
      </c>
      <c r="E132" s="23">
        <v>100</v>
      </c>
      <c r="F132" s="23">
        <v>100</v>
      </c>
      <c r="G132" s="16">
        <f>VLOOKUP(A132,'[1]DRDO Kolar Data'!$A:$E,5,0)*1000</f>
        <v>10000</v>
      </c>
      <c r="H132" s="24">
        <f t="shared" si="6"/>
        <v>5807751.9499999993</v>
      </c>
      <c r="I132" s="25">
        <f t="shared" si="7"/>
        <v>27.625541666668529</v>
      </c>
      <c r="J132" s="25">
        <f t="shared" si="8"/>
        <v>18.472493479643763</v>
      </c>
      <c r="K132" s="17" t="s">
        <v>24</v>
      </c>
    </row>
    <row r="133" spans="1:11" ht="15.75" customHeight="1" x14ac:dyDescent="0.2">
      <c r="A133" s="15">
        <v>44936</v>
      </c>
      <c r="B133" s="3">
        <v>132</v>
      </c>
      <c r="C133" s="4">
        <v>68249.35000000149</v>
      </c>
      <c r="D133" s="7">
        <v>6.37</v>
      </c>
      <c r="E133" s="23">
        <v>100</v>
      </c>
      <c r="F133" s="23">
        <v>100</v>
      </c>
      <c r="G133" s="16">
        <f>VLOOKUP(A133,'[1]DRDO Kolar Data'!$A:$E,5,0)*1000</f>
        <v>9900</v>
      </c>
      <c r="H133" s="24">
        <f t="shared" si="6"/>
        <v>5876001.3000000007</v>
      </c>
      <c r="I133" s="25">
        <f t="shared" si="7"/>
        <v>28.437229166667287</v>
      </c>
      <c r="J133" s="25">
        <f t="shared" si="8"/>
        <v>18.547983901515153</v>
      </c>
      <c r="K133" s="17" t="s">
        <v>24</v>
      </c>
    </row>
    <row r="134" spans="1:11" ht="15.75" customHeight="1" x14ac:dyDescent="0.2">
      <c r="A134" s="15">
        <v>44937</v>
      </c>
      <c r="B134" s="3">
        <v>133</v>
      </c>
      <c r="C134" s="4">
        <v>70201.29999999702</v>
      </c>
      <c r="D134" s="7">
        <v>6.74</v>
      </c>
      <c r="E134" s="23">
        <v>100</v>
      </c>
      <c r="F134" s="23">
        <v>100</v>
      </c>
      <c r="G134" s="16">
        <f>VLOOKUP(A134,'[1]DRDO Kolar Data'!$A:$E,5,0)*1000</f>
        <v>10000</v>
      </c>
      <c r="H134" s="24">
        <f t="shared" si="6"/>
        <v>5946202.5999999978</v>
      </c>
      <c r="I134" s="25">
        <f t="shared" si="7"/>
        <v>29.250541666665423</v>
      </c>
      <c r="J134" s="25">
        <f t="shared" si="8"/>
        <v>18.628454260651623</v>
      </c>
      <c r="K134" s="17" t="s">
        <v>24</v>
      </c>
    </row>
    <row r="135" spans="1:11" ht="15.75" customHeight="1" x14ac:dyDescent="0.2">
      <c r="A135" s="15">
        <v>44938</v>
      </c>
      <c r="B135" s="3">
        <v>134</v>
      </c>
      <c r="C135" s="4">
        <v>66300.64999999851</v>
      </c>
      <c r="D135" s="7">
        <v>6.54</v>
      </c>
      <c r="E135" s="23">
        <v>100</v>
      </c>
      <c r="F135" s="23">
        <v>92.222222222222229</v>
      </c>
      <c r="G135" s="16">
        <f>VLOOKUP(A135,'[1]DRDO Kolar Data'!$A:$E,5,0)*1000</f>
        <v>9900</v>
      </c>
      <c r="H135" s="24">
        <f t="shared" si="6"/>
        <v>6012503.2499999963</v>
      </c>
      <c r="I135" s="25">
        <f t="shared" si="7"/>
        <v>27.62527083333271</v>
      </c>
      <c r="J135" s="25">
        <f t="shared" si="8"/>
        <v>18.695594682835807</v>
      </c>
      <c r="K135" s="17" t="s">
        <v>24</v>
      </c>
    </row>
    <row r="136" spans="1:11" ht="15.75" customHeight="1" x14ac:dyDescent="0.2">
      <c r="A136" s="15">
        <v>44939</v>
      </c>
      <c r="B136" s="3">
        <v>135</v>
      </c>
      <c r="C136" s="4">
        <v>62398.04999999702</v>
      </c>
      <c r="D136" s="7">
        <v>6.11</v>
      </c>
      <c r="E136" s="23">
        <v>100</v>
      </c>
      <c r="F136" s="23">
        <v>100</v>
      </c>
      <c r="G136" s="16">
        <f>VLOOKUP(A136,'[1]DRDO Kolar Data'!$A:$E,5,0)*1000</f>
        <v>10000</v>
      </c>
      <c r="H136" s="24">
        <f t="shared" si="6"/>
        <v>6074901.2999999933</v>
      </c>
      <c r="I136" s="25">
        <f t="shared" si="7"/>
        <v>25.999187499998762</v>
      </c>
      <c r="J136" s="25">
        <f t="shared" si="8"/>
        <v>18.74969537037035</v>
      </c>
      <c r="K136" s="17" t="s">
        <v>24</v>
      </c>
    </row>
    <row r="137" spans="1:11" ht="15.75" customHeight="1" x14ac:dyDescent="0.2">
      <c r="A137" s="15">
        <v>44940</v>
      </c>
      <c r="B137" s="3">
        <v>136</v>
      </c>
      <c r="C137" s="4">
        <v>66301.30000000447</v>
      </c>
      <c r="D137" s="7">
        <v>6.34</v>
      </c>
      <c r="E137" s="23">
        <v>100</v>
      </c>
      <c r="F137" s="23">
        <v>100</v>
      </c>
      <c r="G137" s="16">
        <f>VLOOKUP(A137,'[1]DRDO Kolar Data'!$A:$E,5,0)*1000</f>
        <v>10000</v>
      </c>
      <c r="H137" s="24">
        <f t="shared" si="6"/>
        <v>6141202.5999999978</v>
      </c>
      <c r="I137" s="25">
        <f t="shared" si="7"/>
        <v>27.625541666668529</v>
      </c>
      <c r="J137" s="25">
        <f t="shared" si="8"/>
        <v>18.814958946078423</v>
      </c>
      <c r="K137" s="17" t="s">
        <v>24</v>
      </c>
    </row>
    <row r="138" spans="1:11" ht="15.75" customHeight="1" x14ac:dyDescent="0.2">
      <c r="A138" s="15">
        <v>44941</v>
      </c>
      <c r="B138" s="3">
        <v>137</v>
      </c>
      <c r="C138" s="4">
        <v>58501.30000000447</v>
      </c>
      <c r="D138" s="7">
        <v>5.73</v>
      </c>
      <c r="E138" s="23">
        <v>100</v>
      </c>
      <c r="F138" s="23">
        <v>100</v>
      </c>
      <c r="G138" s="16">
        <f>VLOOKUP(A138,'[1]DRDO Kolar Data'!$A:$E,5,0)*1000</f>
        <v>10500</v>
      </c>
      <c r="H138" s="24">
        <f t="shared" si="6"/>
        <v>6199703.9000000022</v>
      </c>
      <c r="I138" s="25">
        <f t="shared" si="7"/>
        <v>24.375541666668529</v>
      </c>
      <c r="J138" s="25">
        <f t="shared" si="8"/>
        <v>18.855547141119228</v>
      </c>
      <c r="K138" s="17" t="s">
        <v>13</v>
      </c>
    </row>
    <row r="139" spans="1:11" ht="15.75" customHeight="1" x14ac:dyDescent="0.2">
      <c r="A139" s="15">
        <v>44942</v>
      </c>
      <c r="B139" s="3">
        <v>138</v>
      </c>
      <c r="C139" s="4">
        <v>66297.39999999851</v>
      </c>
      <c r="D139" s="7">
        <v>6.37</v>
      </c>
      <c r="E139" s="23">
        <v>100</v>
      </c>
      <c r="F139" s="23">
        <v>100</v>
      </c>
      <c r="G139" s="16">
        <f>VLOOKUP(A139,'[1]DRDO Kolar Data'!$A:$E,5,0)*1000</f>
        <v>9900</v>
      </c>
      <c r="H139" s="24">
        <f t="shared" si="6"/>
        <v>6266001.3000000007</v>
      </c>
      <c r="I139" s="25">
        <f t="shared" si="7"/>
        <v>27.623916666666048</v>
      </c>
      <c r="J139" s="25">
        <f t="shared" si="8"/>
        <v>18.919086050724641</v>
      </c>
      <c r="K139" s="17" t="s">
        <v>24</v>
      </c>
    </row>
    <row r="140" spans="1:11" ht="15.75" customHeight="1" x14ac:dyDescent="0.2">
      <c r="A140" s="15">
        <v>44943</v>
      </c>
      <c r="B140" s="3">
        <v>139</v>
      </c>
      <c r="C140" s="4">
        <v>63702.60000000149</v>
      </c>
      <c r="D140" s="7">
        <v>6.69</v>
      </c>
      <c r="E140" s="23">
        <v>100</v>
      </c>
      <c r="F140" s="23">
        <v>91.875</v>
      </c>
      <c r="G140" s="16">
        <f>VLOOKUP(A140,'[1]DRDO Kolar Data'!$A:$E,5,0)*1000</f>
        <v>9800</v>
      </c>
      <c r="H140" s="24">
        <f t="shared" si="6"/>
        <v>6329703.9000000022</v>
      </c>
      <c r="I140" s="25">
        <f t="shared" si="7"/>
        <v>26.54275000000062</v>
      </c>
      <c r="J140" s="25">
        <f t="shared" si="8"/>
        <v>18.973932553956839</v>
      </c>
      <c r="K140" s="17" t="s">
        <v>24</v>
      </c>
    </row>
    <row r="141" spans="1:11" ht="15.75" customHeight="1" x14ac:dyDescent="0.2">
      <c r="A141" s="15">
        <v>44944</v>
      </c>
      <c r="B141" s="3">
        <v>140</v>
      </c>
      <c r="C141" s="4">
        <v>69550.649999991059</v>
      </c>
      <c r="D141" s="7">
        <v>6.08</v>
      </c>
      <c r="E141" s="23">
        <v>100</v>
      </c>
      <c r="F141" s="23">
        <v>100</v>
      </c>
      <c r="G141" s="16">
        <f>VLOOKUP(A141,'[1]DRDO Kolar Data'!$A:$E,5,0)*1000</f>
        <v>10000</v>
      </c>
      <c r="H141" s="24">
        <f t="shared" si="6"/>
        <v>6399254.5499999933</v>
      </c>
      <c r="I141" s="25">
        <f t="shared" si="7"/>
        <v>28.979437499996273</v>
      </c>
      <c r="J141" s="25">
        <f t="shared" si="8"/>
        <v>19.045400446428552</v>
      </c>
      <c r="K141" s="17" t="s">
        <v>24</v>
      </c>
    </row>
    <row r="142" spans="1:11" ht="15.75" customHeight="1" x14ac:dyDescent="0.2">
      <c r="A142" s="15">
        <v>44945</v>
      </c>
      <c r="B142" s="3">
        <v>141</v>
      </c>
      <c r="C142" s="4">
        <v>67598.05000000447</v>
      </c>
      <c r="D142" s="7">
        <v>6.48</v>
      </c>
      <c r="E142" s="23">
        <v>100</v>
      </c>
      <c r="F142" s="23">
        <v>100</v>
      </c>
      <c r="G142" s="16">
        <f>VLOOKUP(A142,'[1]DRDO Kolar Data'!$A:$E,5,0)*1000</f>
        <v>9900</v>
      </c>
      <c r="H142" s="24">
        <f t="shared" si="6"/>
        <v>6466852.5999999978</v>
      </c>
      <c r="I142" s="25">
        <f t="shared" si="7"/>
        <v>28.165854166668531</v>
      </c>
      <c r="J142" s="25">
        <f t="shared" si="8"/>
        <v>19.110084515366424</v>
      </c>
      <c r="K142" s="17" t="s">
        <v>24</v>
      </c>
    </row>
    <row r="143" spans="1:11" ht="15.75" customHeight="1" x14ac:dyDescent="0.2">
      <c r="A143" s="15">
        <v>44946</v>
      </c>
      <c r="B143" s="3">
        <v>142</v>
      </c>
      <c r="C143" s="4">
        <v>47449.35000000149</v>
      </c>
      <c r="D143" s="7">
        <v>4.62</v>
      </c>
      <c r="E143" s="23">
        <v>100</v>
      </c>
      <c r="F143" s="23">
        <v>100</v>
      </c>
      <c r="G143" s="16">
        <f>VLOOKUP(A143,'[1]DRDO Kolar Data'!$A:$E,5,0)*1000</f>
        <v>11100</v>
      </c>
      <c r="H143" s="24">
        <f t="shared" si="6"/>
        <v>6514301.9499999993</v>
      </c>
      <c r="I143" s="25">
        <f t="shared" si="7"/>
        <v>19.770562500000622</v>
      </c>
      <c r="J143" s="25">
        <f t="shared" si="8"/>
        <v>19.11473576877934</v>
      </c>
      <c r="K143" s="17" t="s">
        <v>11</v>
      </c>
    </row>
    <row r="144" spans="1:11" ht="15.75" customHeight="1" x14ac:dyDescent="0.2">
      <c r="A144" s="15">
        <v>44947</v>
      </c>
      <c r="B144" s="3">
        <v>143</v>
      </c>
      <c r="C144" s="4">
        <v>50050.64999999851</v>
      </c>
      <c r="D144" s="6">
        <v>5</v>
      </c>
      <c r="E144" s="23">
        <v>100</v>
      </c>
      <c r="F144" s="23">
        <v>100</v>
      </c>
      <c r="G144" s="16">
        <f>VLOOKUP(A144,'[1]DRDO Kolar Data'!$A:$E,5,0)*1000</f>
        <v>11000</v>
      </c>
      <c r="H144" s="24">
        <f t="shared" si="6"/>
        <v>6564352.5999999978</v>
      </c>
      <c r="I144" s="25">
        <f t="shared" si="7"/>
        <v>20.854437499999378</v>
      </c>
      <c r="J144" s="25">
        <f t="shared" si="8"/>
        <v>19.126901515151509</v>
      </c>
      <c r="K144" s="17" t="s">
        <v>11</v>
      </c>
    </row>
    <row r="145" spans="1:11" ht="15.75" customHeight="1" x14ac:dyDescent="0.2">
      <c r="A145" s="15">
        <v>44948</v>
      </c>
      <c r="B145" s="3">
        <v>144</v>
      </c>
      <c r="C145" s="4">
        <v>61100.64999999851</v>
      </c>
      <c r="D145" s="7">
        <v>5.89</v>
      </c>
      <c r="E145" s="23">
        <v>100</v>
      </c>
      <c r="F145" s="23">
        <v>100</v>
      </c>
      <c r="G145" s="16">
        <f>VLOOKUP(A145,'[1]DRDO Kolar Data'!$A:$E,5,0)*1000</f>
        <v>10100</v>
      </c>
      <c r="H145" s="24">
        <f t="shared" si="6"/>
        <v>6625453.2499999963</v>
      </c>
      <c r="I145" s="25">
        <f t="shared" si="7"/>
        <v>25.458604166666042</v>
      </c>
      <c r="J145" s="25">
        <f t="shared" si="8"/>
        <v>19.170871672453693</v>
      </c>
      <c r="K145" s="17" t="s">
        <v>13</v>
      </c>
    </row>
    <row r="146" spans="1:11" ht="15.75" customHeight="1" x14ac:dyDescent="0.2">
      <c r="A146" s="15">
        <v>44949</v>
      </c>
      <c r="B146" s="3">
        <v>145</v>
      </c>
      <c r="C146" s="4">
        <v>18198.04999999702</v>
      </c>
      <c r="D146" s="7">
        <v>1.85</v>
      </c>
      <c r="E146" s="23">
        <v>100</v>
      </c>
      <c r="F146" s="23">
        <v>100</v>
      </c>
      <c r="G146" s="16">
        <f>VLOOKUP(A146,'[1]DRDO Kolar Data'!$A:$E,5,0)*1000</f>
        <v>3800</v>
      </c>
      <c r="H146" s="24">
        <f t="shared" si="6"/>
        <v>6643651.2999999933</v>
      </c>
      <c r="I146" s="25">
        <f t="shared" si="7"/>
        <v>7.5825208333320919</v>
      </c>
      <c r="J146" s="25">
        <f t="shared" si="8"/>
        <v>19.090952011494235</v>
      </c>
      <c r="K146" s="17" t="s">
        <v>15</v>
      </c>
    </row>
    <row r="147" spans="1:11" ht="15.75" customHeight="1" x14ac:dyDescent="0.2">
      <c r="A147" s="15">
        <v>44950</v>
      </c>
      <c r="B147" s="3">
        <v>146</v>
      </c>
      <c r="C147" s="4">
        <v>57200</v>
      </c>
      <c r="D147" s="7">
        <v>5.44</v>
      </c>
      <c r="E147" s="23">
        <v>100</v>
      </c>
      <c r="F147" s="23">
        <v>100</v>
      </c>
      <c r="G147" s="16">
        <f>VLOOKUP(A147,'[1]DRDO Kolar Data'!$A:$E,5,0)*1000</f>
        <v>11000</v>
      </c>
      <c r="H147" s="24">
        <f t="shared" si="6"/>
        <v>6700851.2999999933</v>
      </c>
      <c r="I147" s="25">
        <f t="shared" si="7"/>
        <v>23.833333333333336</v>
      </c>
      <c r="J147" s="25">
        <f t="shared" si="8"/>
        <v>19.123434075342445</v>
      </c>
      <c r="K147" s="17" t="s">
        <v>13</v>
      </c>
    </row>
    <row r="148" spans="1:11" ht="15.75" customHeight="1" x14ac:dyDescent="0.2">
      <c r="A148" s="15">
        <v>44951</v>
      </c>
      <c r="B148" s="3">
        <v>147</v>
      </c>
      <c r="C148" s="4">
        <v>64349.35000000149</v>
      </c>
      <c r="D148" s="7">
        <v>6.23</v>
      </c>
      <c r="E148" s="23">
        <v>100</v>
      </c>
      <c r="F148" s="23">
        <v>100</v>
      </c>
      <c r="G148" s="16">
        <f>VLOOKUP(A148,'[1]DRDO Kolar Data'!$A:$E,5,0)*1000</f>
        <v>9800</v>
      </c>
      <c r="H148" s="24">
        <f t="shared" si="6"/>
        <v>6765200.6499999948</v>
      </c>
      <c r="I148" s="25">
        <f t="shared" si="7"/>
        <v>26.81222916666729</v>
      </c>
      <c r="J148" s="25">
        <f t="shared" si="8"/>
        <v>19.175738803854863</v>
      </c>
      <c r="K148" s="17" t="s">
        <v>24</v>
      </c>
    </row>
    <row r="149" spans="1:11" ht="15.75" customHeight="1" x14ac:dyDescent="0.2">
      <c r="A149" s="15">
        <v>44952</v>
      </c>
      <c r="B149" s="3">
        <v>148</v>
      </c>
      <c r="C149" s="4">
        <v>63702.60000000149</v>
      </c>
      <c r="D149" s="7">
        <v>6.15</v>
      </c>
      <c r="E149" s="23">
        <v>100</v>
      </c>
      <c r="F149" s="23">
        <v>100</v>
      </c>
      <c r="G149" s="16">
        <f>VLOOKUP(A149,'[1]DRDO Kolar Data'!$A:$E,5,0)*1000</f>
        <v>9800</v>
      </c>
      <c r="H149" s="24">
        <f t="shared" si="6"/>
        <v>6828903.2499999963</v>
      </c>
      <c r="I149" s="25">
        <f t="shared" si="7"/>
        <v>26.54275000000062</v>
      </c>
      <c r="J149" s="25">
        <f t="shared" si="8"/>
        <v>19.22551590653152</v>
      </c>
      <c r="K149" s="17" t="s">
        <v>13</v>
      </c>
    </row>
    <row r="150" spans="1:11" ht="15.75" customHeight="1" x14ac:dyDescent="0.2">
      <c r="A150" s="15">
        <v>44953</v>
      </c>
      <c r="B150" s="3">
        <v>149</v>
      </c>
      <c r="C150" s="4">
        <v>66948.04999999702</v>
      </c>
      <c r="D150" s="7">
        <v>6.44</v>
      </c>
      <c r="E150" s="23">
        <v>100</v>
      </c>
      <c r="F150" s="23">
        <v>100</v>
      </c>
      <c r="G150" s="16">
        <f>VLOOKUP(A150,'[1]DRDO Kolar Data'!$A:$E,5,0)*1000</f>
        <v>9900</v>
      </c>
      <c r="H150" s="24">
        <f t="shared" si="6"/>
        <v>6895851.2999999933</v>
      </c>
      <c r="I150" s="25">
        <f t="shared" si="7"/>
        <v>27.89502083333209</v>
      </c>
      <c r="J150" s="25">
        <f t="shared" si="8"/>
        <v>19.283700503355686</v>
      </c>
      <c r="K150" s="17" t="s">
        <v>24</v>
      </c>
    </row>
    <row r="151" spans="1:11" ht="15.75" customHeight="1" x14ac:dyDescent="0.2">
      <c r="A151" s="15">
        <v>44954</v>
      </c>
      <c r="B151" s="3">
        <v>150</v>
      </c>
      <c r="C151" s="4">
        <v>69550.65000000596</v>
      </c>
      <c r="D151" s="7">
        <v>6.61</v>
      </c>
      <c r="E151" s="23">
        <v>100</v>
      </c>
      <c r="F151" s="23">
        <v>100</v>
      </c>
      <c r="G151" s="16">
        <f>VLOOKUP(A151,'[1]DRDO Kolar Data'!$A:$E,5,0)*1000</f>
        <v>9900</v>
      </c>
      <c r="H151" s="24">
        <f t="shared" si="6"/>
        <v>6965401.9499999993</v>
      </c>
      <c r="I151" s="25">
        <f t="shared" si="7"/>
        <v>28.979437500002486</v>
      </c>
      <c r="J151" s="25">
        <f t="shared" si="8"/>
        <v>19.34833875</v>
      </c>
      <c r="K151" s="17" t="s">
        <v>24</v>
      </c>
    </row>
    <row r="152" spans="1:11" ht="15.75" customHeight="1" x14ac:dyDescent="0.2">
      <c r="A152" s="15">
        <v>44955</v>
      </c>
      <c r="B152" s="3">
        <v>151</v>
      </c>
      <c r="C152" s="4">
        <v>67602.59999999404</v>
      </c>
      <c r="D152" s="7">
        <v>6.38</v>
      </c>
      <c r="E152" s="23">
        <v>100</v>
      </c>
      <c r="F152" s="23">
        <v>100</v>
      </c>
      <c r="G152" s="16">
        <f>VLOOKUP(A152,'[1]DRDO Kolar Data'!$A:$E,5,0)*1000</f>
        <v>9800</v>
      </c>
      <c r="H152" s="24">
        <f t="shared" si="6"/>
        <v>7033004.5499999933</v>
      </c>
      <c r="I152" s="25">
        <f t="shared" si="7"/>
        <v>28.167749999997515</v>
      </c>
      <c r="J152" s="25">
        <f t="shared" si="8"/>
        <v>19.406745447019848</v>
      </c>
      <c r="K152" s="17" t="s">
        <v>24</v>
      </c>
    </row>
    <row r="153" spans="1:11" ht="15.75" customHeight="1" x14ac:dyDescent="0.2">
      <c r="A153" s="15">
        <v>44956</v>
      </c>
      <c r="B153" s="3">
        <v>152</v>
      </c>
      <c r="C153" s="4">
        <v>38998.05000000447</v>
      </c>
      <c r="D153" s="7">
        <v>3.93</v>
      </c>
      <c r="E153" s="23">
        <v>100</v>
      </c>
      <c r="F153" s="23">
        <v>100</v>
      </c>
      <c r="G153" s="16">
        <f>VLOOKUP(A153,'[1]DRDO Kolar Data'!$A:$E,5,0)*1000</f>
        <v>10900</v>
      </c>
      <c r="H153" s="24">
        <f t="shared" si="6"/>
        <v>7072002.5999999978</v>
      </c>
      <c r="I153" s="25">
        <f t="shared" si="7"/>
        <v>16.249187500001863</v>
      </c>
      <c r="J153" s="25">
        <f t="shared" si="8"/>
        <v>19.385972039473678</v>
      </c>
      <c r="K153" s="17" t="s">
        <v>15</v>
      </c>
    </row>
    <row r="154" spans="1:11" ht="15.75" customHeight="1" x14ac:dyDescent="0.2">
      <c r="A154" s="15">
        <v>44957</v>
      </c>
      <c r="B154" s="3">
        <v>153</v>
      </c>
      <c r="C154" s="4">
        <v>46798.05000000447</v>
      </c>
      <c r="D154" s="6">
        <v>4.5</v>
      </c>
      <c r="E154" s="23">
        <v>100</v>
      </c>
      <c r="F154" s="23">
        <v>100</v>
      </c>
      <c r="G154" s="16">
        <f>VLOOKUP(A154,'[1]DRDO Kolar Data'!$A:$E,5,0)*1000</f>
        <v>9600</v>
      </c>
      <c r="H154" s="24">
        <f t="shared" si="6"/>
        <v>7118800.6500000022</v>
      </c>
      <c r="I154" s="25">
        <f t="shared" si="7"/>
        <v>19.499187500001863</v>
      </c>
      <c r="J154" s="25">
        <f t="shared" si="8"/>
        <v>19.386712009803926</v>
      </c>
      <c r="K154" s="17" t="s">
        <v>15</v>
      </c>
    </row>
    <row r="155" spans="1:11" ht="15.75" customHeight="1" x14ac:dyDescent="0.2">
      <c r="A155" s="15">
        <v>44958</v>
      </c>
      <c r="B155" s="3">
        <v>154</v>
      </c>
      <c r="C155" s="4">
        <v>57851.29999999702</v>
      </c>
      <c r="D155" s="5">
        <v>5.57</v>
      </c>
      <c r="E155" s="23">
        <v>100</v>
      </c>
      <c r="F155" s="23">
        <v>100</v>
      </c>
      <c r="G155" s="16">
        <f>VLOOKUP(A155,'[1]DRDO Kolar Data'!$A:$E,5,0)*1000</f>
        <v>10300</v>
      </c>
      <c r="H155" s="24">
        <f t="shared" si="6"/>
        <v>7176651.9499999993</v>
      </c>
      <c r="I155" s="25">
        <f t="shared" si="7"/>
        <v>24.104708333332091</v>
      </c>
      <c r="J155" s="25">
        <f t="shared" si="8"/>
        <v>19.417348349567099</v>
      </c>
      <c r="K155" s="17" t="s">
        <v>13</v>
      </c>
    </row>
    <row r="156" spans="1:11" ht="15.75" customHeight="1" x14ac:dyDescent="0.2">
      <c r="A156" s="15">
        <v>44959</v>
      </c>
      <c r="B156" s="3">
        <v>155</v>
      </c>
      <c r="C156" s="4">
        <v>40950</v>
      </c>
      <c r="D156" s="5">
        <v>3.98</v>
      </c>
      <c r="E156" s="23">
        <v>100</v>
      </c>
      <c r="F156" s="23">
        <v>100</v>
      </c>
      <c r="G156" s="16">
        <f>VLOOKUP(A156,'[1]DRDO Kolar Data'!$A:$E,5,0)*1000</f>
        <v>11100</v>
      </c>
      <c r="H156" s="24">
        <f t="shared" si="6"/>
        <v>7217601.9499999993</v>
      </c>
      <c r="I156" s="25">
        <f t="shared" si="7"/>
        <v>17.0625</v>
      </c>
      <c r="J156" s="25">
        <f t="shared" si="8"/>
        <v>19.402155779569892</v>
      </c>
      <c r="K156" s="17" t="s">
        <v>11</v>
      </c>
    </row>
    <row r="157" spans="1:11" ht="15.75" customHeight="1" x14ac:dyDescent="0.2">
      <c r="A157" s="15">
        <v>44960</v>
      </c>
      <c r="B157" s="3">
        <v>156</v>
      </c>
      <c r="C157" s="4">
        <v>41601.29999999702</v>
      </c>
      <c r="D157" s="5">
        <v>4.13</v>
      </c>
      <c r="E157" s="23">
        <v>100</v>
      </c>
      <c r="F157" s="23">
        <v>100</v>
      </c>
      <c r="G157" s="16">
        <f>VLOOKUP(A157,'[1]DRDO Kolar Data'!$A:$E,5,0)*1000</f>
        <v>10200</v>
      </c>
      <c r="H157" s="24">
        <f t="shared" si="6"/>
        <v>7259203.2499999963</v>
      </c>
      <c r="I157" s="25">
        <f t="shared" si="7"/>
        <v>17.333874999998759</v>
      </c>
      <c r="J157" s="25">
        <f t="shared" si="8"/>
        <v>19.388897569444435</v>
      </c>
      <c r="K157" s="17" t="s">
        <v>11</v>
      </c>
    </row>
    <row r="158" spans="1:11" ht="15.75" customHeight="1" x14ac:dyDescent="0.2">
      <c r="A158" s="15">
        <v>44961</v>
      </c>
      <c r="B158" s="3">
        <v>157</v>
      </c>
      <c r="C158" s="4">
        <v>67598.70000000298</v>
      </c>
      <c r="D158" s="8">
        <v>6.5</v>
      </c>
      <c r="E158" s="23">
        <v>100</v>
      </c>
      <c r="F158" s="23">
        <v>100</v>
      </c>
      <c r="G158" s="16">
        <f>VLOOKUP(A158,'[1]DRDO Kolar Data'!$A:$E,5,0)*1000</f>
        <v>9600</v>
      </c>
      <c r="H158" s="24">
        <f t="shared" si="6"/>
        <v>7326801.9499999993</v>
      </c>
      <c r="I158" s="25">
        <f t="shared" si="7"/>
        <v>28.166125000001241</v>
      </c>
      <c r="J158" s="25">
        <f t="shared" si="8"/>
        <v>19.444803476645433</v>
      </c>
      <c r="K158" s="17" t="s">
        <v>24</v>
      </c>
    </row>
    <row r="159" spans="1:11" ht="15.75" customHeight="1" x14ac:dyDescent="0.2">
      <c r="A159" s="15">
        <v>44962</v>
      </c>
      <c r="B159" s="3">
        <v>158</v>
      </c>
      <c r="C159" s="4">
        <v>70200.64999999851</v>
      </c>
      <c r="D159" s="5">
        <v>6.78</v>
      </c>
      <c r="E159" s="23">
        <v>100</v>
      </c>
      <c r="F159" s="23">
        <v>100</v>
      </c>
      <c r="G159" s="16">
        <f>VLOOKUP(A159,'[1]DRDO Kolar Data'!$A:$E,5,0)*1000</f>
        <v>9800</v>
      </c>
      <c r="H159" s="24">
        <f t="shared" si="6"/>
        <v>7397002.5999999978</v>
      </c>
      <c r="I159" s="25">
        <f t="shared" si="7"/>
        <v>29.250270833332713</v>
      </c>
      <c r="J159" s="25">
        <f t="shared" si="8"/>
        <v>19.506863396624468</v>
      </c>
      <c r="K159" s="17" t="s">
        <v>24</v>
      </c>
    </row>
    <row r="160" spans="1:11" ht="15.75" customHeight="1" x14ac:dyDescent="0.2">
      <c r="A160" s="15">
        <v>44963</v>
      </c>
      <c r="B160" s="3">
        <v>159</v>
      </c>
      <c r="C160" s="4">
        <v>60450</v>
      </c>
      <c r="D160" s="5">
        <v>5.89</v>
      </c>
      <c r="E160" s="23">
        <v>100</v>
      </c>
      <c r="F160" s="23">
        <v>100</v>
      </c>
      <c r="G160" s="16">
        <f>VLOOKUP(A160,'[1]DRDO Kolar Data'!$A:$E,5,0)*1000</f>
        <v>9400</v>
      </c>
      <c r="H160" s="24">
        <f t="shared" si="6"/>
        <v>7457452.5999999978</v>
      </c>
      <c r="I160" s="25">
        <f t="shared" si="7"/>
        <v>25.1875</v>
      </c>
      <c r="J160" s="25">
        <f t="shared" si="8"/>
        <v>19.542590670859532</v>
      </c>
      <c r="K160" s="17" t="s">
        <v>13</v>
      </c>
    </row>
    <row r="161" spans="1:11" ht="15.75" customHeight="1" x14ac:dyDescent="0.2">
      <c r="A161" s="15">
        <v>44964</v>
      </c>
      <c r="B161" s="3">
        <v>160</v>
      </c>
      <c r="C161" s="4">
        <v>63698.69999999553</v>
      </c>
      <c r="D161" s="5">
        <v>6.28</v>
      </c>
      <c r="E161" s="23">
        <v>100</v>
      </c>
      <c r="F161" s="23">
        <v>100</v>
      </c>
      <c r="G161" s="16">
        <f>VLOOKUP(A161,'[1]DRDO Kolar Data'!$A:$E,5,0)*1000</f>
        <v>9000</v>
      </c>
      <c r="H161" s="24">
        <f t="shared" si="6"/>
        <v>7521151.2999999933</v>
      </c>
      <c r="I161" s="25">
        <f t="shared" si="7"/>
        <v>26.541124999998139</v>
      </c>
      <c r="J161" s="25">
        <f t="shared" si="8"/>
        <v>19.586331510416649</v>
      </c>
      <c r="K161" s="17" t="s">
        <v>24</v>
      </c>
    </row>
    <row r="162" spans="1:11" ht="15.75" customHeight="1" x14ac:dyDescent="0.2">
      <c r="A162" s="15">
        <v>44965</v>
      </c>
      <c r="B162" s="3">
        <v>161</v>
      </c>
      <c r="C162" s="4">
        <v>50051.30000000447</v>
      </c>
      <c r="D162" s="7">
        <v>5.74</v>
      </c>
      <c r="E162" s="23">
        <v>100</v>
      </c>
      <c r="F162" s="23">
        <v>77.986111111111114</v>
      </c>
      <c r="G162" s="16">
        <f>VLOOKUP(A162,'[1]DRDO Kolar Data'!$A:$E,5,0)*1000</f>
        <v>9000</v>
      </c>
      <c r="H162" s="24">
        <f t="shared" si="6"/>
        <v>7571202.5999999978</v>
      </c>
      <c r="I162" s="25">
        <f t="shared" si="7"/>
        <v>20.854708333335196</v>
      </c>
      <c r="J162" s="25">
        <f t="shared" si="8"/>
        <v>19.594209627329189</v>
      </c>
      <c r="K162" s="17" t="s">
        <v>13</v>
      </c>
    </row>
    <row r="163" spans="1:11" ht="15.75" customHeight="1" x14ac:dyDescent="0.2">
      <c r="A163" s="15">
        <v>44966</v>
      </c>
      <c r="B163" s="3">
        <v>162</v>
      </c>
      <c r="C163" s="4">
        <v>64349.35000000149</v>
      </c>
      <c r="D163" s="7">
        <v>6.38</v>
      </c>
      <c r="E163" s="23">
        <v>100</v>
      </c>
      <c r="F163" s="23">
        <v>100</v>
      </c>
      <c r="G163" s="16">
        <f>VLOOKUP(A163,'[1]DRDO Kolar Data'!$A:$E,5,0)*1000</f>
        <v>9300</v>
      </c>
      <c r="H163" s="24">
        <f t="shared" si="6"/>
        <v>7635551.9499999993</v>
      </c>
      <c r="I163" s="25">
        <f t="shared" si="7"/>
        <v>26.81222916666729</v>
      </c>
      <c r="J163" s="25">
        <f t="shared" si="8"/>
        <v>19.638765303497941</v>
      </c>
      <c r="K163" s="17" t="s">
        <v>24</v>
      </c>
    </row>
    <row r="164" spans="1:11" ht="15.75" customHeight="1" x14ac:dyDescent="0.2">
      <c r="A164" s="15">
        <v>44967</v>
      </c>
      <c r="B164" s="3">
        <v>163</v>
      </c>
      <c r="C164" s="4">
        <v>68899.35000000149</v>
      </c>
      <c r="D164" s="7">
        <v>6.84</v>
      </c>
      <c r="E164" s="23">
        <v>100</v>
      </c>
      <c r="F164" s="23">
        <v>100</v>
      </c>
      <c r="G164" s="16">
        <f>VLOOKUP(A164,'[1]DRDO Kolar Data'!$A:$E,5,0)*1000</f>
        <v>10100</v>
      </c>
      <c r="H164" s="24">
        <f t="shared" si="6"/>
        <v>7704451.3000000007</v>
      </c>
      <c r="I164" s="25">
        <f t="shared" si="7"/>
        <v>28.708062500000619</v>
      </c>
      <c r="J164" s="25">
        <f t="shared" si="8"/>
        <v>19.694405163599185</v>
      </c>
      <c r="K164" s="17" t="s">
        <v>24</v>
      </c>
    </row>
    <row r="165" spans="1:11" ht="15.75" customHeight="1" x14ac:dyDescent="0.2">
      <c r="A165" s="15">
        <v>44968</v>
      </c>
      <c r="B165" s="3">
        <v>164</v>
      </c>
      <c r="C165" s="4">
        <v>55903.25</v>
      </c>
      <c r="D165" s="7">
        <v>6.81</v>
      </c>
      <c r="E165" s="23">
        <v>100</v>
      </c>
      <c r="F165" s="23">
        <v>94.027777777777771</v>
      </c>
      <c r="G165" s="16">
        <f>VLOOKUP(A165,'[1]DRDO Kolar Data'!$A:$E,5,0)*1000</f>
        <v>10200</v>
      </c>
      <c r="H165" s="24">
        <f t="shared" si="6"/>
        <v>7760354.5500000007</v>
      </c>
      <c r="I165" s="25">
        <f t="shared" si="7"/>
        <v>23.293020833333333</v>
      </c>
      <c r="J165" s="25">
        <f t="shared" si="8"/>
        <v>19.716347942073174</v>
      </c>
      <c r="K165" s="17" t="s">
        <v>13</v>
      </c>
    </row>
    <row r="166" spans="1:11" ht="15.75" customHeight="1" x14ac:dyDescent="0.2">
      <c r="A166" s="15">
        <v>44969</v>
      </c>
      <c r="B166" s="3">
        <v>165</v>
      </c>
      <c r="C166" s="4">
        <v>70848.04999999702</v>
      </c>
      <c r="D166" s="7">
        <v>7.06</v>
      </c>
      <c r="E166" s="23">
        <v>100</v>
      </c>
      <c r="F166" s="23">
        <v>100</v>
      </c>
      <c r="G166" s="16">
        <f>VLOOKUP(A166,'[1]DRDO Kolar Data'!$A:$E,5,0)*1000</f>
        <v>10000</v>
      </c>
      <c r="H166" s="24">
        <f t="shared" si="6"/>
        <v>7831202.5999999978</v>
      </c>
      <c r="I166" s="25">
        <f t="shared" si="7"/>
        <v>29.52002083333209</v>
      </c>
      <c r="J166" s="25">
        <f t="shared" si="8"/>
        <v>19.775764141414136</v>
      </c>
      <c r="K166" s="17" t="s">
        <v>24</v>
      </c>
    </row>
    <row r="167" spans="1:11" ht="15.75" customHeight="1" x14ac:dyDescent="0.2">
      <c r="A167" s="15">
        <v>44970</v>
      </c>
      <c r="B167" s="3">
        <v>166</v>
      </c>
      <c r="C167" s="4">
        <v>69550</v>
      </c>
      <c r="D167" s="6">
        <v>6.9</v>
      </c>
      <c r="E167" s="23">
        <v>100</v>
      </c>
      <c r="F167" s="23">
        <v>100</v>
      </c>
      <c r="G167" s="16">
        <f>VLOOKUP(A167,'[1]DRDO Kolar Data'!$A:$E,5,0)*1000</f>
        <v>9900</v>
      </c>
      <c r="H167" s="24">
        <f t="shared" si="6"/>
        <v>7900752.5999999978</v>
      </c>
      <c r="I167" s="25">
        <f t="shared" si="7"/>
        <v>28.979166666666668</v>
      </c>
      <c r="J167" s="25">
        <f t="shared" si="8"/>
        <v>19.831206325301199</v>
      </c>
      <c r="K167" s="17" t="s">
        <v>24</v>
      </c>
    </row>
    <row r="168" spans="1:11" ht="15.75" customHeight="1" x14ac:dyDescent="0.2">
      <c r="A168" s="15">
        <v>44971</v>
      </c>
      <c r="B168" s="3">
        <v>167</v>
      </c>
      <c r="C168" s="4">
        <v>57200.64999999851</v>
      </c>
      <c r="D168" s="7">
        <v>7.17</v>
      </c>
      <c r="E168" s="23">
        <v>100</v>
      </c>
      <c r="F168" s="23">
        <v>93.472222222222229</v>
      </c>
      <c r="G168" s="16">
        <f>VLOOKUP(A168,'[1]DRDO Kolar Data'!$A:$E,5,0)*1000</f>
        <v>9900</v>
      </c>
      <c r="H168" s="24">
        <f t="shared" si="6"/>
        <v>7957953.2499999963</v>
      </c>
      <c r="I168" s="25">
        <f t="shared" si="7"/>
        <v>23.833604166666046</v>
      </c>
      <c r="J168" s="25">
        <f t="shared" si="8"/>
        <v>19.855172779441109</v>
      </c>
      <c r="K168" s="17" t="s">
        <v>24</v>
      </c>
    </row>
    <row r="169" spans="1:11" ht="15.75" customHeight="1" x14ac:dyDescent="0.2">
      <c r="A169" s="15">
        <v>44972</v>
      </c>
      <c r="B169" s="3">
        <v>168</v>
      </c>
      <c r="C169" s="4">
        <v>70200.65000000596</v>
      </c>
      <c r="D169" s="7">
        <v>6.68</v>
      </c>
      <c r="E169" s="23">
        <v>100</v>
      </c>
      <c r="F169" s="23">
        <v>100</v>
      </c>
      <c r="G169" s="16">
        <f>VLOOKUP(A169,'[1]DRDO Kolar Data'!$A:$E,5,0)*1000</f>
        <v>9900</v>
      </c>
      <c r="H169" s="24">
        <f t="shared" si="6"/>
        <v>8028153.9000000022</v>
      </c>
      <c r="I169" s="25">
        <f t="shared" si="7"/>
        <v>29.250270833335819</v>
      </c>
      <c r="J169" s="25">
        <f t="shared" si="8"/>
        <v>19.911095982142861</v>
      </c>
      <c r="K169" s="17" t="s">
        <v>24</v>
      </c>
    </row>
    <row r="170" spans="1:11" ht="15.75" customHeight="1" x14ac:dyDescent="0.2">
      <c r="A170" s="15">
        <v>44973</v>
      </c>
      <c r="B170" s="3">
        <v>169</v>
      </c>
      <c r="C170" s="4">
        <v>71498.69999999553</v>
      </c>
      <c r="D170" s="6">
        <v>6.7</v>
      </c>
      <c r="E170" s="23">
        <v>100</v>
      </c>
      <c r="F170" s="23">
        <v>100</v>
      </c>
      <c r="G170" s="16">
        <f>VLOOKUP(A170,'[1]DRDO Kolar Data'!$A:$E,5,0)*1000</f>
        <v>10100</v>
      </c>
      <c r="H170" s="24">
        <f t="shared" si="6"/>
        <v>8099652.5999999978</v>
      </c>
      <c r="I170" s="25">
        <f t="shared" si="7"/>
        <v>29.791124999998136</v>
      </c>
      <c r="J170" s="25">
        <f t="shared" si="8"/>
        <v>19.969557692307689</v>
      </c>
      <c r="K170" s="17" t="s">
        <v>24</v>
      </c>
    </row>
    <row r="171" spans="1:11" ht="15.75" customHeight="1" x14ac:dyDescent="0.2">
      <c r="A171" s="15">
        <v>44974</v>
      </c>
      <c r="B171" s="3">
        <v>170</v>
      </c>
      <c r="C171" s="4">
        <v>70851.94999999553</v>
      </c>
      <c r="D171" s="7">
        <v>7.16</v>
      </c>
      <c r="E171" s="23">
        <v>100</v>
      </c>
      <c r="F171" s="23">
        <v>100</v>
      </c>
      <c r="G171" s="16">
        <f>VLOOKUP(A171,'[1]DRDO Kolar Data'!$A:$E,5,0)*1000</f>
        <v>9900</v>
      </c>
      <c r="H171" s="24">
        <f t="shared" si="6"/>
        <v>8170504.5499999933</v>
      </c>
      <c r="I171" s="25">
        <f t="shared" si="7"/>
        <v>29.521645833331473</v>
      </c>
      <c r="J171" s="25">
        <f t="shared" si="8"/>
        <v>20.025746446078415</v>
      </c>
      <c r="K171" s="17" t="s">
        <v>24</v>
      </c>
    </row>
    <row r="172" spans="1:11" ht="15.75" customHeight="1" x14ac:dyDescent="0.2">
      <c r="A172" s="15">
        <v>44975</v>
      </c>
      <c r="B172" s="3">
        <v>171</v>
      </c>
      <c r="C172" s="4">
        <v>67598.05000000447</v>
      </c>
      <c r="D172" s="7">
        <v>6.83</v>
      </c>
      <c r="E172" s="23">
        <v>100</v>
      </c>
      <c r="F172" s="23">
        <v>100</v>
      </c>
      <c r="G172" s="16">
        <f>VLOOKUP(A172,'[1]DRDO Kolar Data'!$A:$E,5,0)*1000</f>
        <v>9600</v>
      </c>
      <c r="H172" s="24">
        <f t="shared" si="6"/>
        <v>8238102.5999999978</v>
      </c>
      <c r="I172" s="25">
        <f t="shared" si="7"/>
        <v>28.165854166668531</v>
      </c>
      <c r="J172" s="25">
        <f t="shared" si="8"/>
        <v>20.073349415204671</v>
      </c>
      <c r="K172" s="17" t="s">
        <v>24</v>
      </c>
    </row>
    <row r="173" spans="1:11" ht="15.75" customHeight="1" x14ac:dyDescent="0.2">
      <c r="A173" s="15">
        <v>44976</v>
      </c>
      <c r="B173" s="3">
        <v>172</v>
      </c>
      <c r="C173" s="4">
        <v>67598.70000000298</v>
      </c>
      <c r="D173" s="7">
        <v>6.95</v>
      </c>
      <c r="E173" s="23">
        <v>100</v>
      </c>
      <c r="F173" s="23">
        <v>100</v>
      </c>
      <c r="G173" s="16">
        <f>VLOOKUP(A173,'[1]DRDO Kolar Data'!$A:$E,5,0)*1000</f>
        <v>9600</v>
      </c>
      <c r="H173" s="24">
        <f t="shared" si="6"/>
        <v>8305701.3000000007</v>
      </c>
      <c r="I173" s="25">
        <f t="shared" si="7"/>
        <v>28.166125000001241</v>
      </c>
      <c r="J173" s="25">
        <f t="shared" si="8"/>
        <v>20.120400436046513</v>
      </c>
      <c r="K173" s="17" t="s">
        <v>24</v>
      </c>
    </row>
    <row r="174" spans="1:11" ht="15.75" customHeight="1" x14ac:dyDescent="0.2">
      <c r="A174" s="15">
        <v>44977</v>
      </c>
      <c r="B174" s="3">
        <v>173</v>
      </c>
      <c r="C174" s="4">
        <v>64349.35000000149</v>
      </c>
      <c r="D174" s="7">
        <v>6.57</v>
      </c>
      <c r="E174" s="23">
        <v>100</v>
      </c>
      <c r="F174" s="23">
        <v>100</v>
      </c>
      <c r="G174" s="16">
        <f>VLOOKUP(A174,'[1]DRDO Kolar Data'!$A:$E,5,0)*1000</f>
        <v>9700</v>
      </c>
      <c r="H174" s="24">
        <f t="shared" si="6"/>
        <v>8370050.6500000022</v>
      </c>
      <c r="I174" s="25">
        <f t="shared" si="7"/>
        <v>26.81222916666729</v>
      </c>
      <c r="J174" s="25">
        <f t="shared" si="8"/>
        <v>20.159081526974955</v>
      </c>
      <c r="K174" s="17" t="s">
        <v>13</v>
      </c>
    </row>
    <row r="175" spans="1:11" ht="15.75" customHeight="1" x14ac:dyDescent="0.2">
      <c r="A175" s="15">
        <v>44978</v>
      </c>
      <c r="B175" s="3">
        <v>174</v>
      </c>
      <c r="C175" s="4">
        <v>69550.649999991059</v>
      </c>
      <c r="D175" s="6">
        <v>7.05</v>
      </c>
      <c r="E175" s="23">
        <v>100</v>
      </c>
      <c r="F175" s="23">
        <v>100</v>
      </c>
      <c r="G175" s="16">
        <f>VLOOKUP(A175,'[1]DRDO Kolar Data'!$A:$E,5,0)*1000</f>
        <v>9800</v>
      </c>
      <c r="H175" s="24">
        <f t="shared" si="6"/>
        <v>8439601.2999999933</v>
      </c>
      <c r="I175" s="25">
        <f t="shared" si="7"/>
        <v>28.979437499996273</v>
      </c>
      <c r="J175" s="25">
        <f t="shared" si="8"/>
        <v>20.209773227969333</v>
      </c>
      <c r="K175" s="17" t="s">
        <v>24</v>
      </c>
    </row>
    <row r="176" spans="1:11" ht="15.75" customHeight="1" x14ac:dyDescent="0.2">
      <c r="A176" s="15">
        <v>44979</v>
      </c>
      <c r="B176" s="3">
        <v>175</v>
      </c>
      <c r="C176" s="4">
        <v>68253.250000007451</v>
      </c>
      <c r="D176" s="6">
        <v>6.9</v>
      </c>
      <c r="E176" s="23">
        <v>100</v>
      </c>
      <c r="F176" s="23">
        <v>100</v>
      </c>
      <c r="G176" s="16">
        <f>VLOOKUP(A176,'[1]DRDO Kolar Data'!$A:$E,5,0)*1000</f>
        <v>9700</v>
      </c>
      <c r="H176" s="24">
        <f t="shared" si="6"/>
        <v>8507854.5500000007</v>
      </c>
      <c r="I176" s="25">
        <f t="shared" si="7"/>
        <v>28.438854166669771</v>
      </c>
      <c r="J176" s="25">
        <f t="shared" si="8"/>
        <v>20.25679654761905</v>
      </c>
      <c r="K176" s="17" t="s">
        <v>24</v>
      </c>
    </row>
    <row r="177" spans="1:11" ht="15.75" customHeight="1" x14ac:dyDescent="0.2">
      <c r="A177" s="15">
        <v>44980</v>
      </c>
      <c r="B177" s="3">
        <v>176</v>
      </c>
      <c r="C177" s="4">
        <v>72799.35000000149</v>
      </c>
      <c r="D177" s="7">
        <v>7.39</v>
      </c>
      <c r="E177" s="23">
        <v>100</v>
      </c>
      <c r="F177" s="23">
        <v>95.138888888888886</v>
      </c>
      <c r="G177" s="16">
        <f>VLOOKUP(A177,'[1]DRDO Kolar Data'!$A:$E,5,0)*1000</f>
        <v>10100</v>
      </c>
      <c r="H177" s="24">
        <f t="shared" si="6"/>
        <v>8580653.9000000022</v>
      </c>
      <c r="I177" s="25">
        <f t="shared" si="7"/>
        <v>30.333062500000619</v>
      </c>
      <c r="J177" s="25">
        <f t="shared" si="8"/>
        <v>20.314048058712125</v>
      </c>
      <c r="K177" s="17" t="s">
        <v>24</v>
      </c>
    </row>
    <row r="178" spans="1:11" ht="15.75" customHeight="1" x14ac:dyDescent="0.2">
      <c r="A178" s="15">
        <v>44981</v>
      </c>
      <c r="B178" s="3">
        <v>177</v>
      </c>
      <c r="C178" s="4">
        <v>68899.999999992549</v>
      </c>
      <c r="D178" s="7">
        <v>7.54</v>
      </c>
      <c r="E178" s="23">
        <v>100</v>
      </c>
      <c r="F178" s="23">
        <v>96.527777777777786</v>
      </c>
      <c r="G178" s="16">
        <f>VLOOKUP(A178,'[1]DRDO Kolar Data'!$A:$E,5,0)*1000</f>
        <v>9900</v>
      </c>
      <c r="H178" s="24">
        <f t="shared" si="6"/>
        <v>8649553.8999999948</v>
      </c>
      <c r="I178" s="25">
        <f t="shared" si="7"/>
        <v>28.708333333330227</v>
      </c>
      <c r="J178" s="25">
        <f t="shared" si="8"/>
        <v>20.361473399246695</v>
      </c>
      <c r="K178" s="17" t="s">
        <v>24</v>
      </c>
    </row>
    <row r="179" spans="1:11" ht="15.75" customHeight="1" x14ac:dyDescent="0.2">
      <c r="A179" s="15">
        <v>44982</v>
      </c>
      <c r="B179" s="3">
        <v>178</v>
      </c>
      <c r="C179" s="4">
        <v>70848.05000000447</v>
      </c>
      <c r="D179" s="7">
        <v>7.21</v>
      </c>
      <c r="E179" s="23">
        <v>100</v>
      </c>
      <c r="F179" s="23">
        <v>100</v>
      </c>
      <c r="G179" s="16">
        <f>VLOOKUP(A179,'[1]DRDO Kolar Data'!$A:$E,5,0)*1000</f>
        <v>9900</v>
      </c>
      <c r="H179" s="24">
        <f t="shared" si="6"/>
        <v>8720401.9499999993</v>
      </c>
      <c r="I179" s="25">
        <f t="shared" si="7"/>
        <v>29.520020833335199</v>
      </c>
      <c r="J179" s="25">
        <f t="shared" si="8"/>
        <v>20.412925912921345</v>
      </c>
      <c r="K179" s="17" t="s">
        <v>24</v>
      </c>
    </row>
    <row r="180" spans="1:11" ht="15.75" customHeight="1" x14ac:dyDescent="0.2">
      <c r="A180" s="15">
        <v>44983</v>
      </c>
      <c r="B180" s="3">
        <v>179</v>
      </c>
      <c r="C180" s="4">
        <v>68249.34999999404</v>
      </c>
      <c r="D180" s="7">
        <v>6.95</v>
      </c>
      <c r="E180" s="23">
        <v>100</v>
      </c>
      <c r="F180" s="23">
        <v>100</v>
      </c>
      <c r="G180" s="16">
        <f>VLOOKUP(A180,'[1]DRDO Kolar Data'!$A:$E,5,0)*1000</f>
        <v>9800</v>
      </c>
      <c r="H180" s="24">
        <f t="shared" si="6"/>
        <v>8788651.2999999933</v>
      </c>
      <c r="I180" s="25">
        <f t="shared" si="7"/>
        <v>28.437229166664185</v>
      </c>
      <c r="J180" s="25">
        <f t="shared" si="8"/>
        <v>20.457754422718793</v>
      </c>
      <c r="K180" s="17" t="s">
        <v>24</v>
      </c>
    </row>
    <row r="181" spans="1:11" ht="15.75" customHeight="1" x14ac:dyDescent="0.2">
      <c r="A181" s="15">
        <v>44984</v>
      </c>
      <c r="B181" s="3">
        <v>180</v>
      </c>
      <c r="C181" s="4">
        <v>70851.30000000447</v>
      </c>
      <c r="D181" s="7">
        <v>7.27</v>
      </c>
      <c r="E181" s="23">
        <v>100</v>
      </c>
      <c r="F181" s="23">
        <v>100</v>
      </c>
      <c r="G181" s="16">
        <f>VLOOKUP(A181,'[1]DRDO Kolar Data'!$A:$E,5,0)*1000</f>
        <v>10100</v>
      </c>
      <c r="H181" s="24">
        <f t="shared" si="6"/>
        <v>8859502.5999999978</v>
      </c>
      <c r="I181" s="25">
        <f t="shared" si="7"/>
        <v>29.521375000001864</v>
      </c>
      <c r="J181" s="25">
        <f t="shared" si="8"/>
        <v>20.508107870370367</v>
      </c>
      <c r="K181" s="17" t="s">
        <v>24</v>
      </c>
    </row>
    <row r="182" spans="1:11" ht="15.75" customHeight="1" x14ac:dyDescent="0.2">
      <c r="A182" s="15">
        <v>44985</v>
      </c>
      <c r="B182" s="3">
        <v>181</v>
      </c>
      <c r="C182" s="4">
        <v>67598.69999999553</v>
      </c>
      <c r="D182" s="7">
        <v>6.82</v>
      </c>
      <c r="E182" s="23">
        <v>100</v>
      </c>
      <c r="F182" s="23">
        <v>93.402777777777786</v>
      </c>
      <c r="G182" s="16">
        <f>VLOOKUP(A182,'[1]DRDO Kolar Data'!$A:$E,5,0)*1000</f>
        <v>9700</v>
      </c>
      <c r="H182" s="24">
        <f t="shared" si="6"/>
        <v>8927101.2999999933</v>
      </c>
      <c r="I182" s="25">
        <f t="shared" si="7"/>
        <v>28.166124999998139</v>
      </c>
      <c r="J182" s="25">
        <f t="shared" si="8"/>
        <v>20.550417357274387</v>
      </c>
      <c r="K182" s="17" t="s">
        <v>24</v>
      </c>
    </row>
    <row r="183" spans="1:11" ht="15.75" customHeight="1" x14ac:dyDescent="0.2">
      <c r="A183" s="15">
        <v>44986</v>
      </c>
      <c r="B183" s="3">
        <v>182</v>
      </c>
      <c r="C183" s="4">
        <v>64349.35000000149</v>
      </c>
      <c r="D183" s="5">
        <v>6.59</v>
      </c>
      <c r="E183" s="23">
        <v>100</v>
      </c>
      <c r="F183" s="23">
        <v>100</v>
      </c>
      <c r="G183" s="16">
        <f>VLOOKUP(A183,'[1]DRDO Kolar Data'!$A:$E,5,0)*1000</f>
        <v>9800</v>
      </c>
      <c r="H183" s="24">
        <f t="shared" si="6"/>
        <v>8991450.6499999948</v>
      </c>
      <c r="I183" s="25">
        <f t="shared" si="7"/>
        <v>26.81222916666729</v>
      </c>
      <c r="J183" s="25">
        <f t="shared" si="8"/>
        <v>20.584822916666653</v>
      </c>
      <c r="K183" s="17" t="s">
        <v>13</v>
      </c>
    </row>
    <row r="184" spans="1:11" ht="15.75" customHeight="1" x14ac:dyDescent="0.2">
      <c r="A184" s="15">
        <v>44987</v>
      </c>
      <c r="B184" s="3">
        <v>183</v>
      </c>
      <c r="C184" s="4">
        <v>71502.60000000149</v>
      </c>
      <c r="D184" s="5">
        <v>7.22</v>
      </c>
      <c r="E184" s="23">
        <v>100</v>
      </c>
      <c r="F184" s="23">
        <v>100</v>
      </c>
      <c r="G184" s="16">
        <f>VLOOKUP(A184,'[1]DRDO Kolar Data'!$A:$E,5,0)*1000</f>
        <v>9800</v>
      </c>
      <c r="H184" s="24">
        <f t="shared" si="6"/>
        <v>9062953.2499999963</v>
      </c>
      <c r="I184" s="25">
        <f t="shared" si="7"/>
        <v>29.792750000000623</v>
      </c>
      <c r="J184" s="25">
        <f t="shared" si="8"/>
        <v>20.635139458105638</v>
      </c>
      <c r="K184" s="17" t="s">
        <v>24</v>
      </c>
    </row>
    <row r="185" spans="1:11" ht="15.75" customHeight="1" x14ac:dyDescent="0.2">
      <c r="A185" s="15">
        <v>44988</v>
      </c>
      <c r="B185" s="3">
        <v>184</v>
      </c>
      <c r="C185" s="4">
        <v>70200.65000000596</v>
      </c>
      <c r="D185" s="5">
        <v>7.16</v>
      </c>
      <c r="E185" s="23">
        <v>100</v>
      </c>
      <c r="F185" s="23">
        <v>100</v>
      </c>
      <c r="G185" s="16">
        <f>VLOOKUP(A185,'[1]DRDO Kolar Data'!$A:$E,5,0)*1000</f>
        <v>9900</v>
      </c>
      <c r="H185" s="24">
        <f t="shared" si="6"/>
        <v>9133153.9000000022</v>
      </c>
      <c r="I185" s="25">
        <f t="shared" si="7"/>
        <v>29.250270833335819</v>
      </c>
      <c r="J185" s="25">
        <f t="shared" si="8"/>
        <v>20.681960824275368</v>
      </c>
      <c r="K185" s="17" t="s">
        <v>24</v>
      </c>
    </row>
    <row r="186" spans="1:11" ht="15.75" customHeight="1" x14ac:dyDescent="0.2">
      <c r="A186" s="15">
        <v>44989</v>
      </c>
      <c r="B186" s="3">
        <v>185</v>
      </c>
      <c r="C186" s="4">
        <v>69546.749999992549</v>
      </c>
      <c r="D186" s="8">
        <v>7.1</v>
      </c>
      <c r="E186" s="23">
        <v>100</v>
      </c>
      <c r="F186" s="23">
        <v>100</v>
      </c>
      <c r="G186" s="16">
        <f>VLOOKUP(A186,'[1]DRDO Kolar Data'!$A:$E,5,0)*1000</f>
        <v>10100</v>
      </c>
      <c r="H186" s="24">
        <f t="shared" si="6"/>
        <v>9202700.6499999948</v>
      </c>
      <c r="I186" s="25">
        <f t="shared" si="7"/>
        <v>28.977812499996897</v>
      </c>
      <c r="J186" s="25">
        <f t="shared" si="8"/>
        <v>20.726803265765753</v>
      </c>
      <c r="K186" s="17" t="s">
        <v>24</v>
      </c>
    </row>
    <row r="187" spans="1:11" ht="15.75" customHeight="1" x14ac:dyDescent="0.2">
      <c r="A187" s="15">
        <v>44990</v>
      </c>
      <c r="B187" s="3">
        <v>186</v>
      </c>
      <c r="C187" s="4">
        <v>69550.65000000596</v>
      </c>
      <c r="D187" s="5">
        <v>7.11</v>
      </c>
      <c r="E187" s="23">
        <v>100</v>
      </c>
      <c r="F187" s="23">
        <v>100</v>
      </c>
      <c r="G187" s="16">
        <f>VLOOKUP(A187,'[1]DRDO Kolar Data'!$A:$E,5,0)*1000</f>
        <v>9700</v>
      </c>
      <c r="H187" s="24">
        <f t="shared" si="6"/>
        <v>9272251.3000000007</v>
      </c>
      <c r="I187" s="25">
        <f t="shared" si="7"/>
        <v>28.979437500002486</v>
      </c>
      <c r="J187" s="25">
        <f t="shared" si="8"/>
        <v>20.771172267025094</v>
      </c>
      <c r="K187" s="17" t="s">
        <v>24</v>
      </c>
    </row>
    <row r="188" spans="1:11" ht="15.75" customHeight="1" x14ac:dyDescent="0.2">
      <c r="A188" s="15">
        <v>44991</v>
      </c>
      <c r="B188" s="3">
        <v>187</v>
      </c>
      <c r="C188" s="4">
        <v>70851.29999999702</v>
      </c>
      <c r="D188" s="5">
        <v>7.23</v>
      </c>
      <c r="E188" s="23">
        <v>100</v>
      </c>
      <c r="F188" s="23">
        <v>100</v>
      </c>
      <c r="G188" s="16">
        <f>VLOOKUP(A188,'[1]DRDO Kolar Data'!$A:$E,5,0)*1000</f>
        <v>9800</v>
      </c>
      <c r="H188" s="24">
        <f t="shared" si="6"/>
        <v>9343102.5999999978</v>
      </c>
      <c r="I188" s="25">
        <f t="shared" si="7"/>
        <v>29.521374999998756</v>
      </c>
      <c r="J188" s="25">
        <f t="shared" si="8"/>
        <v>20.817964795008908</v>
      </c>
      <c r="K188" s="17" t="s">
        <v>24</v>
      </c>
    </row>
    <row r="189" spans="1:11" ht="15.75" customHeight="1" x14ac:dyDescent="0.2">
      <c r="A189" s="15">
        <v>44992</v>
      </c>
      <c r="B189" s="3">
        <v>188</v>
      </c>
      <c r="C189" s="4">
        <v>64350</v>
      </c>
      <c r="D189" s="5">
        <v>6.76</v>
      </c>
      <c r="E189" s="23">
        <v>100</v>
      </c>
      <c r="F189" s="23">
        <v>100</v>
      </c>
      <c r="G189" s="16">
        <f>VLOOKUP(A189,'[1]DRDO Kolar Data'!$A:$E,5,0)*1000</f>
        <v>11000</v>
      </c>
      <c r="H189" s="24">
        <f t="shared" si="6"/>
        <v>9407452.5999999978</v>
      </c>
      <c r="I189" s="25">
        <f t="shared" si="7"/>
        <v>26.8125</v>
      </c>
      <c r="J189" s="25">
        <f t="shared" si="8"/>
        <v>20.84985062056737</v>
      </c>
      <c r="K189" s="17" t="s">
        <v>13</v>
      </c>
    </row>
    <row r="190" spans="1:11" ht="15.75" customHeight="1" x14ac:dyDescent="0.2">
      <c r="A190" s="15">
        <v>44993</v>
      </c>
      <c r="B190" s="3">
        <v>189</v>
      </c>
      <c r="C190" s="4">
        <v>70200.64999999851</v>
      </c>
      <c r="D190" s="7">
        <v>7.24</v>
      </c>
      <c r="E190" s="23">
        <v>100</v>
      </c>
      <c r="F190" s="23">
        <v>100</v>
      </c>
      <c r="G190" s="16">
        <f>VLOOKUP(A190,'[1]DRDO Kolar Data'!$A:$E,5,0)*1000</f>
        <v>9900</v>
      </c>
      <c r="H190" s="24">
        <f t="shared" si="6"/>
        <v>9477653.2499999963</v>
      </c>
      <c r="I190" s="25">
        <f t="shared" si="7"/>
        <v>29.250270833332713</v>
      </c>
      <c r="J190" s="25">
        <f t="shared" si="8"/>
        <v>20.89429728835978</v>
      </c>
      <c r="K190" s="17" t="s">
        <v>24</v>
      </c>
    </row>
    <row r="191" spans="1:11" ht="15.75" customHeight="1" x14ac:dyDescent="0.2">
      <c r="A191" s="15">
        <v>44994</v>
      </c>
      <c r="B191" s="3">
        <v>190</v>
      </c>
      <c r="C191" s="4">
        <v>56550</v>
      </c>
      <c r="D191" s="7">
        <v>5.81</v>
      </c>
      <c r="E191" s="23">
        <v>100</v>
      </c>
      <c r="F191" s="23">
        <v>100</v>
      </c>
      <c r="G191" s="16">
        <f>VLOOKUP(A191,'[1]DRDO Kolar Data'!$A:$E,5,0)*1000</f>
        <v>10500</v>
      </c>
      <c r="H191" s="24">
        <f t="shared" si="6"/>
        <v>9534203.2499999963</v>
      </c>
      <c r="I191" s="25">
        <f t="shared" si="7"/>
        <v>23.5625</v>
      </c>
      <c r="J191" s="25">
        <f t="shared" si="8"/>
        <v>20.908340460526308</v>
      </c>
      <c r="K191" s="17" t="s">
        <v>11</v>
      </c>
    </row>
    <row r="192" spans="1:11" ht="15.75" customHeight="1" x14ac:dyDescent="0.2">
      <c r="A192" s="15">
        <v>44995</v>
      </c>
      <c r="B192" s="3">
        <v>191</v>
      </c>
      <c r="C192" s="4">
        <v>62401.30000000447</v>
      </c>
      <c r="D192" s="7">
        <v>6.28</v>
      </c>
      <c r="E192" s="23">
        <v>100</v>
      </c>
      <c r="F192" s="23">
        <v>100</v>
      </c>
      <c r="G192" s="16">
        <f>VLOOKUP(A192,'[1]DRDO Kolar Data'!$A:$E,5,0)*1000</f>
        <v>11100</v>
      </c>
      <c r="H192" s="24">
        <f t="shared" si="6"/>
        <v>9596604.5500000007</v>
      </c>
      <c r="I192" s="25">
        <f t="shared" si="7"/>
        <v>26.000541666668532</v>
      </c>
      <c r="J192" s="25">
        <f t="shared" si="8"/>
        <v>20.935001199825482</v>
      </c>
      <c r="K192" s="17" t="s">
        <v>13</v>
      </c>
    </row>
    <row r="193" spans="1:11" ht="15.75" customHeight="1" x14ac:dyDescent="0.2">
      <c r="A193" s="15">
        <v>44996</v>
      </c>
      <c r="B193" s="3">
        <v>192</v>
      </c>
      <c r="C193" s="4">
        <v>70197.39999999851</v>
      </c>
      <c r="D193" s="7">
        <v>7.32</v>
      </c>
      <c r="E193" s="23">
        <v>100</v>
      </c>
      <c r="F193" s="23">
        <v>100</v>
      </c>
      <c r="G193" s="16">
        <f>VLOOKUP(A193,'[1]DRDO Kolar Data'!$A:$E,5,0)*1000</f>
        <v>10000</v>
      </c>
      <c r="H193" s="24">
        <f t="shared" si="6"/>
        <v>9666801.9499999993</v>
      </c>
      <c r="I193" s="25">
        <f t="shared" si="7"/>
        <v>29.248916666666048</v>
      </c>
      <c r="J193" s="25">
        <f t="shared" si="8"/>
        <v>20.978302842881945</v>
      </c>
      <c r="K193" s="17" t="s">
        <v>24</v>
      </c>
    </row>
    <row r="194" spans="1:11" ht="15.75" customHeight="1" x14ac:dyDescent="0.2">
      <c r="A194" s="15">
        <v>44997</v>
      </c>
      <c r="B194" s="3">
        <v>193</v>
      </c>
      <c r="C194" s="4">
        <v>68248.70000000298</v>
      </c>
      <c r="D194" s="7">
        <v>7.19</v>
      </c>
      <c r="E194" s="23">
        <v>100</v>
      </c>
      <c r="F194" s="23">
        <v>100</v>
      </c>
      <c r="G194" s="16">
        <f>VLOOKUP(A194,'[1]DRDO Kolar Data'!$A:$E,5,0)*1000</f>
        <v>9800</v>
      </c>
      <c r="H194" s="24">
        <f t="shared" si="6"/>
        <v>9735050.6500000022</v>
      </c>
      <c r="I194" s="25">
        <f t="shared" si="7"/>
        <v>28.436958333334577</v>
      </c>
      <c r="J194" s="25">
        <f t="shared" si="8"/>
        <v>21.016948726252163</v>
      </c>
      <c r="K194" s="17" t="s">
        <v>24</v>
      </c>
    </row>
    <row r="195" spans="1:11" ht="15.75" customHeight="1" x14ac:dyDescent="0.2">
      <c r="A195" s="15">
        <v>44998</v>
      </c>
      <c r="B195" s="3">
        <v>194</v>
      </c>
      <c r="C195" s="4">
        <v>61751.29999999702</v>
      </c>
      <c r="D195" s="6">
        <v>6.5</v>
      </c>
      <c r="E195" s="23">
        <v>100</v>
      </c>
      <c r="F195" s="23">
        <v>100</v>
      </c>
      <c r="G195" s="16">
        <f>VLOOKUP(A195,'[1]DRDO Kolar Data'!$A:$E,5,0)*1000</f>
        <v>9600</v>
      </c>
      <c r="H195" s="24">
        <f t="shared" ref="H195:H213" si="9">H194+C195</f>
        <v>9796801.9499999993</v>
      </c>
      <c r="I195" s="25">
        <f t="shared" ref="I195:I258" si="10">(C195/(10*24*1000))*100</f>
        <v>25.729708333332091</v>
      </c>
      <c r="J195" s="25">
        <f t="shared" ref="J195:J258" si="11">(H195/(24*B195*10*1000))*100</f>
        <v>21.041241301546389</v>
      </c>
      <c r="K195" s="17" t="s">
        <v>13</v>
      </c>
    </row>
    <row r="196" spans="1:11" ht="15.75" customHeight="1" x14ac:dyDescent="0.2">
      <c r="A196" s="15">
        <v>44999</v>
      </c>
      <c r="B196" s="3">
        <v>195</v>
      </c>
      <c r="C196" s="4">
        <v>64349.34999999404</v>
      </c>
      <c r="D196" s="7">
        <v>6.89</v>
      </c>
      <c r="E196" s="23">
        <v>100</v>
      </c>
      <c r="F196" s="23">
        <v>100</v>
      </c>
      <c r="G196" s="16">
        <f>VLOOKUP(A196,'[1]DRDO Kolar Data'!$A:$E,5,0)*1000</f>
        <v>9500</v>
      </c>
      <c r="H196" s="24">
        <f t="shared" si="9"/>
        <v>9861151.2999999933</v>
      </c>
      <c r="I196" s="25">
        <f t="shared" si="10"/>
        <v>26.812229166664181</v>
      </c>
      <c r="J196" s="25">
        <f t="shared" si="11"/>
        <v>21.070836111111095</v>
      </c>
      <c r="K196" s="17" t="s">
        <v>13</v>
      </c>
    </row>
    <row r="197" spans="1:11" ht="15.75" customHeight="1" x14ac:dyDescent="0.2">
      <c r="A197" s="15">
        <v>45000</v>
      </c>
      <c r="B197" s="3">
        <v>196</v>
      </c>
      <c r="C197" s="4">
        <v>57200</v>
      </c>
      <c r="D197" s="7">
        <v>6.26</v>
      </c>
      <c r="E197" s="23">
        <v>100</v>
      </c>
      <c r="F197" s="23">
        <v>100</v>
      </c>
      <c r="G197" s="16">
        <f>VLOOKUP(A197,'[1]DRDO Kolar Data'!$A:$E,5,0)*1000</f>
        <v>8800</v>
      </c>
      <c r="H197" s="24">
        <f t="shared" si="9"/>
        <v>9918351.2999999933</v>
      </c>
      <c r="I197" s="25">
        <f t="shared" si="10"/>
        <v>23.833333333333336</v>
      </c>
      <c r="J197" s="25">
        <f t="shared" si="11"/>
        <v>21.084930484693864</v>
      </c>
      <c r="K197" s="17" t="s">
        <v>13</v>
      </c>
    </row>
    <row r="198" spans="1:11" ht="15.75" customHeight="1" x14ac:dyDescent="0.2">
      <c r="A198" s="15">
        <v>45001</v>
      </c>
      <c r="B198" s="3">
        <v>197</v>
      </c>
      <c r="C198" s="4">
        <v>45500.65000000596</v>
      </c>
      <c r="D198" s="6">
        <v>5.22</v>
      </c>
      <c r="E198" s="26">
        <v>100</v>
      </c>
      <c r="F198" s="26">
        <v>89.166666666666671</v>
      </c>
      <c r="G198" s="16">
        <f>VLOOKUP(A198,'[1]DRDO Kolar Data'!$A:$E,5,0)*1000</f>
        <v>8800</v>
      </c>
      <c r="H198" s="24">
        <f t="shared" si="9"/>
        <v>9963851.9499999993</v>
      </c>
      <c r="I198" s="25">
        <f t="shared" si="10"/>
        <v>18.958604166669151</v>
      </c>
      <c r="J198" s="25">
        <f t="shared" si="11"/>
        <v>21.074136950084601</v>
      </c>
      <c r="K198" s="18" t="s">
        <v>25</v>
      </c>
    </row>
    <row r="199" spans="1:11" ht="15.75" customHeight="1" x14ac:dyDescent="0.2">
      <c r="A199" s="15">
        <v>45002</v>
      </c>
      <c r="B199" s="3">
        <v>198</v>
      </c>
      <c r="C199" s="4">
        <v>42251.94999999553</v>
      </c>
      <c r="D199" s="7">
        <v>4.83</v>
      </c>
      <c r="E199" s="23">
        <v>100</v>
      </c>
      <c r="F199" s="23">
        <v>99.305555555555557</v>
      </c>
      <c r="G199" s="16">
        <f>VLOOKUP(A199,'[1]DRDO Kolar Data'!$A:$E,5,0)*1000</f>
        <v>9900</v>
      </c>
      <c r="H199" s="24">
        <f t="shared" si="9"/>
        <v>10006103.899999995</v>
      </c>
      <c r="I199" s="25">
        <f t="shared" si="10"/>
        <v>17.604979166664805</v>
      </c>
      <c r="J199" s="25">
        <f t="shared" si="11"/>
        <v>21.05661595117844</v>
      </c>
      <c r="K199" s="17" t="s">
        <v>10</v>
      </c>
    </row>
    <row r="200" spans="1:11" ht="15.75" customHeight="1" x14ac:dyDescent="0.2">
      <c r="A200" s="15">
        <v>45003</v>
      </c>
      <c r="B200" s="3">
        <v>199</v>
      </c>
      <c r="C200" s="4">
        <v>56549.35000000149</v>
      </c>
      <c r="D200" s="7">
        <v>5.96</v>
      </c>
      <c r="E200" s="23">
        <v>100</v>
      </c>
      <c r="F200" s="23">
        <v>100</v>
      </c>
      <c r="G200" s="16">
        <f>VLOOKUP(A200,'[1]DRDO Kolar Data'!$A:$E,5,0)*1000</f>
        <v>10200</v>
      </c>
      <c r="H200" s="24">
        <f t="shared" si="9"/>
        <v>10062653.249999996</v>
      </c>
      <c r="I200" s="25">
        <f t="shared" si="10"/>
        <v>23.562229166667287</v>
      </c>
      <c r="J200" s="25">
        <f t="shared" si="11"/>
        <v>21.069206972361801</v>
      </c>
      <c r="K200" s="17" t="s">
        <v>26</v>
      </c>
    </row>
    <row r="201" spans="1:11" ht="15.75" customHeight="1" x14ac:dyDescent="0.2">
      <c r="A201" s="15">
        <v>45004</v>
      </c>
      <c r="B201" s="3">
        <v>200</v>
      </c>
      <c r="C201" s="4">
        <v>51999.35000000149</v>
      </c>
      <c r="D201" s="7">
        <v>5.31</v>
      </c>
      <c r="E201" s="23">
        <v>100</v>
      </c>
      <c r="F201" s="23">
        <v>100</v>
      </c>
      <c r="G201" s="16">
        <f>VLOOKUP(A201,'[1]DRDO Kolar Data'!$A:$E,5,0)*1000</f>
        <v>10800</v>
      </c>
      <c r="H201" s="24">
        <f t="shared" si="9"/>
        <v>10114652.599999998</v>
      </c>
      <c r="I201" s="25">
        <f t="shared" si="10"/>
        <v>21.666395833333954</v>
      </c>
      <c r="J201" s="25">
        <f t="shared" si="11"/>
        <v>21.072192916666662</v>
      </c>
      <c r="K201" s="17" t="s">
        <v>11</v>
      </c>
    </row>
    <row r="202" spans="1:11" ht="15.75" customHeight="1" x14ac:dyDescent="0.2">
      <c r="A202" s="15">
        <v>45005</v>
      </c>
      <c r="B202" s="3">
        <v>201</v>
      </c>
      <c r="C202" s="4">
        <v>58501.30000000447</v>
      </c>
      <c r="D202" s="7">
        <v>4.6900000000000004</v>
      </c>
      <c r="E202" s="23">
        <v>100</v>
      </c>
      <c r="F202" s="23">
        <v>99.305555555555557</v>
      </c>
      <c r="G202" s="16">
        <f>VLOOKUP(A202,'[1]DRDO Kolar Data'!$A:$E,5,0)*1000</f>
        <v>10600</v>
      </c>
      <c r="H202" s="24">
        <f t="shared" si="9"/>
        <v>10173153.900000002</v>
      </c>
      <c r="I202" s="25">
        <f t="shared" si="10"/>
        <v>24.375541666668529</v>
      </c>
      <c r="J202" s="25">
        <f t="shared" si="11"/>
        <v>21.088627487562196</v>
      </c>
      <c r="K202" s="17" t="s">
        <v>13</v>
      </c>
    </row>
    <row r="203" spans="1:11" ht="15.75" customHeight="1" x14ac:dyDescent="0.2">
      <c r="A203" s="15">
        <v>45006</v>
      </c>
      <c r="B203" s="3">
        <v>202</v>
      </c>
      <c r="C203" s="4">
        <v>66948.04999999702</v>
      </c>
      <c r="D203" s="6">
        <v>7.23</v>
      </c>
      <c r="E203" s="23">
        <v>100</v>
      </c>
      <c r="F203" s="23">
        <v>100</v>
      </c>
      <c r="G203" s="16">
        <f>VLOOKUP(A203,'[1]DRDO Kolar Data'!$A:$E,5,0)*1000</f>
        <v>9300</v>
      </c>
      <c r="H203" s="24">
        <f t="shared" si="9"/>
        <v>10240101.949999999</v>
      </c>
      <c r="I203" s="25">
        <f t="shared" si="10"/>
        <v>27.89502083333209</v>
      </c>
      <c r="J203" s="25">
        <f t="shared" si="11"/>
        <v>21.12232250412541</v>
      </c>
      <c r="K203" s="17" t="s">
        <v>24</v>
      </c>
    </row>
    <row r="204" spans="1:11" ht="15.75" customHeight="1" x14ac:dyDescent="0.2">
      <c r="A204" s="15">
        <v>45007</v>
      </c>
      <c r="B204" s="3">
        <v>203</v>
      </c>
      <c r="C204" s="4">
        <v>59799.34999999404</v>
      </c>
      <c r="D204" s="6">
        <v>6.57</v>
      </c>
      <c r="E204" s="23">
        <v>100</v>
      </c>
      <c r="F204" s="23">
        <v>100</v>
      </c>
      <c r="G204" s="16">
        <f>VLOOKUP(A204,'[1]DRDO Kolar Data'!$A:$E,5,0)*1000</f>
        <v>9100</v>
      </c>
      <c r="H204" s="24">
        <f t="shared" si="9"/>
        <v>10299901.299999993</v>
      </c>
      <c r="I204" s="25">
        <f t="shared" si="10"/>
        <v>24.916395833330853</v>
      </c>
      <c r="J204" s="25">
        <f t="shared" si="11"/>
        <v>21.141012520525436</v>
      </c>
      <c r="K204" s="17" t="s">
        <v>13</v>
      </c>
    </row>
    <row r="205" spans="1:11" ht="15.75" customHeight="1" x14ac:dyDescent="0.2">
      <c r="A205" s="15">
        <v>45008</v>
      </c>
      <c r="B205" s="3">
        <v>204</v>
      </c>
      <c r="C205" s="4">
        <v>53300.000000007451</v>
      </c>
      <c r="D205" s="7">
        <v>5.83</v>
      </c>
      <c r="E205" s="23">
        <v>100</v>
      </c>
      <c r="F205" s="23">
        <v>100</v>
      </c>
      <c r="G205" s="16">
        <f>VLOOKUP(A205,'[1]DRDO Kolar Data'!$A:$E,5,0)*1000</f>
        <v>8800</v>
      </c>
      <c r="H205" s="24">
        <f t="shared" si="9"/>
        <v>10353201.300000001</v>
      </c>
      <c r="I205" s="25">
        <f t="shared" si="10"/>
        <v>22.208333333336437</v>
      </c>
      <c r="J205" s="25">
        <f t="shared" si="11"/>
        <v>21.146244485294119</v>
      </c>
      <c r="K205" s="17" t="s">
        <v>13</v>
      </c>
    </row>
    <row r="206" spans="1:11" ht="15.75" customHeight="1" x14ac:dyDescent="0.2">
      <c r="A206" s="15">
        <v>45009</v>
      </c>
      <c r="B206" s="3">
        <v>205</v>
      </c>
      <c r="C206" s="4">
        <v>59803.249999992549</v>
      </c>
      <c r="D206" s="7">
        <v>6.77</v>
      </c>
      <c r="E206" s="23">
        <v>100</v>
      </c>
      <c r="F206" s="23">
        <v>100</v>
      </c>
      <c r="G206" s="16">
        <f>VLOOKUP(A206,'[1]DRDO Kolar Data'!$A:$E,5,0)*1000</f>
        <v>9100</v>
      </c>
      <c r="H206" s="24">
        <f t="shared" si="9"/>
        <v>10413004.549999993</v>
      </c>
      <c r="I206" s="25">
        <f t="shared" si="10"/>
        <v>24.918020833330228</v>
      </c>
      <c r="J206" s="25">
        <f t="shared" si="11"/>
        <v>21.164643394308928</v>
      </c>
      <c r="K206" s="17" t="s">
        <v>13</v>
      </c>
    </row>
    <row r="207" spans="1:11" ht="15.75" customHeight="1" x14ac:dyDescent="0.2">
      <c r="A207" s="15">
        <v>45010</v>
      </c>
      <c r="B207" s="3">
        <v>206</v>
      </c>
      <c r="C207" s="4">
        <v>54597.40000000596</v>
      </c>
      <c r="D207" s="7">
        <v>6.06</v>
      </c>
      <c r="E207" s="23">
        <v>100</v>
      </c>
      <c r="F207" s="23">
        <v>100</v>
      </c>
      <c r="G207" s="16">
        <f>VLOOKUP(A207,'[1]DRDO Kolar Data'!$A:$E,5,0)*1000</f>
        <v>8900</v>
      </c>
      <c r="H207" s="24">
        <f t="shared" si="9"/>
        <v>10467601.949999999</v>
      </c>
      <c r="I207" s="25">
        <f t="shared" si="10"/>
        <v>22.74891666666915</v>
      </c>
      <c r="J207" s="25">
        <f t="shared" si="11"/>
        <v>21.172334041262133</v>
      </c>
      <c r="K207" s="17" t="s">
        <v>13</v>
      </c>
    </row>
    <row r="208" spans="1:11" ht="15.75" customHeight="1" x14ac:dyDescent="0.2">
      <c r="A208" s="15">
        <v>45011</v>
      </c>
      <c r="B208" s="3">
        <v>207</v>
      </c>
      <c r="C208" s="4">
        <v>44850.64999999851</v>
      </c>
      <c r="D208" s="7">
        <v>4.95</v>
      </c>
      <c r="E208" s="23">
        <v>100</v>
      </c>
      <c r="F208" s="23">
        <v>100</v>
      </c>
      <c r="G208" s="16">
        <f>VLOOKUP(A208,'[1]DRDO Kolar Data'!$A:$E,5,0)*1000</f>
        <v>8300</v>
      </c>
      <c r="H208" s="24">
        <f t="shared" si="9"/>
        <v>10512452.599999998</v>
      </c>
      <c r="I208" s="25">
        <f t="shared" si="10"/>
        <v>18.687770833332713</v>
      </c>
      <c r="J208" s="25">
        <f t="shared" si="11"/>
        <v>21.160331320450883</v>
      </c>
      <c r="K208" s="17" t="s">
        <v>11</v>
      </c>
    </row>
    <row r="209" spans="1:11" ht="15.75" customHeight="1" x14ac:dyDescent="0.2">
      <c r="A209" s="15">
        <v>45012</v>
      </c>
      <c r="B209" s="3">
        <v>208</v>
      </c>
      <c r="C209" s="4">
        <v>63051.94999999553</v>
      </c>
      <c r="D209" s="7">
        <v>6.84</v>
      </c>
      <c r="E209" s="23">
        <v>100</v>
      </c>
      <c r="F209" s="23">
        <v>100</v>
      </c>
      <c r="G209" s="16">
        <f>VLOOKUP(A209,'[1]DRDO Kolar Data'!$A:$E,5,0)*1000</f>
        <v>9300</v>
      </c>
      <c r="H209" s="24">
        <f t="shared" si="9"/>
        <v>10575504.549999993</v>
      </c>
      <c r="I209" s="25">
        <f t="shared" si="10"/>
        <v>26.271645833331469</v>
      </c>
      <c r="J209" s="25">
        <f t="shared" si="11"/>
        <v>21.184904947916653</v>
      </c>
      <c r="K209" s="17" t="s">
        <v>13</v>
      </c>
    </row>
    <row r="210" spans="1:11" ht="15.75" customHeight="1" x14ac:dyDescent="0.2">
      <c r="A210" s="15">
        <v>45013</v>
      </c>
      <c r="B210" s="3">
        <v>209</v>
      </c>
      <c r="C210" s="4">
        <v>61746.750000007451</v>
      </c>
      <c r="D210" s="7">
        <v>7.07</v>
      </c>
      <c r="E210" s="23">
        <v>100</v>
      </c>
      <c r="F210" s="23">
        <v>99.305555555555557</v>
      </c>
      <c r="G210" s="16">
        <f>VLOOKUP(A210,'[1]DRDO Kolar Data'!$A:$E,5,0)*1000</f>
        <v>8700</v>
      </c>
      <c r="H210" s="24">
        <f t="shared" si="9"/>
        <v>10637251.300000001</v>
      </c>
      <c r="I210" s="25">
        <f t="shared" si="10"/>
        <v>25.727812500003104</v>
      </c>
      <c r="J210" s="25">
        <f t="shared" si="11"/>
        <v>21.206641347687402</v>
      </c>
      <c r="K210" s="17" t="s">
        <v>13</v>
      </c>
    </row>
    <row r="211" spans="1:11" ht="15.75" customHeight="1" x14ac:dyDescent="0.2">
      <c r="A211" s="15">
        <v>45014</v>
      </c>
      <c r="B211" s="3">
        <v>210</v>
      </c>
      <c r="C211" s="4">
        <v>52003.249999992549</v>
      </c>
      <c r="D211" s="10">
        <v>6.74</v>
      </c>
      <c r="E211" s="23">
        <v>100</v>
      </c>
      <c r="F211" s="23">
        <v>93.333333333333329</v>
      </c>
      <c r="G211" s="16">
        <f>VLOOKUP(A211,'[1]DRDO Kolar Data'!$A:$E,5,0)*1000</f>
        <v>9000</v>
      </c>
      <c r="H211" s="24">
        <f t="shared" si="9"/>
        <v>10689254.549999993</v>
      </c>
      <c r="I211" s="25">
        <f t="shared" si="10"/>
        <v>21.668020833330228</v>
      </c>
      <c r="J211" s="25">
        <f t="shared" si="11"/>
        <v>21.208838392857128</v>
      </c>
      <c r="K211" s="17" t="s">
        <v>13</v>
      </c>
    </row>
    <row r="212" spans="1:11" ht="15.75" customHeight="1" x14ac:dyDescent="0.2">
      <c r="A212" s="15">
        <v>45015</v>
      </c>
      <c r="B212" s="3">
        <v>211</v>
      </c>
      <c r="C212" s="4">
        <v>52649.350000008941</v>
      </c>
      <c r="D212" s="9">
        <v>5.05</v>
      </c>
      <c r="E212" s="23">
        <v>100</v>
      </c>
      <c r="F212" s="23">
        <v>100</v>
      </c>
      <c r="G212" s="16">
        <f>VLOOKUP(A212,'[1]DRDO Kolar Data'!$A:$E,5,0)*1000</f>
        <v>9700</v>
      </c>
      <c r="H212" s="24">
        <f t="shared" si="9"/>
        <v>10741903.900000002</v>
      </c>
      <c r="I212" s="25">
        <f t="shared" si="10"/>
        <v>21.937229166670392</v>
      </c>
      <c r="J212" s="25">
        <f t="shared" si="11"/>
        <v>21.21229048183255</v>
      </c>
      <c r="K212" s="17" t="s">
        <v>13</v>
      </c>
    </row>
    <row r="213" spans="1:11" ht="15.75" customHeight="1" x14ac:dyDescent="0.2">
      <c r="A213" s="15">
        <v>45016</v>
      </c>
      <c r="B213" s="3">
        <v>212</v>
      </c>
      <c r="C213" s="4">
        <v>40950.64999999851</v>
      </c>
      <c r="D213" s="9">
        <v>5.41</v>
      </c>
      <c r="E213" s="23">
        <v>100</v>
      </c>
      <c r="F213" s="23">
        <v>94.375</v>
      </c>
      <c r="G213" s="16">
        <f>VLOOKUP(A213,'[1]DRDO Kolar Data'!$A:$E,5,0)*1000</f>
        <v>7900</v>
      </c>
      <c r="H213" s="24">
        <f t="shared" si="9"/>
        <v>10782854.550000001</v>
      </c>
      <c r="I213" s="25">
        <f t="shared" si="10"/>
        <v>17.062770833332713</v>
      </c>
      <c r="J213" s="25">
        <f t="shared" si="11"/>
        <v>21.192717275943398</v>
      </c>
      <c r="K213" s="17" t="s">
        <v>11</v>
      </c>
    </row>
    <row r="214" spans="1:11" ht="15.75" customHeight="1" x14ac:dyDescent="0.2">
      <c r="A214" s="15">
        <v>45017</v>
      </c>
      <c r="B214" s="3">
        <f>VLOOKUP(A214,'[1]BADI SID DATA'!A:B,2,0)</f>
        <v>1</v>
      </c>
      <c r="C214" s="4">
        <v>44199.34999999404</v>
      </c>
      <c r="D214" s="5">
        <v>5.1100000000000003</v>
      </c>
      <c r="E214" s="23">
        <v>100</v>
      </c>
      <c r="F214" s="23">
        <v>100</v>
      </c>
      <c r="G214" s="16">
        <f>VLOOKUP(A214,'[1]DRDO Kolar Data'!$A:$E,5,0)*1000</f>
        <v>9700</v>
      </c>
      <c r="H214" s="24">
        <f>C214</f>
        <v>44199.34999999404</v>
      </c>
      <c r="I214" s="25">
        <f t="shared" si="10"/>
        <v>18.416395833330849</v>
      </c>
      <c r="J214" s="25">
        <f t="shared" si="11"/>
        <v>18.416395833330849</v>
      </c>
      <c r="K214" s="17" t="s">
        <v>11</v>
      </c>
    </row>
    <row r="215" spans="1:11" ht="15.75" customHeight="1" x14ac:dyDescent="0.2">
      <c r="A215" s="15">
        <v>45018</v>
      </c>
      <c r="B215" s="3">
        <f>VLOOKUP(A215,'[1]BADI SID DATA'!A:B,2,0)</f>
        <v>2</v>
      </c>
      <c r="C215" s="4">
        <v>40300</v>
      </c>
      <c r="D215" s="5">
        <v>4.32</v>
      </c>
      <c r="E215" s="23">
        <v>100</v>
      </c>
      <c r="F215" s="23">
        <v>100</v>
      </c>
      <c r="G215" s="16">
        <f>VLOOKUP(A215,'[1]DRDO Kolar Data'!$A:$E,5,0)*1000</f>
        <v>10000</v>
      </c>
      <c r="H215" s="24">
        <f t="shared" ref="H215:H278" si="12">C215+H214</f>
        <v>84499.34999999404</v>
      </c>
      <c r="I215" s="25">
        <f t="shared" si="10"/>
        <v>16.791666666666664</v>
      </c>
      <c r="J215" s="25">
        <f t="shared" si="11"/>
        <v>17.604031249998759</v>
      </c>
      <c r="K215" s="17" t="s">
        <v>15</v>
      </c>
    </row>
    <row r="216" spans="1:11" ht="15.75" customHeight="1" x14ac:dyDescent="0.2">
      <c r="A216" s="15">
        <v>45019</v>
      </c>
      <c r="B216" s="3">
        <f>VLOOKUP(A216,'[1]BADI SID DATA'!A:B,2,0)</f>
        <v>3</v>
      </c>
      <c r="C216" s="4">
        <v>44850.000000007451</v>
      </c>
      <c r="D216" s="5">
        <v>5.04</v>
      </c>
      <c r="E216" s="23">
        <v>100</v>
      </c>
      <c r="F216" s="23">
        <v>100</v>
      </c>
      <c r="G216" s="16">
        <f>VLOOKUP(A216,'[1]DRDO Kolar Data'!$A:$E,5,0)*1000</f>
        <v>9800</v>
      </c>
      <c r="H216" s="24">
        <f t="shared" si="12"/>
        <v>129349.35000000149</v>
      </c>
      <c r="I216" s="25">
        <f t="shared" si="10"/>
        <v>18.687500000003105</v>
      </c>
      <c r="J216" s="25">
        <f t="shared" si="11"/>
        <v>17.965187500000209</v>
      </c>
      <c r="K216" s="17" t="s">
        <v>11</v>
      </c>
    </row>
    <row r="217" spans="1:11" ht="15.75" customHeight="1" x14ac:dyDescent="0.2">
      <c r="A217" s="15">
        <v>45020</v>
      </c>
      <c r="B217" s="3">
        <f>VLOOKUP(A217,'[1]BADI SID DATA'!A:B,2,0)</f>
        <v>4</v>
      </c>
      <c r="C217" s="4">
        <v>47448.69999999553</v>
      </c>
      <c r="D217" s="8">
        <v>5.44</v>
      </c>
      <c r="E217" s="23">
        <v>100</v>
      </c>
      <c r="F217" s="23">
        <v>100</v>
      </c>
      <c r="G217" s="16">
        <f>VLOOKUP(A217,'[1]DRDO Kolar Data'!$A:$E,5,0)*1000</f>
        <v>9600</v>
      </c>
      <c r="H217" s="24">
        <f t="shared" si="12"/>
        <v>176798.04999999702</v>
      </c>
      <c r="I217" s="25">
        <f t="shared" si="10"/>
        <v>19.770291666664804</v>
      </c>
      <c r="J217" s="25">
        <f t="shared" si="11"/>
        <v>18.416463541666356</v>
      </c>
      <c r="K217" s="17" t="s">
        <v>11</v>
      </c>
    </row>
    <row r="218" spans="1:11" ht="15.75" customHeight="1" x14ac:dyDescent="0.2">
      <c r="A218" s="15">
        <v>45021</v>
      </c>
      <c r="B218" s="3">
        <f>VLOOKUP(A218,'[1]BADI SID DATA'!A:B,2,0)</f>
        <v>5</v>
      </c>
      <c r="C218" s="4">
        <v>55899.35000000149</v>
      </c>
      <c r="D218" s="5">
        <v>6.38</v>
      </c>
      <c r="E218" s="23">
        <v>100</v>
      </c>
      <c r="F218" s="23">
        <v>100</v>
      </c>
      <c r="G218" s="16">
        <f>VLOOKUP(A218,'[1]DRDO Kolar Data'!$A:$E,5,0)*1000</f>
        <v>8900</v>
      </c>
      <c r="H218" s="24">
        <f t="shared" si="12"/>
        <v>232697.39999999851</v>
      </c>
      <c r="I218" s="25">
        <f t="shared" si="10"/>
        <v>23.291395833333954</v>
      </c>
      <c r="J218" s="25">
        <f t="shared" si="11"/>
        <v>19.391449999999878</v>
      </c>
      <c r="K218" s="17" t="s">
        <v>13</v>
      </c>
    </row>
    <row r="219" spans="1:11" ht="15.75" customHeight="1" x14ac:dyDescent="0.2">
      <c r="A219" s="15">
        <v>45022</v>
      </c>
      <c r="B219" s="3">
        <f>VLOOKUP(A219,'[1]BADI SID DATA'!A:B,2,0)</f>
        <v>6</v>
      </c>
      <c r="C219" s="4">
        <v>57200</v>
      </c>
      <c r="D219" s="5">
        <v>6.01</v>
      </c>
      <c r="E219" s="23">
        <v>100</v>
      </c>
      <c r="F219" s="23">
        <v>100</v>
      </c>
      <c r="G219" s="16">
        <f>VLOOKUP(A219,'[1]DRDO Kolar Data'!$A:$E,5,0)*1000</f>
        <v>9200</v>
      </c>
      <c r="H219" s="24">
        <f t="shared" si="12"/>
        <v>289897.39999999851</v>
      </c>
      <c r="I219" s="25">
        <f t="shared" si="10"/>
        <v>23.833333333333336</v>
      </c>
      <c r="J219" s="25">
        <f t="shared" si="11"/>
        <v>20.131763888888784</v>
      </c>
      <c r="K219" s="17" t="s">
        <v>13</v>
      </c>
    </row>
    <row r="220" spans="1:11" ht="15.75" customHeight="1" x14ac:dyDescent="0.2">
      <c r="A220" s="15">
        <v>45023</v>
      </c>
      <c r="B220" s="3">
        <f>VLOOKUP(A220,'[1]BADI SID DATA'!A:B,2,0)</f>
        <v>7</v>
      </c>
      <c r="C220" s="4">
        <v>60449.35000000149</v>
      </c>
      <c r="D220" s="5">
        <v>6.28</v>
      </c>
      <c r="E220" s="23">
        <v>100</v>
      </c>
      <c r="F220" s="23">
        <v>100</v>
      </c>
      <c r="G220" s="16">
        <f>VLOOKUP(A220,'[1]DRDO Kolar Data'!$A:$E,5,0)*1000</f>
        <v>9100</v>
      </c>
      <c r="H220" s="24">
        <f t="shared" si="12"/>
        <v>350346.75</v>
      </c>
      <c r="I220" s="25">
        <f t="shared" si="10"/>
        <v>25.187229166667287</v>
      </c>
      <c r="J220" s="25">
        <f t="shared" si="11"/>
        <v>20.853973214285716</v>
      </c>
      <c r="K220" s="17" t="s">
        <v>13</v>
      </c>
    </row>
    <row r="221" spans="1:11" ht="15.75" customHeight="1" x14ac:dyDescent="0.2">
      <c r="A221" s="15">
        <v>45024</v>
      </c>
      <c r="B221" s="3">
        <f>VLOOKUP(A221,'[1]BADI SID DATA'!A:B,2,0)</f>
        <v>8</v>
      </c>
      <c r="C221" s="4">
        <v>64349.35000000149</v>
      </c>
      <c r="D221" s="7">
        <v>6.89</v>
      </c>
      <c r="E221" s="23">
        <v>100</v>
      </c>
      <c r="F221" s="23">
        <v>100</v>
      </c>
      <c r="G221" s="16">
        <f>VLOOKUP(A221,'[1]DRDO Kolar Data'!$A:$E,5,0)*1000</f>
        <v>9500</v>
      </c>
      <c r="H221" s="24">
        <f t="shared" si="12"/>
        <v>414696.10000000149</v>
      </c>
      <c r="I221" s="25">
        <f t="shared" si="10"/>
        <v>26.81222916666729</v>
      </c>
      <c r="J221" s="25">
        <f t="shared" si="11"/>
        <v>21.598755208333412</v>
      </c>
      <c r="K221" s="17" t="s">
        <v>13</v>
      </c>
    </row>
    <row r="222" spans="1:11" ht="15.75" customHeight="1" x14ac:dyDescent="0.2">
      <c r="A222" s="15">
        <v>45025</v>
      </c>
      <c r="B222" s="3">
        <f>VLOOKUP(A222,'[1]BADI SID DATA'!A:B,2,0)</f>
        <v>9</v>
      </c>
      <c r="C222" s="4">
        <v>65000</v>
      </c>
      <c r="D222" s="7">
        <v>6.69</v>
      </c>
      <c r="E222" s="23">
        <v>100</v>
      </c>
      <c r="F222" s="23">
        <v>100</v>
      </c>
      <c r="G222" s="16">
        <f>VLOOKUP(A222,'[1]DRDO Kolar Data'!$A:$E,5,0)*1000</f>
        <v>9100</v>
      </c>
      <c r="H222" s="24">
        <f t="shared" si="12"/>
        <v>479696.10000000149</v>
      </c>
      <c r="I222" s="25">
        <f t="shared" si="10"/>
        <v>27.083333333333332</v>
      </c>
      <c r="J222" s="25">
        <f t="shared" si="11"/>
        <v>22.208152777777848</v>
      </c>
      <c r="K222" s="17" t="s">
        <v>24</v>
      </c>
    </row>
    <row r="223" spans="1:11" ht="15.75" customHeight="1" x14ac:dyDescent="0.2">
      <c r="A223" s="15">
        <v>45026</v>
      </c>
      <c r="B223" s="3">
        <f>VLOOKUP(A223,'[1]BADI SID DATA'!A:B,2,0)</f>
        <v>10</v>
      </c>
      <c r="C223" s="4">
        <v>63051.94999999553</v>
      </c>
      <c r="D223" s="6">
        <v>6.5</v>
      </c>
      <c r="E223" s="23">
        <v>100</v>
      </c>
      <c r="F223" s="23">
        <v>100</v>
      </c>
      <c r="G223" s="16">
        <f>VLOOKUP(A223,'[1]DRDO Kolar Data'!$A:$E,5,0)*1000</f>
        <v>9000</v>
      </c>
      <c r="H223" s="24">
        <f t="shared" si="12"/>
        <v>542748.04999999702</v>
      </c>
      <c r="I223" s="25">
        <f t="shared" si="10"/>
        <v>26.271645833331469</v>
      </c>
      <c r="J223" s="25">
        <f t="shared" si="11"/>
        <v>22.61450208333321</v>
      </c>
      <c r="K223" s="17" t="s">
        <v>13</v>
      </c>
    </row>
    <row r="224" spans="1:11" ht="15.75" customHeight="1" x14ac:dyDescent="0.2">
      <c r="A224" s="15">
        <v>45027</v>
      </c>
      <c r="B224" s="3">
        <f>VLOOKUP(A224,'[1]BADI SID DATA'!A:B,2,0)</f>
        <v>11</v>
      </c>
      <c r="C224" s="4">
        <v>63048.69999999553</v>
      </c>
      <c r="D224" s="6">
        <v>6.5</v>
      </c>
      <c r="E224" s="23">
        <v>100</v>
      </c>
      <c r="F224" s="23">
        <v>100</v>
      </c>
      <c r="G224" s="16">
        <f>VLOOKUP(A224,'[1]DRDO Kolar Data'!$A:$E,5,0)*1000</f>
        <v>8900</v>
      </c>
      <c r="H224" s="24">
        <f t="shared" si="12"/>
        <v>605796.74999999255</v>
      </c>
      <c r="I224" s="25">
        <f t="shared" si="10"/>
        <v>26.270291666664804</v>
      </c>
      <c r="J224" s="25">
        <f t="shared" si="11"/>
        <v>22.946846590908809</v>
      </c>
      <c r="K224" s="17" t="s">
        <v>24</v>
      </c>
    </row>
    <row r="225" spans="1:11" ht="15.75" customHeight="1" x14ac:dyDescent="0.2">
      <c r="A225" s="15">
        <v>45028</v>
      </c>
      <c r="B225" s="3">
        <f>VLOOKUP(A225,'[1]BADI SID DATA'!A:B,2,0)</f>
        <v>12</v>
      </c>
      <c r="C225" s="4">
        <v>65000</v>
      </c>
      <c r="D225" s="6">
        <v>6.8</v>
      </c>
      <c r="E225" s="23">
        <v>100</v>
      </c>
      <c r="F225" s="23">
        <v>100</v>
      </c>
      <c r="G225" s="16">
        <f>VLOOKUP(A225,'[1]DRDO Kolar Data'!$A:$E,5,0)*1000</f>
        <v>9000</v>
      </c>
      <c r="H225" s="24">
        <f t="shared" si="12"/>
        <v>670796.74999999255</v>
      </c>
      <c r="I225" s="25">
        <f t="shared" si="10"/>
        <v>27.083333333333332</v>
      </c>
      <c r="J225" s="25">
        <f t="shared" si="11"/>
        <v>23.291553819444186</v>
      </c>
      <c r="K225" s="17" t="s">
        <v>24</v>
      </c>
    </row>
    <row r="226" spans="1:11" ht="15.75" customHeight="1" x14ac:dyDescent="0.2">
      <c r="A226" s="15">
        <v>45029</v>
      </c>
      <c r="B226" s="3">
        <f>VLOOKUP(A226,'[1]BADI SID DATA'!A:B,2,0)</f>
        <v>13</v>
      </c>
      <c r="C226" s="4">
        <v>63051.95000000298</v>
      </c>
      <c r="D226" s="6">
        <v>6.6</v>
      </c>
      <c r="E226" s="23">
        <v>100</v>
      </c>
      <c r="F226" s="23">
        <v>100</v>
      </c>
      <c r="G226" s="16">
        <f>VLOOKUP(A226,'[1]DRDO Kolar Data'!$A:$E,5,0)*1000</f>
        <v>8700</v>
      </c>
      <c r="H226" s="24">
        <f t="shared" si="12"/>
        <v>733848.69999999553</v>
      </c>
      <c r="I226" s="25">
        <f t="shared" si="10"/>
        <v>26.271645833334574</v>
      </c>
      <c r="J226" s="25">
        <f t="shared" si="11"/>
        <v>23.520791666666526</v>
      </c>
      <c r="K226" s="17" t="s">
        <v>24</v>
      </c>
    </row>
    <row r="227" spans="1:11" ht="15.75" customHeight="1" x14ac:dyDescent="0.2">
      <c r="A227" s="15">
        <v>45030</v>
      </c>
      <c r="B227" s="3">
        <f>VLOOKUP(A227,'[1]BADI SID DATA'!A:B,2,0)</f>
        <v>14</v>
      </c>
      <c r="C227" s="4">
        <v>61750.65000000596</v>
      </c>
      <c r="D227" s="7">
        <v>6.46</v>
      </c>
      <c r="E227" s="23">
        <v>100</v>
      </c>
      <c r="F227" s="23">
        <v>100</v>
      </c>
      <c r="G227" s="16">
        <f>VLOOKUP(A227,'[1]DRDO Kolar Data'!$A:$E,5,0)*1000</f>
        <v>8600</v>
      </c>
      <c r="H227" s="24">
        <f t="shared" si="12"/>
        <v>795599.35000000149</v>
      </c>
      <c r="I227" s="25">
        <f t="shared" si="10"/>
        <v>25.729437500002483</v>
      </c>
      <c r="J227" s="25">
        <f t="shared" si="11"/>
        <v>23.678552083333379</v>
      </c>
      <c r="K227" s="17" t="s">
        <v>13</v>
      </c>
    </row>
    <row r="228" spans="1:11" ht="15.75" customHeight="1" x14ac:dyDescent="0.2">
      <c r="A228" s="15">
        <v>45031</v>
      </c>
      <c r="B228" s="3">
        <f>VLOOKUP(A228,'[1]BADI SID DATA'!A:B,2,0)</f>
        <v>15</v>
      </c>
      <c r="C228" s="4">
        <v>53947.399999991059</v>
      </c>
      <c r="D228" s="7">
        <v>5.49</v>
      </c>
      <c r="E228" s="23">
        <v>100</v>
      </c>
      <c r="F228" s="23">
        <v>100</v>
      </c>
      <c r="G228" s="16">
        <f>VLOOKUP(A228,'[1]DRDO Kolar Data'!$A:$E,5,0)*1000</f>
        <v>9400</v>
      </c>
      <c r="H228" s="24">
        <f t="shared" si="12"/>
        <v>849546.74999999255</v>
      </c>
      <c r="I228" s="25">
        <f t="shared" si="10"/>
        <v>22.478083333329607</v>
      </c>
      <c r="J228" s="25">
        <f t="shared" si="11"/>
        <v>23.598520833333126</v>
      </c>
      <c r="K228" s="17" t="s">
        <v>13</v>
      </c>
    </row>
    <row r="229" spans="1:11" ht="15.75" customHeight="1" x14ac:dyDescent="0.2">
      <c r="A229" s="15">
        <v>45032</v>
      </c>
      <c r="B229" s="3">
        <f>VLOOKUP(A229,'[1]BADI SID DATA'!A:B,2,0)</f>
        <v>16</v>
      </c>
      <c r="C229" s="4">
        <v>61100.000000007451</v>
      </c>
      <c r="D229" s="6">
        <v>6.39</v>
      </c>
      <c r="E229" s="23">
        <v>100</v>
      </c>
      <c r="F229" s="23">
        <v>100</v>
      </c>
      <c r="G229" s="16">
        <f>VLOOKUP(A229,'[1]DRDO Kolar Data'!$A:$E,5,0)*1000</f>
        <v>8500</v>
      </c>
      <c r="H229" s="24">
        <f t="shared" si="12"/>
        <v>910646.75</v>
      </c>
      <c r="I229" s="25">
        <f t="shared" si="10"/>
        <v>25.458333333336437</v>
      </c>
      <c r="J229" s="25">
        <f t="shared" si="11"/>
        <v>23.714759114583334</v>
      </c>
      <c r="K229" s="18" t="s">
        <v>13</v>
      </c>
    </row>
    <row r="230" spans="1:11" ht="15.75" customHeight="1" x14ac:dyDescent="0.2">
      <c r="A230" s="15">
        <v>45033</v>
      </c>
      <c r="B230" s="3">
        <f>VLOOKUP(A230,'[1]BADI SID DATA'!A:B,2,0)</f>
        <v>17</v>
      </c>
      <c r="C230" s="4">
        <v>49400.64999999851</v>
      </c>
      <c r="D230" s="6">
        <v>6.3</v>
      </c>
      <c r="E230" s="23">
        <v>100</v>
      </c>
      <c r="F230" s="23">
        <v>94.930555555555557</v>
      </c>
      <c r="G230" s="16">
        <f>VLOOKUP(A230,'[1]DRDO Kolar Data'!$A:$E,5,0)*1000</f>
        <v>8300</v>
      </c>
      <c r="H230" s="24">
        <f t="shared" si="12"/>
        <v>960047.39999999851</v>
      </c>
      <c r="I230" s="25">
        <f t="shared" si="10"/>
        <v>20.583604166666046</v>
      </c>
      <c r="J230" s="25">
        <f t="shared" si="11"/>
        <v>23.530573529411729</v>
      </c>
      <c r="K230" s="17" t="s">
        <v>24</v>
      </c>
    </row>
    <row r="231" spans="1:11" ht="15.75" customHeight="1" x14ac:dyDescent="0.2">
      <c r="A231" s="15">
        <v>45034</v>
      </c>
      <c r="B231" s="3">
        <f>VLOOKUP(A231,'[1]BADI SID DATA'!A:B,2,0)</f>
        <v>18</v>
      </c>
      <c r="C231" s="4">
        <v>59798.69999999553</v>
      </c>
      <c r="D231" s="7">
        <v>6.33</v>
      </c>
      <c r="E231" s="23">
        <v>100</v>
      </c>
      <c r="F231" s="23">
        <v>100</v>
      </c>
      <c r="G231" s="16">
        <f>VLOOKUP(A231,'[1]DRDO Kolar Data'!$A:$E,5,0)*1000</f>
        <v>8300</v>
      </c>
      <c r="H231" s="24">
        <f t="shared" si="12"/>
        <v>1019846.099999994</v>
      </c>
      <c r="I231" s="25">
        <f t="shared" si="10"/>
        <v>24.916124999998139</v>
      </c>
      <c r="J231" s="25">
        <f t="shared" si="11"/>
        <v>23.607548611110975</v>
      </c>
      <c r="K231" s="17" t="s">
        <v>13</v>
      </c>
    </row>
    <row r="232" spans="1:11" ht="15.75" customHeight="1" x14ac:dyDescent="0.2">
      <c r="A232" s="15">
        <v>45035</v>
      </c>
      <c r="B232" s="3">
        <f>VLOOKUP(A232,'[1]BADI SID DATA'!A:B,2,0)</f>
        <v>19</v>
      </c>
      <c r="C232" s="4">
        <v>56553.89999999851</v>
      </c>
      <c r="D232" s="7">
        <v>5.89</v>
      </c>
      <c r="E232" s="23">
        <v>100</v>
      </c>
      <c r="F232" s="23">
        <v>100</v>
      </c>
      <c r="G232" s="16">
        <f>VLOOKUP(A232,'[1]DRDO Kolar Data'!$A:$E,5,0)*1000</f>
        <v>8000</v>
      </c>
      <c r="H232" s="24">
        <f t="shared" si="12"/>
        <v>1076399.9999999925</v>
      </c>
      <c r="I232" s="25">
        <f t="shared" si="10"/>
        <v>23.564124999999379</v>
      </c>
      <c r="J232" s="25">
        <f t="shared" si="11"/>
        <v>23.605263157894573</v>
      </c>
      <c r="K232" s="17" t="s">
        <v>11</v>
      </c>
    </row>
    <row r="233" spans="1:11" ht="15.75" customHeight="1" x14ac:dyDescent="0.2">
      <c r="A233" s="15">
        <v>45036</v>
      </c>
      <c r="B233" s="3">
        <f>VLOOKUP(A233,'[1]BADI SID DATA'!A:B,2,0)</f>
        <v>20</v>
      </c>
      <c r="C233" s="4">
        <v>53946.750000007451</v>
      </c>
      <c r="D233" s="7">
        <v>5.76</v>
      </c>
      <c r="E233" s="23">
        <v>100</v>
      </c>
      <c r="F233" s="23">
        <v>100</v>
      </c>
      <c r="G233" s="16">
        <f>VLOOKUP(A233,'[1]DRDO Kolar Data'!$A:$E,5,0)*1000</f>
        <v>8200</v>
      </c>
      <c r="H233" s="24">
        <f t="shared" si="12"/>
        <v>1130346.75</v>
      </c>
      <c r="I233" s="25">
        <f t="shared" si="10"/>
        <v>22.477812500003104</v>
      </c>
      <c r="J233" s="25">
        <f t="shared" si="11"/>
        <v>23.548890624999999</v>
      </c>
      <c r="K233" s="17" t="s">
        <v>13</v>
      </c>
    </row>
    <row r="234" spans="1:11" ht="15.75" customHeight="1" x14ac:dyDescent="0.2">
      <c r="A234" s="15">
        <v>45037</v>
      </c>
      <c r="B234" s="3">
        <f>VLOOKUP(A234,'[1]BADI SID DATA'!A:B,2,0)</f>
        <v>21</v>
      </c>
      <c r="C234" s="4">
        <v>40950.64999999851</v>
      </c>
      <c r="D234" s="6">
        <v>4.2300000000000004</v>
      </c>
      <c r="E234" s="23">
        <v>100</v>
      </c>
      <c r="F234" s="23">
        <v>100</v>
      </c>
      <c r="G234" s="16">
        <f>VLOOKUP(A234,'[1]DRDO Kolar Data'!$A:$E,5,0)*1000</f>
        <v>8600</v>
      </c>
      <c r="H234" s="24">
        <f t="shared" si="12"/>
        <v>1171297.3999999985</v>
      </c>
      <c r="I234" s="25">
        <f t="shared" si="10"/>
        <v>17.062770833332713</v>
      </c>
      <c r="J234" s="25">
        <f t="shared" si="11"/>
        <v>23.240027777777748</v>
      </c>
      <c r="K234" s="17" t="s">
        <v>11</v>
      </c>
    </row>
    <row r="235" spans="1:11" ht="15.75" customHeight="1" x14ac:dyDescent="0.2">
      <c r="A235" s="15">
        <v>45038</v>
      </c>
      <c r="B235" s="3">
        <f>VLOOKUP(A235,'[1]BADI SID DATA'!A:B,2,0)</f>
        <v>22</v>
      </c>
      <c r="C235" s="4">
        <v>47452.60000000149</v>
      </c>
      <c r="D235" s="6">
        <v>4.4800000000000004</v>
      </c>
      <c r="E235" s="23">
        <v>100</v>
      </c>
      <c r="F235" s="23">
        <v>100</v>
      </c>
      <c r="G235" s="16">
        <f>VLOOKUP(A235,'[1]DRDO Kolar Data'!$A:$E,5,0)*1000</f>
        <v>8400</v>
      </c>
      <c r="H235" s="24">
        <f t="shared" si="12"/>
        <v>1218750</v>
      </c>
      <c r="I235" s="25">
        <f t="shared" si="10"/>
        <v>19.771916666667288</v>
      </c>
      <c r="J235" s="25">
        <f t="shared" si="11"/>
        <v>23.082386363636363</v>
      </c>
      <c r="K235" s="17" t="s">
        <v>11</v>
      </c>
    </row>
    <row r="236" spans="1:11" ht="15.75" customHeight="1" x14ac:dyDescent="0.2">
      <c r="A236" s="15">
        <v>45039</v>
      </c>
      <c r="B236" s="3">
        <f>VLOOKUP(A236,'[1]BADI SID DATA'!A:B,2,0)</f>
        <v>23</v>
      </c>
      <c r="C236" s="4">
        <v>48099.35000000149</v>
      </c>
      <c r="D236" s="6">
        <v>4.9000000000000004</v>
      </c>
      <c r="E236" s="23">
        <v>100</v>
      </c>
      <c r="F236" s="23">
        <v>100</v>
      </c>
      <c r="G236" s="16">
        <f>VLOOKUP(A236,'[1]DRDO Kolar Data'!$A:$E,5,0)*1000</f>
        <v>9300</v>
      </c>
      <c r="H236" s="24">
        <f t="shared" si="12"/>
        <v>1266849.3500000015</v>
      </c>
      <c r="I236" s="25">
        <f t="shared" si="10"/>
        <v>20.041395833333954</v>
      </c>
      <c r="J236" s="25">
        <f t="shared" si="11"/>
        <v>22.950169384057997</v>
      </c>
      <c r="K236" s="17" t="s">
        <v>11</v>
      </c>
    </row>
    <row r="237" spans="1:11" ht="15.75" customHeight="1" x14ac:dyDescent="0.2">
      <c r="A237" s="15">
        <v>45040</v>
      </c>
      <c r="B237" s="3">
        <f>VLOOKUP(A237,'[1]BADI SID DATA'!A:B,2,0)</f>
        <v>24</v>
      </c>
      <c r="C237" s="4">
        <v>53947.399999991059</v>
      </c>
      <c r="D237" s="7">
        <v>5.68</v>
      </c>
      <c r="E237" s="23">
        <v>100</v>
      </c>
      <c r="F237" s="23">
        <v>100</v>
      </c>
      <c r="G237" s="16">
        <f>VLOOKUP(A237,'[1]DRDO Kolar Data'!$A:$E,5,0)*1000</f>
        <v>8900</v>
      </c>
      <c r="H237" s="24">
        <f t="shared" si="12"/>
        <v>1320796.7499999925</v>
      </c>
      <c r="I237" s="25">
        <f t="shared" si="10"/>
        <v>22.478083333329607</v>
      </c>
      <c r="J237" s="25">
        <f t="shared" si="11"/>
        <v>22.930499131944316</v>
      </c>
      <c r="K237" s="17" t="s">
        <v>11</v>
      </c>
    </row>
    <row r="238" spans="1:11" ht="15.75" customHeight="1" x14ac:dyDescent="0.2">
      <c r="A238" s="15">
        <v>45041</v>
      </c>
      <c r="B238" s="3">
        <f>VLOOKUP(A238,'[1]BADI SID DATA'!A:B,2,0)</f>
        <v>25</v>
      </c>
      <c r="C238" s="4">
        <v>53950.65000000596</v>
      </c>
      <c r="D238" s="7">
        <v>5.47</v>
      </c>
      <c r="E238" s="23">
        <v>100</v>
      </c>
      <c r="F238" s="23">
        <v>100</v>
      </c>
      <c r="G238" s="16">
        <f>VLOOKUP(A238,'[1]DRDO Kolar Data'!$A:$E,5,0)*1000</f>
        <v>9900</v>
      </c>
      <c r="H238" s="24">
        <f t="shared" si="12"/>
        <v>1374747.3999999985</v>
      </c>
      <c r="I238" s="25">
        <f t="shared" si="10"/>
        <v>22.479437500002483</v>
      </c>
      <c r="J238" s="25">
        <f t="shared" si="11"/>
        <v>22.912456666666642</v>
      </c>
      <c r="K238" s="17" t="s">
        <v>11</v>
      </c>
    </row>
    <row r="239" spans="1:11" ht="15.75" customHeight="1" x14ac:dyDescent="0.2">
      <c r="A239" s="15">
        <v>45042</v>
      </c>
      <c r="B239" s="3">
        <f>VLOOKUP(A239,'[1]BADI SID DATA'!A:B,2,0)</f>
        <v>26</v>
      </c>
      <c r="C239" s="4">
        <v>50701.94999999553</v>
      </c>
      <c r="D239" s="7">
        <v>5.41</v>
      </c>
      <c r="E239" s="23">
        <v>100</v>
      </c>
      <c r="F239" s="23">
        <v>100</v>
      </c>
      <c r="G239" s="16">
        <f>VLOOKUP(A239,'[1]DRDO Kolar Data'!$A:$E,5,0)*1000</f>
        <v>9100</v>
      </c>
      <c r="H239" s="24">
        <f t="shared" si="12"/>
        <v>1425449.349999994</v>
      </c>
      <c r="I239" s="25">
        <f t="shared" si="10"/>
        <v>21.125812499998137</v>
      </c>
      <c r="J239" s="25">
        <f t="shared" si="11"/>
        <v>22.843739583333239</v>
      </c>
      <c r="K239" s="17" t="s">
        <v>11</v>
      </c>
    </row>
    <row r="240" spans="1:11" ht="15.75" customHeight="1" x14ac:dyDescent="0.2">
      <c r="A240" s="15">
        <v>45043</v>
      </c>
      <c r="B240" s="3">
        <f>VLOOKUP(A240,'[1]BADI SID DATA'!A:B,2,0)</f>
        <v>27</v>
      </c>
      <c r="C240" s="4">
        <v>56550</v>
      </c>
      <c r="D240" s="7">
        <v>5.94</v>
      </c>
      <c r="E240" s="23">
        <v>100</v>
      </c>
      <c r="F240" s="23">
        <v>100</v>
      </c>
      <c r="G240" s="16">
        <f>VLOOKUP(A240,'[1]DRDO Kolar Data'!$A:$E,5,0)*1000</f>
        <v>9100</v>
      </c>
      <c r="H240" s="24">
        <f t="shared" si="12"/>
        <v>1481999.349999994</v>
      </c>
      <c r="I240" s="25">
        <f t="shared" si="10"/>
        <v>23.5625</v>
      </c>
      <c r="J240" s="25">
        <f t="shared" si="11"/>
        <v>22.870360339506078</v>
      </c>
      <c r="K240" s="17" t="s">
        <v>13</v>
      </c>
    </row>
    <row r="241" spans="1:11" ht="15.75" customHeight="1" x14ac:dyDescent="0.2">
      <c r="A241" s="15">
        <v>45044</v>
      </c>
      <c r="B241" s="3">
        <f>VLOOKUP(A241,'[1]BADI SID DATA'!A:B,2,0)</f>
        <v>28</v>
      </c>
      <c r="C241" s="4">
        <v>58497.39999999851</v>
      </c>
      <c r="D241" s="7">
        <v>6.12</v>
      </c>
      <c r="E241" s="23">
        <v>100</v>
      </c>
      <c r="F241" s="23">
        <v>100</v>
      </c>
      <c r="G241" s="16">
        <f>VLOOKUP(A241,'[1]DRDO Kolar Data'!$A:$E,5,0)*1000</f>
        <v>9000</v>
      </c>
      <c r="H241" s="24">
        <f t="shared" si="12"/>
        <v>1540496.7499999925</v>
      </c>
      <c r="I241" s="25">
        <f t="shared" si="10"/>
        <v>24.373916666666045</v>
      </c>
      <c r="J241" s="25">
        <f t="shared" si="11"/>
        <v>22.924058779761793</v>
      </c>
      <c r="K241" s="17" t="s">
        <v>13</v>
      </c>
    </row>
    <row r="242" spans="1:11" ht="15.75" customHeight="1" x14ac:dyDescent="0.2">
      <c r="A242" s="15">
        <v>45045</v>
      </c>
      <c r="B242" s="3">
        <f>VLOOKUP(A242,'[1]BADI SID DATA'!A:B,2,0)</f>
        <v>29</v>
      </c>
      <c r="C242" s="4">
        <v>48099.35000000149</v>
      </c>
      <c r="D242" s="10">
        <v>4.92</v>
      </c>
      <c r="E242" s="23">
        <v>100</v>
      </c>
      <c r="F242" s="23">
        <v>100</v>
      </c>
      <c r="G242" s="16">
        <f>VLOOKUP(A242,'[1]DRDO Kolar Data'!$A:$E,5,0)*1000</f>
        <v>9600</v>
      </c>
      <c r="H242" s="24">
        <f t="shared" si="12"/>
        <v>1588596.099999994</v>
      </c>
      <c r="I242" s="25">
        <f t="shared" si="10"/>
        <v>20.041395833333954</v>
      </c>
      <c r="J242" s="25">
        <f t="shared" si="11"/>
        <v>22.824656609195319</v>
      </c>
      <c r="K242" s="17" t="s">
        <v>11</v>
      </c>
    </row>
    <row r="243" spans="1:11" ht="15.75" customHeight="1" x14ac:dyDescent="0.2">
      <c r="A243" s="15">
        <v>45046</v>
      </c>
      <c r="B243" s="3">
        <f>VLOOKUP(A243,'[1]BADI SID DATA'!A:B,2,0)</f>
        <v>30</v>
      </c>
      <c r="C243" s="4">
        <v>52003.250000007451</v>
      </c>
      <c r="D243" s="9">
        <v>5.28</v>
      </c>
      <c r="E243" s="23">
        <v>100</v>
      </c>
      <c r="F243" s="23">
        <v>100</v>
      </c>
      <c r="G243" s="16">
        <f>VLOOKUP(A243,'[1]DRDO Kolar Data'!$A:$E,5,0)*1000</f>
        <v>10200</v>
      </c>
      <c r="H243" s="24">
        <f t="shared" si="12"/>
        <v>1640599.3500000015</v>
      </c>
      <c r="I243" s="25">
        <f t="shared" si="10"/>
        <v>21.668020833336438</v>
      </c>
      <c r="J243" s="25">
        <f t="shared" si="11"/>
        <v>22.786102083333354</v>
      </c>
      <c r="K243" s="17" t="s">
        <v>11</v>
      </c>
    </row>
    <row r="244" spans="1:11" ht="15.75" customHeight="1" x14ac:dyDescent="0.2">
      <c r="A244" s="15">
        <v>45047</v>
      </c>
      <c r="B244" s="3">
        <f>VLOOKUP(A244,'[1]BADI SID DATA'!A:B,2,0)</f>
        <v>31</v>
      </c>
      <c r="C244" s="4">
        <v>40950</v>
      </c>
      <c r="D244" s="5">
        <v>4.09</v>
      </c>
      <c r="E244" s="23">
        <v>100</v>
      </c>
      <c r="F244" s="23">
        <v>100</v>
      </c>
      <c r="G244" s="16">
        <f>VLOOKUP(A244,'[1]DRDO Kolar Data'!$A:$E,5,0)*1000</f>
        <v>10400</v>
      </c>
      <c r="H244" s="24">
        <f t="shared" si="12"/>
        <v>1681549.3500000015</v>
      </c>
      <c r="I244" s="25">
        <f t="shared" si="10"/>
        <v>17.0625</v>
      </c>
      <c r="J244" s="25">
        <f t="shared" si="11"/>
        <v>22.601469758064535</v>
      </c>
      <c r="K244" s="17" t="s">
        <v>10</v>
      </c>
    </row>
    <row r="245" spans="1:11" ht="15.75" customHeight="1" x14ac:dyDescent="0.2">
      <c r="A245" s="15">
        <v>45048</v>
      </c>
      <c r="B245" s="3">
        <f>VLOOKUP(A245,'[1]BADI SID DATA'!A:B,2,0)</f>
        <v>32</v>
      </c>
      <c r="C245" s="4">
        <v>36399.999999992549</v>
      </c>
      <c r="D245" s="5">
        <v>4.37</v>
      </c>
      <c r="E245" s="23">
        <v>100</v>
      </c>
      <c r="F245" s="23">
        <v>87.847222222222214</v>
      </c>
      <c r="G245" s="16">
        <f>VLOOKUP(A245,'[1]DRDO Kolar Data'!$A:$E,5,0)*1000</f>
        <v>10900</v>
      </c>
      <c r="H245" s="24">
        <f t="shared" si="12"/>
        <v>1717949.349999994</v>
      </c>
      <c r="I245" s="25">
        <f t="shared" si="10"/>
        <v>15.166666666663561</v>
      </c>
      <c r="J245" s="25">
        <f t="shared" si="11"/>
        <v>22.369132161458253</v>
      </c>
      <c r="K245" s="17" t="s">
        <v>10</v>
      </c>
    </row>
    <row r="246" spans="1:11" ht="15.75" customHeight="1" x14ac:dyDescent="0.2">
      <c r="A246" s="15">
        <v>45049</v>
      </c>
      <c r="B246" s="3">
        <f>VLOOKUP(A246,'[1]BADI SID DATA'!A:B,2,0)</f>
        <v>33</v>
      </c>
      <c r="C246" s="4">
        <v>37050.65000000596</v>
      </c>
      <c r="D246" s="5">
        <v>3.45</v>
      </c>
      <c r="E246" s="23">
        <v>100</v>
      </c>
      <c r="F246" s="23">
        <v>100</v>
      </c>
      <c r="G246" s="16">
        <f>VLOOKUP(A246,'[1]DRDO Kolar Data'!$A:$E,5,0)*1000</f>
        <v>10900</v>
      </c>
      <c r="H246" s="24">
        <f t="shared" si="12"/>
        <v>1755000</v>
      </c>
      <c r="I246" s="25">
        <f t="shared" si="10"/>
        <v>15.437770833335819</v>
      </c>
      <c r="J246" s="25">
        <f t="shared" si="11"/>
        <v>22.15909090909091</v>
      </c>
      <c r="K246" s="17" t="s">
        <v>10</v>
      </c>
    </row>
    <row r="247" spans="1:11" ht="15.75" customHeight="1" x14ac:dyDescent="0.2">
      <c r="A247" s="15">
        <v>45050</v>
      </c>
      <c r="B247" s="3">
        <f>VLOOKUP(A247,'[1]BADI SID DATA'!A:B,2,0)</f>
        <v>34</v>
      </c>
      <c r="C247" s="4">
        <v>31849.35000000149</v>
      </c>
      <c r="D247" s="8">
        <v>3.28</v>
      </c>
      <c r="E247" s="23">
        <v>100</v>
      </c>
      <c r="F247" s="23">
        <v>79.652777777777771</v>
      </c>
      <c r="G247" s="16">
        <f>VLOOKUP(A247,'[1]DRDO Kolar Data'!$A:$E,5,0)*1000</f>
        <v>10700</v>
      </c>
      <c r="H247" s="24">
        <f t="shared" si="12"/>
        <v>1786849.3500000015</v>
      </c>
      <c r="I247" s="25">
        <f t="shared" si="10"/>
        <v>13.27056250000062</v>
      </c>
      <c r="J247" s="25">
        <f t="shared" si="11"/>
        <v>21.897663602941194</v>
      </c>
      <c r="K247" s="17" t="s">
        <v>10</v>
      </c>
    </row>
    <row r="248" spans="1:11" ht="15.75" customHeight="1" x14ac:dyDescent="0.2">
      <c r="A248" s="15">
        <v>45051</v>
      </c>
      <c r="B248" s="3">
        <f>VLOOKUP(A248,'[1]BADI SID DATA'!A:B,2,0)</f>
        <v>35</v>
      </c>
      <c r="C248" s="4">
        <v>45496.749999992549</v>
      </c>
      <c r="D248" s="5">
        <v>4.41</v>
      </c>
      <c r="E248" s="23">
        <v>100</v>
      </c>
      <c r="F248" s="23">
        <v>100</v>
      </c>
      <c r="G248" s="16">
        <f>VLOOKUP(A248,'[1]DRDO Kolar Data'!$A:$E,5,0)*1000</f>
        <v>9300</v>
      </c>
      <c r="H248" s="24">
        <f t="shared" si="12"/>
        <v>1832346.099999994</v>
      </c>
      <c r="I248" s="25">
        <f t="shared" si="10"/>
        <v>18.956979166663562</v>
      </c>
      <c r="J248" s="25">
        <f t="shared" si="11"/>
        <v>21.813644047618975</v>
      </c>
      <c r="K248" s="17" t="s">
        <v>10</v>
      </c>
    </row>
    <row r="249" spans="1:11" ht="15.75" customHeight="1" x14ac:dyDescent="0.2">
      <c r="A249" s="15">
        <v>45052</v>
      </c>
      <c r="B249" s="3">
        <f>VLOOKUP(A249,'[1]BADI SID DATA'!A:B,2,0)</f>
        <v>36</v>
      </c>
      <c r="C249" s="4">
        <v>28600.000000007451</v>
      </c>
      <c r="D249" s="5">
        <v>2.79</v>
      </c>
      <c r="E249" s="23">
        <v>100</v>
      </c>
      <c r="F249" s="23">
        <v>89.305555555555557</v>
      </c>
      <c r="G249" s="16">
        <f>VLOOKUP(A249,'[1]DRDO Kolar Data'!$A:$E,5,0)*1000</f>
        <v>10300</v>
      </c>
      <c r="H249" s="24">
        <f t="shared" si="12"/>
        <v>1860946.1000000015</v>
      </c>
      <c r="I249" s="25">
        <f t="shared" si="10"/>
        <v>11.916666666669771</v>
      </c>
      <c r="J249" s="25">
        <f t="shared" si="11"/>
        <v>21.538728009259277</v>
      </c>
      <c r="K249" s="17" t="s">
        <v>10</v>
      </c>
    </row>
    <row r="250" spans="1:11" ht="15.75" customHeight="1" x14ac:dyDescent="0.2">
      <c r="A250" s="15">
        <v>45053</v>
      </c>
      <c r="B250" s="3">
        <f>VLOOKUP(A250,'[1]BADI SID DATA'!A:B,2,0)</f>
        <v>37</v>
      </c>
      <c r="C250" s="4">
        <v>52649.999999992549</v>
      </c>
      <c r="D250" s="5">
        <v>5.16</v>
      </c>
      <c r="E250" s="23">
        <v>100</v>
      </c>
      <c r="F250" s="23">
        <v>100</v>
      </c>
      <c r="G250" s="16">
        <f>VLOOKUP(A250,'[1]DRDO Kolar Data'!$A:$E,5,0)*1000</f>
        <v>10600</v>
      </c>
      <c r="H250" s="24">
        <f t="shared" si="12"/>
        <v>1913596.099999994</v>
      </c>
      <c r="I250" s="25">
        <f t="shared" si="10"/>
        <v>21.937499999996895</v>
      </c>
      <c r="J250" s="25">
        <f t="shared" si="11"/>
        <v>21.549505630630563</v>
      </c>
      <c r="K250" s="17" t="s">
        <v>11</v>
      </c>
    </row>
    <row r="251" spans="1:11" ht="15.75" customHeight="1" x14ac:dyDescent="0.2">
      <c r="A251" s="15">
        <v>45054</v>
      </c>
      <c r="B251" s="3">
        <f>VLOOKUP(A251,'[1]BADI SID DATA'!A:B,2,0)</f>
        <v>38</v>
      </c>
      <c r="C251" s="4">
        <v>37701.30000000447</v>
      </c>
      <c r="D251" s="5">
        <f>8.7-5.16</f>
        <v>3.5399999999999991</v>
      </c>
      <c r="E251" s="23">
        <v>100</v>
      </c>
      <c r="F251" s="23">
        <v>100</v>
      </c>
      <c r="G251" s="16">
        <f>VLOOKUP(A251,'[1]DRDO Kolar Data'!$A:$E,5,0)*1000</f>
        <v>10600</v>
      </c>
      <c r="H251" s="24">
        <f t="shared" si="12"/>
        <v>1951297.3999999985</v>
      </c>
      <c r="I251" s="25">
        <f t="shared" si="10"/>
        <v>15.708875000001862</v>
      </c>
      <c r="J251" s="25">
        <f t="shared" si="11"/>
        <v>21.395804824561388</v>
      </c>
      <c r="K251" s="17" t="s">
        <v>10</v>
      </c>
    </row>
    <row r="252" spans="1:11" ht="15.75" customHeight="1" x14ac:dyDescent="0.2">
      <c r="A252" s="15">
        <v>45055</v>
      </c>
      <c r="B252" s="3">
        <f>VLOOKUP(A252,'[1]BADI SID DATA'!A:B,2,0)</f>
        <v>39</v>
      </c>
      <c r="C252" s="4">
        <v>44850</v>
      </c>
      <c r="D252" s="7">
        <v>5.28</v>
      </c>
      <c r="E252" s="23">
        <v>100</v>
      </c>
      <c r="F252" s="23">
        <v>96.527777777777786</v>
      </c>
      <c r="G252" s="16">
        <f>VLOOKUP(A252,'[1]DRDO Kolar Data'!$A:$E,5,0)*1000</f>
        <v>9800</v>
      </c>
      <c r="H252" s="24">
        <f t="shared" si="12"/>
        <v>1996147.3999999985</v>
      </c>
      <c r="I252" s="25">
        <f t="shared" si="10"/>
        <v>18.6875</v>
      </c>
      <c r="J252" s="25">
        <f t="shared" si="11"/>
        <v>21.326361111111094</v>
      </c>
      <c r="K252" s="17" t="s">
        <v>12</v>
      </c>
    </row>
    <row r="253" spans="1:11" ht="15.75" customHeight="1" x14ac:dyDescent="0.2">
      <c r="A253" s="15">
        <v>45056</v>
      </c>
      <c r="B253" s="3">
        <f>VLOOKUP(A253,'[1]BADI SID DATA'!A:B,2,0)</f>
        <v>40</v>
      </c>
      <c r="C253" s="4">
        <v>58501.29999999702</v>
      </c>
      <c r="D253" s="7">
        <v>5.87</v>
      </c>
      <c r="E253" s="23">
        <v>100</v>
      </c>
      <c r="F253" s="23">
        <v>100</v>
      </c>
      <c r="G253" s="16">
        <f>VLOOKUP(A253,'[1]DRDO Kolar Data'!$A:$E,5,0)*1000</f>
        <v>9300</v>
      </c>
      <c r="H253" s="24">
        <f t="shared" si="12"/>
        <v>2054648.6999999955</v>
      </c>
      <c r="I253" s="25">
        <f t="shared" si="10"/>
        <v>24.375541666665427</v>
      </c>
      <c r="J253" s="25">
        <f t="shared" si="11"/>
        <v>21.402590624999952</v>
      </c>
      <c r="K253" s="17" t="s">
        <v>13</v>
      </c>
    </row>
    <row r="254" spans="1:11" ht="15.75" customHeight="1" x14ac:dyDescent="0.2">
      <c r="A254" s="15">
        <v>45057</v>
      </c>
      <c r="B254" s="3">
        <f>VLOOKUP(A254,'[1]BADI SID DATA'!A:B,2,0)</f>
        <v>41</v>
      </c>
      <c r="C254" s="4">
        <v>48099.35000000149</v>
      </c>
      <c r="D254" s="6">
        <v>5.31</v>
      </c>
      <c r="E254" s="23">
        <v>100</v>
      </c>
      <c r="F254" s="23">
        <v>97.361111111111114</v>
      </c>
      <c r="G254" s="16">
        <f>VLOOKUP(A254,'[1]DRDO Kolar Data'!$A:$E,5,0)*1000</f>
        <v>8900</v>
      </c>
      <c r="H254" s="24">
        <f t="shared" si="12"/>
        <v>2102748.049999997</v>
      </c>
      <c r="I254" s="25">
        <f t="shared" si="10"/>
        <v>20.041395833333954</v>
      </c>
      <c r="J254" s="25">
        <f t="shared" si="11"/>
        <v>21.369390752032491</v>
      </c>
      <c r="K254" s="17" t="s">
        <v>11</v>
      </c>
    </row>
    <row r="255" spans="1:11" ht="15.75" customHeight="1" x14ac:dyDescent="0.2">
      <c r="A255" s="15">
        <v>45058</v>
      </c>
      <c r="B255" s="3">
        <f>VLOOKUP(A255,'[1]BADI SID DATA'!A:B,2,0)</f>
        <v>42</v>
      </c>
      <c r="C255" s="4">
        <v>52650</v>
      </c>
      <c r="D255" s="6">
        <v>5.26</v>
      </c>
      <c r="E255" s="23">
        <v>100</v>
      </c>
      <c r="F255" s="23">
        <v>100</v>
      </c>
      <c r="G255" s="16">
        <f>VLOOKUP(A255,'[1]DRDO Kolar Data'!$A:$E,5,0)*1000</f>
        <v>9100</v>
      </c>
      <c r="H255" s="24">
        <f t="shared" si="12"/>
        <v>2155398.049999997</v>
      </c>
      <c r="I255" s="25">
        <f t="shared" si="10"/>
        <v>21.9375</v>
      </c>
      <c r="J255" s="25">
        <f t="shared" si="11"/>
        <v>21.382917162698384</v>
      </c>
      <c r="K255" s="17" t="s">
        <v>13</v>
      </c>
    </row>
    <row r="256" spans="1:11" ht="15.75" customHeight="1" x14ac:dyDescent="0.2">
      <c r="A256" s="15">
        <v>45059</v>
      </c>
      <c r="B256" s="3">
        <f>VLOOKUP(A256,'[1]BADI SID DATA'!A:B,2,0)</f>
        <v>43</v>
      </c>
      <c r="C256" s="4">
        <v>44850</v>
      </c>
      <c r="D256" s="6">
        <v>5.04</v>
      </c>
      <c r="E256" s="23">
        <v>100</v>
      </c>
      <c r="F256" s="23">
        <v>100</v>
      </c>
      <c r="G256" s="16">
        <f>VLOOKUP(A256,'[1]DRDO Kolar Data'!$A:$E,5,0)*1000</f>
        <v>8200</v>
      </c>
      <c r="H256" s="24">
        <f t="shared" si="12"/>
        <v>2200248.049999997</v>
      </c>
      <c r="I256" s="25">
        <f t="shared" si="10"/>
        <v>18.6875</v>
      </c>
      <c r="J256" s="25">
        <f t="shared" si="11"/>
        <v>21.320233042635632</v>
      </c>
      <c r="K256" s="17" t="s">
        <v>11</v>
      </c>
    </row>
    <row r="257" spans="1:11" ht="15.75" customHeight="1" x14ac:dyDescent="0.2">
      <c r="A257" s="15">
        <v>45060</v>
      </c>
      <c r="B257" s="3">
        <f>VLOOKUP(A257,'[1]BADI SID DATA'!A:B,2,0)</f>
        <v>44</v>
      </c>
      <c r="C257" s="4">
        <v>58501.95000000298</v>
      </c>
      <c r="D257" s="6">
        <v>6.12</v>
      </c>
      <c r="E257" s="23">
        <v>100</v>
      </c>
      <c r="F257" s="23">
        <v>100</v>
      </c>
      <c r="G257" s="16">
        <f>VLOOKUP(A257,'[1]DRDO Kolar Data'!$A:$E,5,0)*1000</f>
        <v>9600</v>
      </c>
      <c r="H257" s="24">
        <f t="shared" si="12"/>
        <v>2258750</v>
      </c>
      <c r="I257" s="25">
        <f t="shared" si="10"/>
        <v>24.375812500001242</v>
      </c>
      <c r="J257" s="25">
        <f t="shared" si="11"/>
        <v>21.389678030303031</v>
      </c>
      <c r="K257" s="17" t="s">
        <v>13</v>
      </c>
    </row>
    <row r="258" spans="1:11" ht="15.75" customHeight="1" x14ac:dyDescent="0.2">
      <c r="A258" s="15">
        <v>45061</v>
      </c>
      <c r="B258" s="3">
        <f>VLOOKUP(A258,'[1]BADI SID DATA'!A:B,2,0)</f>
        <v>45</v>
      </c>
      <c r="C258" s="4">
        <v>40946.10000000149</v>
      </c>
      <c r="D258" s="7">
        <v>4.2300000000000004</v>
      </c>
      <c r="E258" s="23">
        <v>100</v>
      </c>
      <c r="F258" s="23">
        <v>90.416666666666671</v>
      </c>
      <c r="G258" s="16">
        <f>VLOOKUP(A258,'[1]DRDO Kolar Data'!$A:$E,5,0)*1000</f>
        <v>8000</v>
      </c>
      <c r="H258" s="24">
        <f t="shared" si="12"/>
        <v>2299696.1000000015</v>
      </c>
      <c r="I258" s="25">
        <f t="shared" si="10"/>
        <v>17.060875000000621</v>
      </c>
      <c r="J258" s="25">
        <f t="shared" si="11"/>
        <v>21.293482407407421</v>
      </c>
      <c r="K258" s="17" t="s">
        <v>13</v>
      </c>
    </row>
    <row r="259" spans="1:11" ht="15.75" customHeight="1" x14ac:dyDescent="0.2">
      <c r="A259" s="15">
        <v>45062</v>
      </c>
      <c r="B259" s="3">
        <f>VLOOKUP(A259,'[1]BADI SID DATA'!A:B,2,0)</f>
        <v>46</v>
      </c>
      <c r="C259" s="4">
        <v>52649.999999992549</v>
      </c>
      <c r="D259" s="7">
        <v>5.16</v>
      </c>
      <c r="E259" s="23">
        <v>100</v>
      </c>
      <c r="F259" s="23">
        <v>98.125</v>
      </c>
      <c r="G259" s="16">
        <f>VLOOKUP(A259,'[1]DRDO Kolar Data'!$A:$E,5,0)*1000</f>
        <v>9200</v>
      </c>
      <c r="H259" s="24">
        <f t="shared" si="12"/>
        <v>2352346.099999994</v>
      </c>
      <c r="I259" s="25">
        <f t="shared" ref="I259:I322" si="13">(C259/(10*24*1000))*100</f>
        <v>21.937499999996895</v>
      </c>
      <c r="J259" s="25">
        <f t="shared" ref="J259:J322" si="14">(H259/(24*B259*10*1000))*100</f>
        <v>21.307482789855019</v>
      </c>
      <c r="K259" s="18" t="s">
        <v>13</v>
      </c>
    </row>
    <row r="260" spans="1:11" ht="15.75" customHeight="1" x14ac:dyDescent="0.2">
      <c r="A260" s="15">
        <v>45063</v>
      </c>
      <c r="B260" s="3">
        <f>VLOOKUP(A260,'[1]BADI SID DATA'!A:B,2,0)</f>
        <v>47</v>
      </c>
      <c r="C260" s="4">
        <v>52653.90000000596</v>
      </c>
      <c r="D260" s="6">
        <v>5.16</v>
      </c>
      <c r="E260" s="23">
        <v>100</v>
      </c>
      <c r="F260" s="23">
        <v>100</v>
      </c>
      <c r="G260" s="16">
        <f>VLOOKUP(A260,'[1]DRDO Kolar Data'!$A:$E,5,0)*1000</f>
        <v>9100</v>
      </c>
      <c r="H260" s="24">
        <f t="shared" si="12"/>
        <v>2405000</v>
      </c>
      <c r="I260" s="25">
        <f t="shared" si="13"/>
        <v>21.939125000002484</v>
      </c>
      <c r="J260" s="25">
        <f t="shared" si="14"/>
        <v>21.320921985815602</v>
      </c>
      <c r="K260" s="17" t="s">
        <v>13</v>
      </c>
    </row>
    <row r="261" spans="1:11" ht="15.75" customHeight="1" x14ac:dyDescent="0.2">
      <c r="A261" s="15">
        <v>45064</v>
      </c>
      <c r="B261" s="3">
        <f>VLOOKUP(A261,'[1]BADI SID DATA'!A:B,2,0)</f>
        <v>48</v>
      </c>
      <c r="C261" s="4">
        <v>44199.34999999404</v>
      </c>
      <c r="D261" s="6">
        <v>5.1100000000000003</v>
      </c>
      <c r="E261" s="23">
        <v>100</v>
      </c>
      <c r="F261" s="23">
        <v>100</v>
      </c>
      <c r="G261" s="16">
        <f>VLOOKUP(A261,'[1]DRDO Kolar Data'!$A:$E,5,0)*1000</f>
        <v>8100</v>
      </c>
      <c r="H261" s="24">
        <f t="shared" si="12"/>
        <v>2449199.349999994</v>
      </c>
      <c r="I261" s="25">
        <f t="shared" si="13"/>
        <v>18.416395833330849</v>
      </c>
      <c r="J261" s="25">
        <f t="shared" si="14"/>
        <v>21.260411024305505</v>
      </c>
      <c r="K261" s="17" t="s">
        <v>11</v>
      </c>
    </row>
    <row r="262" spans="1:11" ht="15.75" customHeight="1" x14ac:dyDescent="0.2">
      <c r="A262" s="15">
        <v>45065</v>
      </c>
      <c r="B262" s="3">
        <f>VLOOKUP(A262,'[1]BADI SID DATA'!A:B,2,0)</f>
        <v>49</v>
      </c>
      <c r="C262" s="4">
        <v>51999.35000000149</v>
      </c>
      <c r="D262" s="7">
        <v>5.07</v>
      </c>
      <c r="E262" s="23">
        <v>100</v>
      </c>
      <c r="F262" s="23">
        <v>100</v>
      </c>
      <c r="G262" s="16">
        <f>VLOOKUP(A262,'[1]DRDO Kolar Data'!$A:$E,5,0)*1000</f>
        <v>9600</v>
      </c>
      <c r="H262" s="24">
        <f t="shared" si="12"/>
        <v>2501198.6999999955</v>
      </c>
      <c r="I262" s="25">
        <f t="shared" si="13"/>
        <v>21.666395833333954</v>
      </c>
      <c r="J262" s="25">
        <f t="shared" si="14"/>
        <v>21.268696428571392</v>
      </c>
      <c r="K262" s="17" t="s">
        <v>13</v>
      </c>
    </row>
    <row r="263" spans="1:11" ht="15.75" customHeight="1" x14ac:dyDescent="0.2">
      <c r="A263" s="15">
        <v>45066</v>
      </c>
      <c r="B263" s="3">
        <f>VLOOKUP(A263,'[1]BADI SID DATA'!A:B,2,0)</f>
        <v>50</v>
      </c>
      <c r="C263" s="4">
        <v>54598.04999999702</v>
      </c>
      <c r="D263" s="7">
        <v>6.06</v>
      </c>
      <c r="E263" s="23">
        <v>100</v>
      </c>
      <c r="F263" s="23">
        <v>100</v>
      </c>
      <c r="G263" s="16">
        <f>VLOOKUP(A263,'[1]DRDO Kolar Data'!$A:$E,5,0)*1000</f>
        <v>9200</v>
      </c>
      <c r="H263" s="24">
        <f t="shared" si="12"/>
        <v>2555796.7499999925</v>
      </c>
      <c r="I263" s="25">
        <f t="shared" si="13"/>
        <v>22.749187499998758</v>
      </c>
      <c r="J263" s="25">
        <f t="shared" si="14"/>
        <v>21.298306249999939</v>
      </c>
      <c r="K263" s="17" t="s">
        <v>13</v>
      </c>
    </row>
    <row r="264" spans="1:11" ht="15.75" customHeight="1" x14ac:dyDescent="0.2">
      <c r="A264" s="15">
        <v>45067</v>
      </c>
      <c r="B264" s="3">
        <f>VLOOKUP(A264,'[1]BADI SID DATA'!A:B,2,0)</f>
        <v>51</v>
      </c>
      <c r="C264" s="4">
        <v>34451.30000000447</v>
      </c>
      <c r="D264" s="7">
        <v>3.11</v>
      </c>
      <c r="E264" s="23">
        <v>100</v>
      </c>
      <c r="F264" s="23">
        <v>98.75</v>
      </c>
      <c r="G264" s="16">
        <f>VLOOKUP(A264,'[1]DRDO Kolar Data'!$A:$E,5,0)*1000</f>
        <v>8100</v>
      </c>
      <c r="H264" s="24">
        <f t="shared" si="12"/>
        <v>2590248.049999997</v>
      </c>
      <c r="I264" s="25">
        <f t="shared" si="13"/>
        <v>14.354708333335195</v>
      </c>
      <c r="J264" s="25">
        <f t="shared" si="14"/>
        <v>21.162157271241806</v>
      </c>
      <c r="K264" s="17" t="s">
        <v>10</v>
      </c>
    </row>
    <row r="265" spans="1:11" ht="15.75" customHeight="1" x14ac:dyDescent="0.2">
      <c r="A265" s="15">
        <v>45068</v>
      </c>
      <c r="B265" s="3">
        <f>VLOOKUP(A265,'[1]BADI SID DATA'!A:B,2,0)</f>
        <v>52</v>
      </c>
      <c r="C265" s="4">
        <v>61751.29999999702</v>
      </c>
      <c r="D265" s="6">
        <v>6.46</v>
      </c>
      <c r="E265" s="23">
        <v>100</v>
      </c>
      <c r="F265" s="23">
        <v>100</v>
      </c>
      <c r="G265" s="16">
        <f>VLOOKUP(A265,'[1]DRDO Kolar Data'!$A:$E,5,0)*1000</f>
        <v>10700</v>
      </c>
      <c r="H265" s="24">
        <f t="shared" si="12"/>
        <v>2651999.349999994</v>
      </c>
      <c r="I265" s="25">
        <f t="shared" si="13"/>
        <v>25.729708333332091</v>
      </c>
      <c r="J265" s="25">
        <f t="shared" si="14"/>
        <v>21.249994791666619</v>
      </c>
      <c r="K265" s="17" t="s">
        <v>13</v>
      </c>
    </row>
    <row r="266" spans="1:11" ht="15.75" customHeight="1" x14ac:dyDescent="0.2">
      <c r="A266" s="15">
        <v>45069</v>
      </c>
      <c r="B266" s="3">
        <f>VLOOKUP(A266,'[1]BADI SID DATA'!A:B,2,0)</f>
        <v>53</v>
      </c>
      <c r="C266" s="4">
        <v>52649.35000000149</v>
      </c>
      <c r="D266" s="6">
        <v>5.16</v>
      </c>
      <c r="E266" s="23">
        <v>100</v>
      </c>
      <c r="F266" s="23">
        <v>100</v>
      </c>
      <c r="G266" s="16">
        <f>VLOOKUP(A266,'[1]DRDO Kolar Data'!$A:$E,5,0)*1000</f>
        <v>9300</v>
      </c>
      <c r="H266" s="24">
        <f t="shared" si="12"/>
        <v>2704648.6999999955</v>
      </c>
      <c r="I266" s="25">
        <f t="shared" si="13"/>
        <v>21.937229166667287</v>
      </c>
      <c r="J266" s="25">
        <f t="shared" si="14"/>
        <v>21.262961477987385</v>
      </c>
      <c r="K266" s="17" t="s">
        <v>11</v>
      </c>
    </row>
    <row r="267" spans="1:11" ht="15.75" customHeight="1" x14ac:dyDescent="0.2">
      <c r="A267" s="15">
        <v>45070</v>
      </c>
      <c r="B267" s="3">
        <f>VLOOKUP(A267,'[1]BADI SID DATA'!A:B,2,0)</f>
        <v>54</v>
      </c>
      <c r="C267" s="4">
        <v>58498.05000000447</v>
      </c>
      <c r="D267" s="6">
        <v>6.12</v>
      </c>
      <c r="E267" s="23">
        <v>100</v>
      </c>
      <c r="F267" s="23">
        <v>100</v>
      </c>
      <c r="G267" s="16">
        <f>VLOOKUP(A267,'[1]DRDO Kolar Data'!$A:$E,5,0)*1000</f>
        <v>10600</v>
      </c>
      <c r="H267" s="24">
        <f t="shared" si="12"/>
        <v>2763146.75</v>
      </c>
      <c r="I267" s="25">
        <f t="shared" si="13"/>
        <v>24.374187500001863</v>
      </c>
      <c r="J267" s="25">
        <f t="shared" si="14"/>
        <v>21.320576774691357</v>
      </c>
      <c r="K267" s="17" t="s">
        <v>13</v>
      </c>
    </row>
    <row r="268" spans="1:11" ht="15.75" customHeight="1" x14ac:dyDescent="0.2">
      <c r="A268" s="15">
        <v>45071</v>
      </c>
      <c r="B268" s="3">
        <f>VLOOKUP(A268,'[1]BADI SID DATA'!A:B,2,0)</f>
        <v>55</v>
      </c>
      <c r="C268" s="4">
        <v>51352.59999999404</v>
      </c>
      <c r="D268" s="7">
        <v>5.05</v>
      </c>
      <c r="E268" s="23">
        <v>100</v>
      </c>
      <c r="F268" s="23">
        <v>100</v>
      </c>
      <c r="G268" s="16">
        <f>VLOOKUP(A268,'[1]DRDO Kolar Data'!$A:$E,5,0)*1000</f>
        <v>9900</v>
      </c>
      <c r="H268" s="24">
        <f t="shared" si="12"/>
        <v>2814499.349999994</v>
      </c>
      <c r="I268" s="25">
        <f t="shared" si="13"/>
        <v>21.396916666664183</v>
      </c>
      <c r="J268" s="25">
        <f t="shared" si="14"/>
        <v>21.321964772727227</v>
      </c>
      <c r="K268" s="17" t="s">
        <v>13</v>
      </c>
    </row>
    <row r="269" spans="1:11" ht="15.75" customHeight="1" x14ac:dyDescent="0.2">
      <c r="A269" s="15">
        <v>45072</v>
      </c>
      <c r="B269" s="3">
        <f>VLOOKUP(A269,'[1]BADI SID DATA'!A:B,2,0)</f>
        <v>56</v>
      </c>
      <c r="C269" s="4">
        <v>63698.70000000298</v>
      </c>
      <c r="D269" s="7">
        <v>6.28</v>
      </c>
      <c r="E269" s="23">
        <v>100</v>
      </c>
      <c r="F269" s="23">
        <v>100</v>
      </c>
      <c r="G269" s="16">
        <f>VLOOKUP(A269,'[1]DRDO Kolar Data'!$A:$E,5,0)*1000</f>
        <v>10600</v>
      </c>
      <c r="H269" s="24">
        <f t="shared" si="12"/>
        <v>2878198.049999997</v>
      </c>
      <c r="I269" s="25">
        <f t="shared" si="13"/>
        <v>26.541125000001241</v>
      </c>
      <c r="J269" s="25">
        <f t="shared" si="14"/>
        <v>21.415164062499979</v>
      </c>
      <c r="K269" s="17" t="s">
        <v>13</v>
      </c>
    </row>
    <row r="270" spans="1:11" ht="15.75" customHeight="1" x14ac:dyDescent="0.2">
      <c r="A270" s="15">
        <v>45073</v>
      </c>
      <c r="B270" s="3">
        <f>VLOOKUP(A270,'[1]BADI SID DATA'!A:B,2,0)</f>
        <v>57</v>
      </c>
      <c r="C270" s="4">
        <v>61750.64999999851</v>
      </c>
      <c r="D270" s="7">
        <v>6.46</v>
      </c>
      <c r="E270" s="23">
        <v>100</v>
      </c>
      <c r="F270" s="23">
        <v>100</v>
      </c>
      <c r="G270" s="16">
        <f>VLOOKUP(A270,'[1]DRDO Kolar Data'!$A:$E,5,0)*1000</f>
        <v>10300</v>
      </c>
      <c r="H270" s="24">
        <f t="shared" si="12"/>
        <v>2939948.6999999955</v>
      </c>
      <c r="I270" s="25">
        <f t="shared" si="13"/>
        <v>25.729437499999381</v>
      </c>
      <c r="J270" s="25">
        <f t="shared" si="14"/>
        <v>21.490853070175405</v>
      </c>
      <c r="K270" s="17" t="s">
        <v>13</v>
      </c>
    </row>
    <row r="271" spans="1:11" ht="15.75" customHeight="1" x14ac:dyDescent="0.2">
      <c r="A271" s="15">
        <v>45074</v>
      </c>
      <c r="B271" s="3">
        <f>VLOOKUP(A271,'[1]BADI SID DATA'!A:B,2,0)</f>
        <v>58</v>
      </c>
      <c r="C271" s="4">
        <v>63698.70000000298</v>
      </c>
      <c r="D271" s="7">
        <v>6.28</v>
      </c>
      <c r="E271" s="23">
        <v>100</v>
      </c>
      <c r="F271" s="23">
        <v>100</v>
      </c>
      <c r="G271" s="16">
        <f>VLOOKUP(A271,'[1]DRDO Kolar Data'!$A:$E,5,0)*1000</f>
        <v>10800</v>
      </c>
      <c r="H271" s="24">
        <f t="shared" si="12"/>
        <v>3003647.3999999985</v>
      </c>
      <c r="I271" s="25">
        <f t="shared" si="13"/>
        <v>26.541125000001241</v>
      </c>
      <c r="J271" s="25">
        <f t="shared" si="14"/>
        <v>21.577926724137917</v>
      </c>
      <c r="K271" s="17" t="s">
        <v>13</v>
      </c>
    </row>
    <row r="272" spans="1:11" ht="15.75" customHeight="1" x14ac:dyDescent="0.2">
      <c r="A272" s="15">
        <v>45075</v>
      </c>
      <c r="B272" s="3">
        <f>VLOOKUP(A272,'[1]BADI SID DATA'!A:B,2,0)</f>
        <v>59</v>
      </c>
      <c r="C272" s="4">
        <v>50701.95000000298</v>
      </c>
      <c r="D272" s="7">
        <v>5.41</v>
      </c>
      <c r="E272" s="23">
        <v>100</v>
      </c>
      <c r="F272" s="23">
        <v>100</v>
      </c>
      <c r="G272" s="16">
        <f>VLOOKUP(A272,'[1]DRDO Kolar Data'!$A:$E,5,0)*1000</f>
        <v>9900</v>
      </c>
      <c r="H272" s="24">
        <f t="shared" si="12"/>
        <v>3054349.3500000015</v>
      </c>
      <c r="I272" s="25">
        <f t="shared" si="13"/>
        <v>21.125812500001242</v>
      </c>
      <c r="J272" s="25">
        <f t="shared" si="14"/>
        <v>21.57026377118645</v>
      </c>
      <c r="K272" s="17" t="s">
        <v>27</v>
      </c>
    </row>
    <row r="273" spans="1:11" ht="15.75" customHeight="1" x14ac:dyDescent="0.2">
      <c r="A273" s="15">
        <v>45076</v>
      </c>
      <c r="B273" s="3">
        <f>VLOOKUP(A273,'[1]BADI SID DATA'!A:B,2,0)</f>
        <v>60</v>
      </c>
      <c r="C273" s="4">
        <v>44849.999999992549</v>
      </c>
      <c r="D273" s="10">
        <v>5.04</v>
      </c>
      <c r="E273" s="26">
        <v>100</v>
      </c>
      <c r="F273" s="26">
        <v>96.458333333333329</v>
      </c>
      <c r="G273" s="16">
        <f>VLOOKUP(A273,'[1]DRDO Kolar Data'!$A:$E,5,0)*1000</f>
        <v>8900</v>
      </c>
      <c r="H273" s="24">
        <f t="shared" si="12"/>
        <v>3099199.349999994</v>
      </c>
      <c r="I273" s="25">
        <f t="shared" si="13"/>
        <v>18.687499999996895</v>
      </c>
      <c r="J273" s="25">
        <f t="shared" si="14"/>
        <v>21.52221770833329</v>
      </c>
      <c r="K273" s="19" t="s">
        <v>28</v>
      </c>
    </row>
    <row r="274" spans="1:11" ht="15.75" customHeight="1" x14ac:dyDescent="0.2">
      <c r="A274" s="15">
        <v>45077</v>
      </c>
      <c r="B274" s="3">
        <f>VLOOKUP(A274,'[1]BADI SID DATA'!A:B,2,0)</f>
        <v>61</v>
      </c>
      <c r="C274" s="4">
        <v>57847.39999999851</v>
      </c>
      <c r="D274" s="9">
        <v>5.57</v>
      </c>
      <c r="E274" s="23">
        <v>100</v>
      </c>
      <c r="F274" s="23">
        <v>99.444444444444443</v>
      </c>
      <c r="G274" s="16">
        <f>VLOOKUP(A274,'[1]DRDO Kolar Data'!$A:$E,5,0)*1000</f>
        <v>10300</v>
      </c>
      <c r="H274" s="24">
        <f t="shared" si="12"/>
        <v>3157046.7499999925</v>
      </c>
      <c r="I274" s="25">
        <f t="shared" si="13"/>
        <v>24.103083333332712</v>
      </c>
      <c r="J274" s="25">
        <f t="shared" si="14"/>
        <v>21.564526980874266</v>
      </c>
      <c r="K274" s="17" t="s">
        <v>13</v>
      </c>
    </row>
    <row r="275" spans="1:11" ht="15.75" customHeight="1" x14ac:dyDescent="0.2">
      <c r="A275" s="15">
        <v>45078</v>
      </c>
      <c r="B275" s="3">
        <f>VLOOKUP(A275,'[1]BADI SID DATA'!A:B,2,0)</f>
        <v>62</v>
      </c>
      <c r="C275" s="4">
        <v>59802.600000008941</v>
      </c>
      <c r="D275" s="5">
        <v>6.77</v>
      </c>
      <c r="E275" s="23">
        <v>100</v>
      </c>
      <c r="F275" s="23">
        <v>100</v>
      </c>
      <c r="G275" s="16">
        <f>VLOOKUP(A275,'[1]DRDO Kolar Data'!$A:$E,5,0)*1000</f>
        <v>10400</v>
      </c>
      <c r="H275" s="24">
        <f t="shared" si="12"/>
        <v>3216849.3500000015</v>
      </c>
      <c r="I275" s="25">
        <f t="shared" si="13"/>
        <v>24.917750000003725</v>
      </c>
      <c r="J275" s="25">
        <f t="shared" si="14"/>
        <v>21.61861122311829</v>
      </c>
      <c r="K275" s="17" t="s">
        <v>13</v>
      </c>
    </row>
    <row r="276" spans="1:11" ht="15.75" customHeight="1" x14ac:dyDescent="0.2">
      <c r="A276" s="15">
        <v>45079</v>
      </c>
      <c r="B276" s="3">
        <f>VLOOKUP(A276,'[1]BADI SID DATA'!A:B,2,0)</f>
        <v>63</v>
      </c>
      <c r="C276" s="4">
        <v>57846.75</v>
      </c>
      <c r="D276" s="5">
        <v>5.57</v>
      </c>
      <c r="E276" s="23">
        <v>100</v>
      </c>
      <c r="F276" s="23">
        <v>100</v>
      </c>
      <c r="G276" s="16">
        <f>VLOOKUP(A276,'[1]DRDO Kolar Data'!$A:$E,5,0)*1000</f>
        <v>10100</v>
      </c>
      <c r="H276" s="24">
        <f t="shared" si="12"/>
        <v>3274696.1000000015</v>
      </c>
      <c r="I276" s="25">
        <f t="shared" si="13"/>
        <v>24.102812500000002</v>
      </c>
      <c r="J276" s="25">
        <f t="shared" si="14"/>
        <v>21.658042989418</v>
      </c>
      <c r="K276" s="17" t="s">
        <v>13</v>
      </c>
    </row>
    <row r="277" spans="1:11" ht="15.75" customHeight="1" x14ac:dyDescent="0.2">
      <c r="A277" s="15">
        <v>45080</v>
      </c>
      <c r="B277" s="3">
        <f>VLOOKUP(A277,'[1]BADI SID DATA'!A:B,2,0)</f>
        <v>64</v>
      </c>
      <c r="C277" s="4">
        <v>50051.29999999702</v>
      </c>
      <c r="D277" s="5">
        <v>5.74</v>
      </c>
      <c r="E277" s="23">
        <v>100</v>
      </c>
      <c r="F277" s="23">
        <v>100</v>
      </c>
      <c r="G277" s="16">
        <f>VLOOKUP(A277,'[1]DRDO Kolar Data'!$A:$E,5,0)*1000</f>
        <v>9600</v>
      </c>
      <c r="H277" s="24">
        <f t="shared" si="12"/>
        <v>3324747.3999999985</v>
      </c>
      <c r="I277" s="25">
        <f t="shared" si="13"/>
        <v>20.854708333332091</v>
      </c>
      <c r="J277" s="25">
        <f t="shared" si="14"/>
        <v>21.645490885416656</v>
      </c>
      <c r="K277" s="17" t="s">
        <v>11</v>
      </c>
    </row>
    <row r="278" spans="1:11" ht="15.75" customHeight="1" x14ac:dyDescent="0.2">
      <c r="A278" s="15">
        <v>45081</v>
      </c>
      <c r="B278" s="3">
        <f>VLOOKUP(A278,'[1]BADI SID DATA'!A:B,2,0)</f>
        <v>65</v>
      </c>
      <c r="C278" s="4">
        <v>40950.64999999851</v>
      </c>
      <c r="D278" s="8">
        <v>4.2300000000000004</v>
      </c>
      <c r="E278" s="23">
        <v>100</v>
      </c>
      <c r="F278" s="23">
        <v>100</v>
      </c>
      <c r="G278" s="16">
        <f>VLOOKUP(A278,'[1]DRDO Kolar Data'!$A:$E,5,0)*1000</f>
        <v>8900</v>
      </c>
      <c r="H278" s="24">
        <f t="shared" si="12"/>
        <v>3365698.049999997</v>
      </c>
      <c r="I278" s="25">
        <f t="shared" si="13"/>
        <v>17.062770833332713</v>
      </c>
      <c r="J278" s="25">
        <f t="shared" si="14"/>
        <v>21.574987499999981</v>
      </c>
      <c r="K278" s="17" t="s">
        <v>15</v>
      </c>
    </row>
    <row r="279" spans="1:11" ht="15.75" customHeight="1" x14ac:dyDescent="0.2">
      <c r="A279" s="15">
        <v>45082</v>
      </c>
      <c r="B279" s="3">
        <f>VLOOKUP(A279,'[1]BADI SID DATA'!A:B,2,0)</f>
        <v>66</v>
      </c>
      <c r="C279" s="4">
        <v>57850.64999999851</v>
      </c>
      <c r="D279" s="5">
        <v>5.57</v>
      </c>
      <c r="E279" s="23">
        <v>100</v>
      </c>
      <c r="F279" s="23">
        <v>100</v>
      </c>
      <c r="G279" s="16">
        <f>VLOOKUP(A279,'[1]DRDO Kolar Data'!$A:$E,5,0)*1000</f>
        <v>9900</v>
      </c>
      <c r="H279" s="24">
        <f t="shared" ref="H279:H342" si="15">C279+H278</f>
        <v>3423548.6999999955</v>
      </c>
      <c r="I279" s="25">
        <f t="shared" si="13"/>
        <v>24.104437499999378</v>
      </c>
      <c r="J279" s="25">
        <f t="shared" si="14"/>
        <v>21.613312499999971</v>
      </c>
      <c r="K279" s="17" t="s">
        <v>13</v>
      </c>
    </row>
    <row r="280" spans="1:11" ht="15.75" customHeight="1" x14ac:dyDescent="0.2">
      <c r="A280" s="15">
        <v>45083</v>
      </c>
      <c r="B280" s="3">
        <f>VLOOKUP(A280,'[1]BADI SID DATA'!A:B,2,0)</f>
        <v>67</v>
      </c>
      <c r="C280" s="4">
        <v>59799.35000000149</v>
      </c>
      <c r="D280" s="5">
        <v>6.33</v>
      </c>
      <c r="E280" s="23">
        <v>100</v>
      </c>
      <c r="F280" s="23">
        <v>100</v>
      </c>
      <c r="G280" s="16">
        <f>VLOOKUP(A280,'[1]DRDO Kolar Data'!$A:$E,5,0)*1000</f>
        <v>10600</v>
      </c>
      <c r="H280" s="24">
        <f t="shared" si="15"/>
        <v>3483348.049999997</v>
      </c>
      <c r="I280" s="25">
        <f t="shared" si="13"/>
        <v>24.916395833333954</v>
      </c>
      <c r="J280" s="25">
        <f t="shared" si="14"/>
        <v>21.662612251243761</v>
      </c>
      <c r="K280" s="17" t="s">
        <v>13</v>
      </c>
    </row>
    <row r="281" spans="1:11" ht="15.75" customHeight="1" x14ac:dyDescent="0.2">
      <c r="A281" s="15">
        <v>45084</v>
      </c>
      <c r="B281" s="3">
        <f>VLOOKUP(A281,'[1]BADI SID DATA'!A:B,2,0)</f>
        <v>68</v>
      </c>
      <c r="C281" s="4">
        <v>48750</v>
      </c>
      <c r="D281" s="5">
        <v>4.82</v>
      </c>
      <c r="E281" s="23">
        <v>100</v>
      </c>
      <c r="F281" s="23">
        <v>90.069444444444443</v>
      </c>
      <c r="G281" s="16">
        <f>VLOOKUP(A281,'[1]DRDO Kolar Data'!$A:$E,5,0)*1000</f>
        <v>9800</v>
      </c>
      <c r="H281" s="24">
        <f t="shared" si="15"/>
        <v>3532098.049999997</v>
      </c>
      <c r="I281" s="25">
        <f t="shared" si="13"/>
        <v>20.3125</v>
      </c>
      <c r="J281" s="25">
        <f t="shared" si="14"/>
        <v>21.642757659313709</v>
      </c>
      <c r="K281" s="17" t="s">
        <v>11</v>
      </c>
    </row>
    <row r="282" spans="1:11" ht="15.75" customHeight="1" x14ac:dyDescent="0.2">
      <c r="A282" s="15">
        <v>45085</v>
      </c>
      <c r="B282" s="3">
        <f>VLOOKUP(A282,'[1]BADI SID DATA'!A:B,2,0)</f>
        <v>69</v>
      </c>
      <c r="C282" s="4">
        <v>50701.30000000447</v>
      </c>
      <c r="D282" s="5">
        <v>4.99</v>
      </c>
      <c r="E282" s="23">
        <v>100</v>
      </c>
      <c r="F282" s="23">
        <v>100</v>
      </c>
      <c r="G282" s="16">
        <f>VLOOKUP(A282,'[1]DRDO Kolar Data'!$A:$E,5,0)*1000</f>
        <v>9600</v>
      </c>
      <c r="H282" s="24">
        <f t="shared" si="15"/>
        <v>3582799.3500000015</v>
      </c>
      <c r="I282" s="25">
        <f t="shared" si="13"/>
        <v>21.125541666668529</v>
      </c>
      <c r="J282" s="25">
        <f t="shared" si="14"/>
        <v>21.635261775362327</v>
      </c>
      <c r="K282" s="17" t="s">
        <v>11</v>
      </c>
    </row>
    <row r="283" spans="1:11" ht="15.75" customHeight="1" x14ac:dyDescent="0.2">
      <c r="A283" s="15">
        <v>45086</v>
      </c>
      <c r="B283" s="3">
        <f>VLOOKUP(A283,'[1]BADI SID DATA'!A:B,2,0)</f>
        <v>70</v>
      </c>
      <c r="C283" s="4">
        <v>63048.69999999553</v>
      </c>
      <c r="D283" s="7">
        <v>6.5</v>
      </c>
      <c r="E283" s="23">
        <v>100</v>
      </c>
      <c r="F283" s="23">
        <v>100</v>
      </c>
      <c r="G283" s="16">
        <f>VLOOKUP(A283,'[1]DRDO Kolar Data'!$A:$E,5,0)*1000</f>
        <v>10600</v>
      </c>
      <c r="H283" s="24">
        <f t="shared" si="15"/>
        <v>3645848.049999997</v>
      </c>
      <c r="I283" s="25">
        <f t="shared" si="13"/>
        <v>26.270291666664804</v>
      </c>
      <c r="J283" s="25">
        <f t="shared" si="14"/>
        <v>21.701476488095221</v>
      </c>
      <c r="K283" s="17" t="s">
        <v>13</v>
      </c>
    </row>
    <row r="284" spans="1:11" ht="15.75" customHeight="1" x14ac:dyDescent="0.2">
      <c r="A284" s="15">
        <v>45087</v>
      </c>
      <c r="B284" s="3">
        <f>VLOOKUP(A284,'[1]BADI SID DATA'!A:B,2,0)</f>
        <v>71</v>
      </c>
      <c r="C284" s="4">
        <v>66300.64999999851</v>
      </c>
      <c r="D284" s="7">
        <v>6.34</v>
      </c>
      <c r="E284" s="23">
        <v>100</v>
      </c>
      <c r="F284" s="23">
        <v>100</v>
      </c>
      <c r="G284" s="16">
        <f>VLOOKUP(A284,'[1]DRDO Kolar Data'!$A:$E,5,0)*1000</f>
        <v>10800</v>
      </c>
      <c r="H284" s="24">
        <f t="shared" si="15"/>
        <v>3712148.6999999955</v>
      </c>
      <c r="I284" s="25">
        <f t="shared" si="13"/>
        <v>27.62527083333271</v>
      </c>
      <c r="J284" s="25">
        <f t="shared" si="14"/>
        <v>21.784910211267579</v>
      </c>
      <c r="K284" s="17" t="s">
        <v>24</v>
      </c>
    </row>
    <row r="285" spans="1:11" ht="15.75" customHeight="1" x14ac:dyDescent="0.2">
      <c r="A285" s="15">
        <v>45088</v>
      </c>
      <c r="B285" s="3">
        <f>VLOOKUP(A285,'[1]BADI SID DATA'!A:B,2,0)</f>
        <v>72</v>
      </c>
      <c r="C285" s="4">
        <v>7149.3500000014901</v>
      </c>
      <c r="D285" s="6">
        <v>6.33</v>
      </c>
      <c r="E285" s="23">
        <v>100</v>
      </c>
      <c r="F285" s="23">
        <v>57.569444444444443</v>
      </c>
      <c r="G285" s="16">
        <f>VLOOKUP(A285,'[1]DRDO Kolar Data'!$A:$E,5,0)*1000</f>
        <v>10200</v>
      </c>
      <c r="H285" s="24">
        <f t="shared" si="15"/>
        <v>3719298.049999997</v>
      </c>
      <c r="I285" s="25">
        <f t="shared" si="13"/>
        <v>2.9788958333339539</v>
      </c>
      <c r="J285" s="25">
        <f t="shared" si="14"/>
        <v>21.52371556712961</v>
      </c>
      <c r="K285" s="17" t="s">
        <v>24</v>
      </c>
    </row>
    <row r="286" spans="1:11" ht="15.75" customHeight="1" x14ac:dyDescent="0.2">
      <c r="A286" s="15">
        <v>45089</v>
      </c>
      <c r="B286" s="3">
        <f>VLOOKUP(A286,'[1]BADI SID DATA'!A:B,2,0)</f>
        <v>73</v>
      </c>
      <c r="C286" s="4">
        <v>57850.64999999851</v>
      </c>
      <c r="D286" s="6">
        <v>5.57</v>
      </c>
      <c r="E286" s="23">
        <v>100</v>
      </c>
      <c r="F286" s="23">
        <v>100</v>
      </c>
      <c r="G286" s="16">
        <f>VLOOKUP(A286,'[1]DRDO Kolar Data'!$A:$E,5,0)*1000</f>
        <v>9900</v>
      </c>
      <c r="H286" s="24">
        <f t="shared" si="15"/>
        <v>3777148.6999999955</v>
      </c>
      <c r="I286" s="25">
        <f t="shared" si="13"/>
        <v>24.104437499999378</v>
      </c>
      <c r="J286" s="25">
        <f t="shared" si="14"/>
        <v>21.559067922374403</v>
      </c>
      <c r="K286" s="17" t="s">
        <v>13</v>
      </c>
    </row>
    <row r="287" spans="1:11" ht="15.75" customHeight="1" x14ac:dyDescent="0.2">
      <c r="A287" s="15">
        <v>45090</v>
      </c>
      <c r="B287" s="3">
        <f>VLOOKUP(A287,'[1]BADI SID DATA'!A:B,2,0)</f>
        <v>74</v>
      </c>
      <c r="C287" s="4">
        <v>63699.35000000149</v>
      </c>
      <c r="D287" s="6">
        <v>6.28</v>
      </c>
      <c r="E287" s="23">
        <v>100</v>
      </c>
      <c r="F287" s="23">
        <v>100</v>
      </c>
      <c r="G287" s="16">
        <f>VLOOKUP(A287,'[1]DRDO Kolar Data'!$A:$E,5,0)*1000</f>
        <v>10300</v>
      </c>
      <c r="H287" s="24">
        <f t="shared" si="15"/>
        <v>3840848.049999997</v>
      </c>
      <c r="I287" s="25">
        <f t="shared" si="13"/>
        <v>26.541395833333954</v>
      </c>
      <c r="J287" s="25">
        <f t="shared" si="14"/>
        <v>21.626396677927911</v>
      </c>
      <c r="K287" s="17" t="s">
        <v>13</v>
      </c>
    </row>
    <row r="288" spans="1:11" ht="15.75" customHeight="1" x14ac:dyDescent="0.2">
      <c r="A288" s="15">
        <v>45091</v>
      </c>
      <c r="B288" s="3">
        <f>VLOOKUP(A288,'[1]BADI SID DATA'!A:B,2,0)</f>
        <v>75</v>
      </c>
      <c r="C288" s="4">
        <v>63051.94999999553</v>
      </c>
      <c r="D288" s="6">
        <v>6.6</v>
      </c>
      <c r="E288" s="23">
        <v>100</v>
      </c>
      <c r="F288" s="23">
        <v>100</v>
      </c>
      <c r="G288" s="16">
        <f>VLOOKUP(A288,'[1]DRDO Kolar Data'!$A:$E,5,0)*1000</f>
        <v>10100</v>
      </c>
      <c r="H288" s="24">
        <f t="shared" si="15"/>
        <v>3903899.9999999925</v>
      </c>
      <c r="I288" s="25">
        <f t="shared" si="13"/>
        <v>26.271645833331469</v>
      </c>
      <c r="J288" s="25">
        <f t="shared" si="14"/>
        <v>21.688333333333293</v>
      </c>
      <c r="K288" s="17" t="s">
        <v>13</v>
      </c>
    </row>
    <row r="289" spans="1:11" ht="15.75" customHeight="1" x14ac:dyDescent="0.2">
      <c r="A289" s="15">
        <v>45092</v>
      </c>
      <c r="B289" s="3">
        <f>VLOOKUP(A289,'[1]BADI SID DATA'!A:B,2,0)</f>
        <v>76</v>
      </c>
      <c r="C289" s="4">
        <v>61100.000000007451</v>
      </c>
      <c r="D289" s="7">
        <v>6.39</v>
      </c>
      <c r="E289" s="23">
        <v>100</v>
      </c>
      <c r="F289" s="23">
        <v>100</v>
      </c>
      <c r="G289" s="16">
        <f>VLOOKUP(A289,'[1]DRDO Kolar Data'!$A:$E,5,0)*1000</f>
        <v>10200</v>
      </c>
      <c r="H289" s="24">
        <f t="shared" si="15"/>
        <v>3965000</v>
      </c>
      <c r="I289" s="25">
        <f t="shared" si="13"/>
        <v>25.458333333336437</v>
      </c>
      <c r="J289" s="25">
        <f t="shared" si="14"/>
        <v>21.737938596491226</v>
      </c>
      <c r="K289" s="17" t="s">
        <v>13</v>
      </c>
    </row>
    <row r="290" spans="1:11" ht="15.75" customHeight="1" x14ac:dyDescent="0.2">
      <c r="A290" s="15">
        <v>45093</v>
      </c>
      <c r="B290" s="3">
        <f>VLOOKUP(A290,'[1]BADI SID DATA'!A:B,2,0)</f>
        <v>77</v>
      </c>
      <c r="C290" s="4">
        <v>63698.69999999553</v>
      </c>
      <c r="D290" s="7">
        <v>6.28</v>
      </c>
      <c r="E290" s="23">
        <v>100</v>
      </c>
      <c r="F290" s="23">
        <v>100</v>
      </c>
      <c r="G290" s="16">
        <f>VLOOKUP(A290,'[1]DRDO Kolar Data'!$A:$E,5,0)*1000</f>
        <v>10400</v>
      </c>
      <c r="H290" s="24">
        <f t="shared" si="15"/>
        <v>4028698.6999999955</v>
      </c>
      <c r="I290" s="25">
        <f t="shared" si="13"/>
        <v>26.541124999998139</v>
      </c>
      <c r="J290" s="25">
        <f t="shared" si="14"/>
        <v>21.800317640692615</v>
      </c>
      <c r="K290" s="17" t="s">
        <v>13</v>
      </c>
    </row>
    <row r="291" spans="1:11" ht="15.75" customHeight="1" x14ac:dyDescent="0.2">
      <c r="A291" s="15">
        <v>45094</v>
      </c>
      <c r="B291" s="3">
        <f>VLOOKUP(A291,'[1]BADI SID DATA'!A:B,2,0)</f>
        <v>78</v>
      </c>
      <c r="C291" s="4">
        <v>47448.70000000298</v>
      </c>
      <c r="D291" s="6">
        <v>9.93</v>
      </c>
      <c r="E291" s="26">
        <v>100</v>
      </c>
      <c r="F291" s="26">
        <v>100</v>
      </c>
      <c r="G291" s="16">
        <f>VLOOKUP(A291,'[1]DRDO Kolar Data'!$A:$E,5,0)*1000</f>
        <v>9600</v>
      </c>
      <c r="H291" s="24">
        <f t="shared" si="15"/>
        <v>4076147.3999999985</v>
      </c>
      <c r="I291" s="25">
        <f t="shared" si="13"/>
        <v>19.770291666667909</v>
      </c>
      <c r="J291" s="25">
        <f t="shared" si="14"/>
        <v>21.774291666666659</v>
      </c>
      <c r="K291" s="18" t="s">
        <v>29</v>
      </c>
    </row>
    <row r="292" spans="1:11" ht="15.75" customHeight="1" x14ac:dyDescent="0.2">
      <c r="A292" s="15">
        <v>45095</v>
      </c>
      <c r="B292" s="3">
        <f>VLOOKUP(A292,'[1]BADI SID DATA'!A:B,2,0)</f>
        <v>79</v>
      </c>
      <c r="C292" s="4">
        <v>31198.69999999553</v>
      </c>
      <c r="D292" s="6">
        <v>3</v>
      </c>
      <c r="E292" s="23">
        <v>100</v>
      </c>
      <c r="F292" s="23">
        <v>100</v>
      </c>
      <c r="G292" s="16">
        <f>VLOOKUP(A292,'[1]DRDO Kolar Data'!$A:$E,5,0)*1000</f>
        <v>8100</v>
      </c>
      <c r="H292" s="24">
        <f t="shared" si="15"/>
        <v>4107346.099999994</v>
      </c>
      <c r="I292" s="25">
        <f t="shared" si="13"/>
        <v>12.999458333331471</v>
      </c>
      <c r="J292" s="25">
        <f t="shared" si="14"/>
        <v>21.663217827004189</v>
      </c>
      <c r="K292" s="17" t="s">
        <v>15</v>
      </c>
    </row>
    <row r="293" spans="1:11" ht="15.75" customHeight="1" x14ac:dyDescent="0.2">
      <c r="A293" s="15">
        <v>45096</v>
      </c>
      <c r="B293" s="3">
        <f>VLOOKUP(A293,'[1]BADI SID DATA'!A:B,2,0)</f>
        <v>80</v>
      </c>
      <c r="C293" s="4">
        <v>28600.000000007451</v>
      </c>
      <c r="D293" s="7">
        <v>2.29</v>
      </c>
      <c r="E293" s="23">
        <v>100</v>
      </c>
      <c r="F293" s="23">
        <v>100</v>
      </c>
      <c r="G293" s="16">
        <f>VLOOKUP(A293,'[1]DRDO Kolar Data'!$A:$E,5,0)*1000</f>
        <v>7800</v>
      </c>
      <c r="H293" s="24">
        <f t="shared" si="15"/>
        <v>4135946.1000000015</v>
      </c>
      <c r="I293" s="25">
        <f t="shared" si="13"/>
        <v>11.916666666669771</v>
      </c>
      <c r="J293" s="25">
        <f t="shared" si="14"/>
        <v>21.541385937500007</v>
      </c>
      <c r="K293" s="17" t="s">
        <v>15</v>
      </c>
    </row>
    <row r="294" spans="1:11" ht="15.75" customHeight="1" x14ac:dyDescent="0.2">
      <c r="A294" s="15">
        <v>45097</v>
      </c>
      <c r="B294" s="3">
        <f>VLOOKUP(A294,'[1]BADI SID DATA'!A:B,2,0)</f>
        <v>81</v>
      </c>
      <c r="C294" s="4">
        <v>32500</v>
      </c>
      <c r="D294" s="7">
        <v>2.88</v>
      </c>
      <c r="E294" s="23">
        <v>100</v>
      </c>
      <c r="F294" s="23">
        <v>92.847222222222229</v>
      </c>
      <c r="G294" s="16">
        <f>VLOOKUP(A294,'[1]DRDO Kolar Data'!$A:$E,5,0)*1000</f>
        <v>6600</v>
      </c>
      <c r="H294" s="24">
        <f t="shared" si="15"/>
        <v>4168446.1000000015</v>
      </c>
      <c r="I294" s="25">
        <f t="shared" si="13"/>
        <v>13.541666666666666</v>
      </c>
      <c r="J294" s="25">
        <f t="shared" si="14"/>
        <v>21.442623971193424</v>
      </c>
      <c r="K294" s="17" t="s">
        <v>23</v>
      </c>
    </row>
    <row r="295" spans="1:11" ht="15.75" customHeight="1" x14ac:dyDescent="0.2">
      <c r="A295" s="15">
        <v>45098</v>
      </c>
      <c r="B295" s="3">
        <f>VLOOKUP(A295,'[1]BADI SID DATA'!A:B,2,0)</f>
        <v>82</v>
      </c>
      <c r="C295" s="4">
        <v>38351.94999999553</v>
      </c>
      <c r="D295" s="7">
        <v>3.34</v>
      </c>
      <c r="E295" s="23">
        <v>100</v>
      </c>
      <c r="F295" s="23">
        <v>100</v>
      </c>
      <c r="G295" s="16">
        <f>VLOOKUP(A295,'[1]DRDO Kolar Data'!$A:$E,5,0)*1000</f>
        <v>7200</v>
      </c>
      <c r="H295" s="24">
        <f t="shared" si="15"/>
        <v>4206798.049999997</v>
      </c>
      <c r="I295" s="25">
        <f t="shared" si="13"/>
        <v>15.979979166664805</v>
      </c>
      <c r="J295" s="25">
        <f t="shared" si="14"/>
        <v>21.376006351626</v>
      </c>
      <c r="K295" s="17" t="s">
        <v>15</v>
      </c>
    </row>
    <row r="296" spans="1:11" ht="15.75" customHeight="1" x14ac:dyDescent="0.2">
      <c r="A296" s="15">
        <v>45099</v>
      </c>
      <c r="B296" s="3">
        <f>VLOOKUP(A296,'[1]BADI SID DATA'!A:B,2,0)</f>
        <v>83</v>
      </c>
      <c r="C296" s="4">
        <v>46151.29999999702</v>
      </c>
      <c r="D296" s="6">
        <v>4.3899999999999997</v>
      </c>
      <c r="E296" s="23">
        <v>100</v>
      </c>
      <c r="F296" s="23">
        <v>100</v>
      </c>
      <c r="G296" s="16">
        <f>VLOOKUP(A296,'[1]DRDO Kolar Data'!$A:$E,5,0)*1000</f>
        <v>9300</v>
      </c>
      <c r="H296" s="24">
        <f t="shared" si="15"/>
        <v>4252949.349999994</v>
      </c>
      <c r="I296" s="25">
        <f t="shared" si="13"/>
        <v>19.229708333332091</v>
      </c>
      <c r="J296" s="25">
        <f t="shared" si="14"/>
        <v>21.350147339357399</v>
      </c>
      <c r="K296" s="17" t="s">
        <v>15</v>
      </c>
    </row>
    <row r="297" spans="1:11" ht="15.75" customHeight="1" x14ac:dyDescent="0.2">
      <c r="A297" s="15">
        <v>45100</v>
      </c>
      <c r="B297" s="3">
        <f>VLOOKUP(A297,'[1]BADI SID DATA'!A:B,2,0)</f>
        <v>84</v>
      </c>
      <c r="C297" s="4">
        <v>44199.35000000149</v>
      </c>
      <c r="D297" s="6">
        <v>4.13</v>
      </c>
      <c r="E297" s="23">
        <v>100</v>
      </c>
      <c r="F297" s="23">
        <v>100</v>
      </c>
      <c r="G297" s="16">
        <f>VLOOKUP(A297,'[1]DRDO Kolar Data'!$A:$E,5,0)*1000</f>
        <v>8900</v>
      </c>
      <c r="H297" s="24">
        <f t="shared" si="15"/>
        <v>4297148.6999999955</v>
      </c>
      <c r="I297" s="25">
        <f t="shared" si="13"/>
        <v>18.416395833333954</v>
      </c>
      <c r="J297" s="25">
        <f t="shared" si="14"/>
        <v>21.315221726190455</v>
      </c>
      <c r="K297" s="17" t="s">
        <v>15</v>
      </c>
    </row>
    <row r="298" spans="1:11" ht="15.75" customHeight="1" x14ac:dyDescent="0.2">
      <c r="A298" s="15">
        <v>45101</v>
      </c>
      <c r="B298" s="3">
        <f>VLOOKUP(A298,'[1]BADI SID DATA'!A:B,2,0)</f>
        <v>85</v>
      </c>
      <c r="C298" s="4">
        <v>46148.04999999702</v>
      </c>
      <c r="D298" s="6">
        <v>4.3899999999999997</v>
      </c>
      <c r="E298" s="23">
        <v>100</v>
      </c>
      <c r="F298" s="23">
        <v>100</v>
      </c>
      <c r="G298" s="16">
        <f>VLOOKUP(A298,'[1]DRDO Kolar Data'!$A:$E,5,0)*1000</f>
        <v>8600</v>
      </c>
      <c r="H298" s="24">
        <f t="shared" si="15"/>
        <v>4343296.7499999925</v>
      </c>
      <c r="I298" s="25">
        <f t="shared" si="13"/>
        <v>19.228354166665426</v>
      </c>
      <c r="J298" s="25">
        <f t="shared" si="14"/>
        <v>21.290670343137219</v>
      </c>
      <c r="K298" s="17" t="s">
        <v>15</v>
      </c>
    </row>
    <row r="299" spans="1:11" ht="15.75" customHeight="1" x14ac:dyDescent="0.2">
      <c r="A299" s="15">
        <v>45102</v>
      </c>
      <c r="B299" s="3">
        <f>VLOOKUP(A299,'[1]BADI SID DATA'!A:B,2,0)</f>
        <v>86</v>
      </c>
      <c r="C299" s="4">
        <v>48103.25</v>
      </c>
      <c r="D299" s="7">
        <v>4.54</v>
      </c>
      <c r="E299" s="23">
        <v>100</v>
      </c>
      <c r="F299" s="23">
        <v>99.236111111111114</v>
      </c>
      <c r="G299" s="16">
        <f>VLOOKUP(A299,'[1]DRDO Kolar Data'!$A:$E,5,0)*1000</f>
        <v>8900</v>
      </c>
      <c r="H299" s="24">
        <f t="shared" si="15"/>
        <v>4391399.9999999925</v>
      </c>
      <c r="I299" s="25">
        <f t="shared" si="13"/>
        <v>20.043020833333333</v>
      </c>
      <c r="J299" s="25">
        <f t="shared" si="14"/>
        <v>21.27616279069764</v>
      </c>
      <c r="K299" s="17" t="s">
        <v>15</v>
      </c>
    </row>
    <row r="300" spans="1:11" ht="15.75" customHeight="1" x14ac:dyDescent="0.2">
      <c r="A300" s="15">
        <v>45103</v>
      </c>
      <c r="B300" s="3">
        <f>VLOOKUP(A300,'[1]BADI SID DATA'!A:B,2,0)</f>
        <v>87</v>
      </c>
      <c r="C300" s="4">
        <v>48099.35000000149</v>
      </c>
      <c r="D300" s="7">
        <v>4.5199999999999996</v>
      </c>
      <c r="E300" s="23">
        <v>100</v>
      </c>
      <c r="F300" s="23">
        <v>100</v>
      </c>
      <c r="G300" s="16">
        <f>VLOOKUP(A300,'[1]DRDO Kolar Data'!$A:$E,5,0)*1000</f>
        <v>9100</v>
      </c>
      <c r="H300" s="24">
        <f t="shared" si="15"/>
        <v>4439499.349999994</v>
      </c>
      <c r="I300" s="25">
        <f t="shared" si="13"/>
        <v>20.041395833333954</v>
      </c>
      <c r="J300" s="25">
        <f t="shared" si="14"/>
        <v>21.261970067049781</v>
      </c>
      <c r="K300" s="17" t="s">
        <v>11</v>
      </c>
    </row>
    <row r="301" spans="1:11" ht="15.75" customHeight="1" x14ac:dyDescent="0.2">
      <c r="A301" s="15">
        <v>45104</v>
      </c>
      <c r="B301" s="3">
        <f>VLOOKUP(A301,'[1]BADI SID DATA'!A:B,2,0)</f>
        <v>88</v>
      </c>
      <c r="C301" s="4">
        <v>58497.39999999851</v>
      </c>
      <c r="D301" s="7">
        <v>6.12</v>
      </c>
      <c r="E301" s="23">
        <v>100</v>
      </c>
      <c r="F301" s="23">
        <v>100</v>
      </c>
      <c r="G301" s="16">
        <f>VLOOKUP(A301,'[1]DRDO Kolar Data'!$A:$E,5,0)*1000</f>
        <v>9600</v>
      </c>
      <c r="H301" s="24">
        <f t="shared" si="15"/>
        <v>4497996.7499999925</v>
      </c>
      <c r="I301" s="25">
        <f t="shared" si="13"/>
        <v>24.373916666666045</v>
      </c>
      <c r="J301" s="25">
        <f t="shared" si="14"/>
        <v>21.297333096590872</v>
      </c>
      <c r="K301" s="17" t="s">
        <v>13</v>
      </c>
    </row>
    <row r="302" spans="1:11" ht="15.75" customHeight="1" x14ac:dyDescent="0.2">
      <c r="A302" s="15">
        <v>45105</v>
      </c>
      <c r="B302" s="3">
        <f>VLOOKUP(A302,'[1]BADI SID DATA'!A:B,2,0)</f>
        <v>89</v>
      </c>
      <c r="C302" s="4">
        <v>53300.65000000596</v>
      </c>
      <c r="D302" s="7">
        <v>5.32</v>
      </c>
      <c r="E302" s="23">
        <v>100</v>
      </c>
      <c r="F302" s="23">
        <v>100</v>
      </c>
      <c r="G302" s="16">
        <f>VLOOKUP(A302,'[1]DRDO Kolar Data'!$A:$E,5,0)*1000</f>
        <v>9200</v>
      </c>
      <c r="H302" s="24">
        <f t="shared" si="15"/>
        <v>4551297.3999999985</v>
      </c>
      <c r="I302" s="25">
        <f t="shared" si="13"/>
        <v>22.208604166669151</v>
      </c>
      <c r="J302" s="25">
        <f t="shared" si="14"/>
        <v>21.307572097378269</v>
      </c>
      <c r="K302" s="17" t="s">
        <v>13</v>
      </c>
    </row>
    <row r="303" spans="1:11" ht="15.75" customHeight="1" x14ac:dyDescent="0.2">
      <c r="A303" s="15">
        <v>45106</v>
      </c>
      <c r="B303" s="3">
        <f>VLOOKUP(A303,'[1]BADI SID DATA'!A:B,2,0)</f>
        <v>90</v>
      </c>
      <c r="C303" s="4">
        <v>55251.95000000298</v>
      </c>
      <c r="D303" s="7">
        <v>5.82</v>
      </c>
      <c r="E303" s="23">
        <v>100</v>
      </c>
      <c r="F303" s="23">
        <v>100</v>
      </c>
      <c r="G303" s="16">
        <f>VLOOKUP(A303,'[1]DRDO Kolar Data'!$A:$E,5,0)*1000</f>
        <v>9600</v>
      </c>
      <c r="H303" s="24">
        <f t="shared" si="15"/>
        <v>4606549.3500000015</v>
      </c>
      <c r="I303" s="25">
        <f t="shared" si="13"/>
        <v>23.021645833334574</v>
      </c>
      <c r="J303" s="25">
        <f t="shared" si="14"/>
        <v>21.326617361111118</v>
      </c>
      <c r="K303" s="17" t="s">
        <v>13</v>
      </c>
    </row>
    <row r="304" spans="1:11" ht="15.75" customHeight="1" x14ac:dyDescent="0.2">
      <c r="A304" s="15">
        <v>45107</v>
      </c>
      <c r="B304" s="3">
        <f>VLOOKUP(A304,'[1]BADI SID DATA'!A:B,2,0)</f>
        <v>91</v>
      </c>
      <c r="C304" s="4">
        <v>59148.69999999553</v>
      </c>
      <c r="D304" s="10">
        <v>5.82</v>
      </c>
      <c r="E304" s="23">
        <v>100</v>
      </c>
      <c r="F304" s="23">
        <v>100</v>
      </c>
      <c r="G304" s="16">
        <f>VLOOKUP(A304,'[1]DRDO Kolar Data'!$A:$E,5,0)*1000</f>
        <v>10200</v>
      </c>
      <c r="H304" s="24">
        <f t="shared" si="15"/>
        <v>4665698.049999997</v>
      </c>
      <c r="I304" s="25">
        <f t="shared" si="13"/>
        <v>24.645291666664804</v>
      </c>
      <c r="J304" s="25">
        <f t="shared" si="14"/>
        <v>21.363086309523798</v>
      </c>
      <c r="K304" s="17" t="s">
        <v>13</v>
      </c>
    </row>
    <row r="305" spans="1:11" ht="15.75" customHeight="1" x14ac:dyDescent="0.2">
      <c r="A305" s="15">
        <v>45108</v>
      </c>
      <c r="B305" s="3">
        <f>VLOOKUP(A305,'[1]BADI SID DATA'!A:B,2,0)</f>
        <v>92</v>
      </c>
      <c r="C305" s="4">
        <v>55248.05000000447</v>
      </c>
      <c r="D305" s="5">
        <v>4.66</v>
      </c>
      <c r="E305" s="23">
        <v>100</v>
      </c>
      <c r="F305" s="23">
        <v>100</v>
      </c>
      <c r="G305" s="16">
        <f>VLOOKUP(A305,'[1]DRDO Kolar Data'!$A:$E,5,0)*1000</f>
        <v>10100</v>
      </c>
      <c r="H305" s="24">
        <f t="shared" si="15"/>
        <v>4720946.1000000015</v>
      </c>
      <c r="I305" s="25">
        <f t="shared" si="13"/>
        <v>23.020020833335195</v>
      </c>
      <c r="J305" s="25">
        <f t="shared" si="14"/>
        <v>21.381096467391313</v>
      </c>
      <c r="K305" s="17" t="s">
        <v>11</v>
      </c>
    </row>
    <row r="306" spans="1:11" ht="15.75" customHeight="1" x14ac:dyDescent="0.2">
      <c r="A306" s="15">
        <v>45109</v>
      </c>
      <c r="B306" s="3">
        <f>VLOOKUP(A306,'[1]BADI SID DATA'!A:B,2,0)</f>
        <v>93</v>
      </c>
      <c r="C306" s="4">
        <v>37050.649999991059</v>
      </c>
      <c r="D306" s="5">
        <v>2.99</v>
      </c>
      <c r="E306" s="23">
        <v>100</v>
      </c>
      <c r="F306" s="23">
        <v>100</v>
      </c>
      <c r="G306" s="16">
        <f>VLOOKUP(A306,'[1]DRDO Kolar Data'!$A:$E,5,0)*1000</f>
        <v>8200</v>
      </c>
      <c r="H306" s="24">
        <f t="shared" si="15"/>
        <v>4757996.7499999925</v>
      </c>
      <c r="I306" s="25">
        <f t="shared" si="13"/>
        <v>15.437770833329608</v>
      </c>
      <c r="J306" s="25">
        <f t="shared" si="14"/>
        <v>21.317189740143334</v>
      </c>
      <c r="K306" s="17" t="s">
        <v>15</v>
      </c>
    </row>
    <row r="307" spans="1:11" ht="15.75" customHeight="1" x14ac:dyDescent="0.2">
      <c r="A307" s="15">
        <v>45110</v>
      </c>
      <c r="B307" s="3">
        <f>VLOOKUP(A307,'[1]BADI SID DATA'!A:B,2,0)</f>
        <v>94</v>
      </c>
      <c r="C307" s="4">
        <v>50701.95000000298</v>
      </c>
      <c r="D307" s="5">
        <v>4.49</v>
      </c>
      <c r="E307" s="23">
        <v>100</v>
      </c>
      <c r="F307" s="23">
        <v>100</v>
      </c>
      <c r="G307" s="16">
        <f>VLOOKUP(A307,'[1]DRDO Kolar Data'!$A:$E,5,0)*1000</f>
        <v>8900</v>
      </c>
      <c r="H307" s="24">
        <f t="shared" si="15"/>
        <v>4808698.6999999955</v>
      </c>
      <c r="I307" s="25">
        <f t="shared" si="13"/>
        <v>21.125812500001242</v>
      </c>
      <c r="J307" s="25">
        <f t="shared" si="14"/>
        <v>21.315153812056717</v>
      </c>
      <c r="K307" s="17" t="s">
        <v>11</v>
      </c>
    </row>
    <row r="308" spans="1:11" ht="15.75" customHeight="1" x14ac:dyDescent="0.2">
      <c r="A308" s="15">
        <v>45111</v>
      </c>
      <c r="B308" s="3">
        <f>VLOOKUP(A308,'[1]BADI SID DATA'!A:B,2,0)</f>
        <v>95</v>
      </c>
      <c r="C308" s="4">
        <v>50051.30000000447</v>
      </c>
      <c r="D308" s="8">
        <v>4.26</v>
      </c>
      <c r="E308" s="23">
        <v>100</v>
      </c>
      <c r="F308" s="23">
        <v>100</v>
      </c>
      <c r="G308" s="16">
        <f>VLOOKUP(A308,'[1]DRDO Kolar Data'!$A:$E,5,0)*1000</f>
        <v>9200</v>
      </c>
      <c r="H308" s="24">
        <f t="shared" si="15"/>
        <v>4858750</v>
      </c>
      <c r="I308" s="25">
        <f t="shared" si="13"/>
        <v>20.854708333335196</v>
      </c>
      <c r="J308" s="25">
        <f t="shared" si="14"/>
        <v>21.31030701754386</v>
      </c>
      <c r="K308" s="17" t="s">
        <v>11</v>
      </c>
    </row>
    <row r="309" spans="1:11" ht="15.75" customHeight="1" x14ac:dyDescent="0.2">
      <c r="A309" s="15">
        <v>45112</v>
      </c>
      <c r="B309" s="3">
        <f>VLOOKUP(A309,'[1]BADI SID DATA'!A:B,2,0)</f>
        <v>96</v>
      </c>
      <c r="C309" s="4">
        <v>37697.39999999851</v>
      </c>
      <c r="D309" s="8">
        <v>3.15</v>
      </c>
      <c r="E309" s="23">
        <v>100</v>
      </c>
      <c r="F309" s="23">
        <v>100</v>
      </c>
      <c r="G309" s="16">
        <f>VLOOKUP(A309,'[1]DRDO Kolar Data'!$A:$E,5,0)*1000</f>
        <v>7900</v>
      </c>
      <c r="H309" s="24">
        <f t="shared" si="15"/>
        <v>4896447.3999999985</v>
      </c>
      <c r="I309" s="25">
        <f t="shared" si="13"/>
        <v>15.707249999999378</v>
      </c>
      <c r="J309" s="25">
        <f t="shared" si="14"/>
        <v>21.251941840277773</v>
      </c>
      <c r="K309" s="17" t="s">
        <v>10</v>
      </c>
    </row>
    <row r="310" spans="1:11" ht="15.75" customHeight="1" x14ac:dyDescent="0.2">
      <c r="A310" s="15">
        <v>45113</v>
      </c>
      <c r="B310" s="3">
        <f>VLOOKUP(A310,'[1]BADI SID DATA'!A:B,2,0)</f>
        <v>97</v>
      </c>
      <c r="C310" s="4">
        <v>46151.29999999702</v>
      </c>
      <c r="D310" s="5">
        <v>4.01</v>
      </c>
      <c r="E310" s="23">
        <v>100</v>
      </c>
      <c r="F310" s="23">
        <v>100</v>
      </c>
      <c r="G310" s="16">
        <f>VLOOKUP(A310,'[1]DRDO Kolar Data'!$A:$E,5,0)*1000</f>
        <v>8300</v>
      </c>
      <c r="H310" s="24">
        <f t="shared" si="15"/>
        <v>4942598.6999999955</v>
      </c>
      <c r="I310" s="25">
        <f t="shared" si="13"/>
        <v>19.229708333332091</v>
      </c>
      <c r="J310" s="25">
        <f t="shared" si="14"/>
        <v>21.231094072164929</v>
      </c>
      <c r="K310" s="17" t="s">
        <v>11</v>
      </c>
    </row>
    <row r="311" spans="1:11" ht="15.75" customHeight="1" x14ac:dyDescent="0.2">
      <c r="A311" s="15">
        <v>45114</v>
      </c>
      <c r="B311" s="3">
        <f>VLOOKUP(A311,'[1]BADI SID DATA'!A:B,2,0)</f>
        <v>98</v>
      </c>
      <c r="C311" s="4">
        <v>35749.35000000149</v>
      </c>
      <c r="D311" s="5">
        <v>2.92</v>
      </c>
      <c r="E311" s="23">
        <v>100</v>
      </c>
      <c r="F311" s="23">
        <v>100</v>
      </c>
      <c r="G311" s="16">
        <f>VLOOKUP(A311,'[1]DRDO Kolar Data'!$A:$E,5,0)*1000</f>
        <v>6900</v>
      </c>
      <c r="H311" s="24">
        <f t="shared" si="15"/>
        <v>4978348.049999997</v>
      </c>
      <c r="I311" s="25">
        <f t="shared" si="13"/>
        <v>14.89556250000062</v>
      </c>
      <c r="J311" s="25">
        <f t="shared" si="14"/>
        <v>21.166445790816312</v>
      </c>
      <c r="K311" s="17" t="s">
        <v>10</v>
      </c>
    </row>
    <row r="312" spans="1:11" ht="15.75" customHeight="1" x14ac:dyDescent="0.2">
      <c r="A312" s="15">
        <v>45115</v>
      </c>
      <c r="B312" s="3">
        <f>VLOOKUP(A312,'[1]BADI SID DATA'!A:B,2,0)</f>
        <v>99</v>
      </c>
      <c r="C312" s="4">
        <v>38998.04999999702</v>
      </c>
      <c r="D312" s="5">
        <v>3.21</v>
      </c>
      <c r="E312" s="23">
        <v>100</v>
      </c>
      <c r="F312" s="23">
        <v>100</v>
      </c>
      <c r="G312" s="16">
        <f>VLOOKUP(A312,'[1]DRDO Kolar Data'!$A:$E,5,0)*1000</f>
        <v>10400</v>
      </c>
      <c r="H312" s="24">
        <f t="shared" si="15"/>
        <v>5017346.099999994</v>
      </c>
      <c r="I312" s="25">
        <f t="shared" si="13"/>
        <v>16.249187499998758</v>
      </c>
      <c r="J312" s="25">
        <f t="shared" si="14"/>
        <v>21.116776515151489</v>
      </c>
      <c r="K312" s="17" t="s">
        <v>15</v>
      </c>
    </row>
    <row r="313" spans="1:11" ht="15.75" customHeight="1" x14ac:dyDescent="0.2">
      <c r="A313" s="15">
        <v>45116</v>
      </c>
      <c r="B313" s="3">
        <f>VLOOKUP(A313,'[1]BADI SID DATA'!A:B,2,0)</f>
        <v>100</v>
      </c>
      <c r="C313" s="4">
        <v>52653.90000000596</v>
      </c>
      <c r="D313" s="5">
        <v>4.17</v>
      </c>
      <c r="E313" s="23">
        <v>100</v>
      </c>
      <c r="F313" s="23">
        <v>100</v>
      </c>
      <c r="G313" s="16">
        <f>VLOOKUP(A313,'[1]DRDO Kolar Data'!$A:$E,5,0)*1000</f>
        <v>10100</v>
      </c>
      <c r="H313" s="24">
        <f t="shared" si="15"/>
        <v>5070000</v>
      </c>
      <c r="I313" s="25">
        <f t="shared" si="13"/>
        <v>21.939125000002484</v>
      </c>
      <c r="J313" s="25">
        <f t="shared" si="14"/>
        <v>21.125</v>
      </c>
      <c r="K313" s="17" t="s">
        <v>13</v>
      </c>
    </row>
    <row r="314" spans="1:11" ht="15.75" customHeight="1" x14ac:dyDescent="0.2">
      <c r="A314" s="15">
        <v>45117</v>
      </c>
      <c r="B314" s="3">
        <f>VLOOKUP(A314,'[1]BADI SID DATA'!A:B,2,0)</f>
        <v>101</v>
      </c>
      <c r="C314" s="4">
        <v>37697.39999999851</v>
      </c>
      <c r="D314" s="7">
        <v>3.12</v>
      </c>
      <c r="E314" s="23">
        <v>100</v>
      </c>
      <c r="F314" s="23">
        <v>100</v>
      </c>
      <c r="G314" s="16">
        <f>VLOOKUP(A314,'[1]DRDO Kolar Data'!$A:$E,5,0)*1000</f>
        <v>9600</v>
      </c>
      <c r="H314" s="24">
        <f t="shared" si="15"/>
        <v>5107697.3999999985</v>
      </c>
      <c r="I314" s="25">
        <f t="shared" si="13"/>
        <v>15.707249999999378</v>
      </c>
      <c r="J314" s="25">
        <f t="shared" si="14"/>
        <v>21.071358910891082</v>
      </c>
      <c r="K314" s="17" t="s">
        <v>15</v>
      </c>
    </row>
    <row r="315" spans="1:11" ht="15.75" customHeight="1" x14ac:dyDescent="0.2">
      <c r="A315" s="15">
        <v>45118</v>
      </c>
      <c r="B315" s="3">
        <f>VLOOKUP(A315,'[1]BADI SID DATA'!A:B,2,0)</f>
        <v>102</v>
      </c>
      <c r="C315" s="4">
        <v>30551.94999999553</v>
      </c>
      <c r="D315" s="7">
        <v>3.08</v>
      </c>
      <c r="E315" s="23">
        <v>100</v>
      </c>
      <c r="F315" s="23">
        <v>100</v>
      </c>
      <c r="G315" s="16">
        <f>VLOOKUP(A315,'[1]DRDO Kolar Data'!$A:$E,5,0)*1000</f>
        <v>10200</v>
      </c>
      <c r="H315" s="24">
        <f t="shared" si="15"/>
        <v>5138249.349999994</v>
      </c>
      <c r="I315" s="25">
        <f t="shared" si="13"/>
        <v>12.729979166664803</v>
      </c>
      <c r="J315" s="25">
        <f t="shared" si="14"/>
        <v>20.989580678104549</v>
      </c>
      <c r="K315" s="17" t="s">
        <v>15</v>
      </c>
    </row>
    <row r="316" spans="1:11" ht="15.75" customHeight="1" x14ac:dyDescent="0.2">
      <c r="A316" s="15">
        <v>45119</v>
      </c>
      <c r="B316" s="3">
        <f>VLOOKUP(A316,'[1]BADI SID DATA'!A:B,2,0)</f>
        <v>103</v>
      </c>
      <c r="C316" s="4">
        <v>57200</v>
      </c>
      <c r="D316" s="6">
        <v>4.12</v>
      </c>
      <c r="E316" s="23">
        <v>100</v>
      </c>
      <c r="F316" s="23">
        <v>100</v>
      </c>
      <c r="G316" s="16">
        <f>VLOOKUP(A316,'[1]DRDO Kolar Data'!$A:$E,5,0)*1000</f>
        <v>10600</v>
      </c>
      <c r="H316" s="24">
        <f t="shared" si="15"/>
        <v>5195449.349999994</v>
      </c>
      <c r="I316" s="25">
        <f t="shared" si="13"/>
        <v>23.833333333333336</v>
      </c>
      <c r="J316" s="25">
        <f t="shared" si="14"/>
        <v>21.017189927184443</v>
      </c>
      <c r="K316" s="17" t="s">
        <v>13</v>
      </c>
    </row>
    <row r="317" spans="1:11" ht="15.75" customHeight="1" x14ac:dyDescent="0.2">
      <c r="A317" s="15">
        <v>45120</v>
      </c>
      <c r="B317" s="3">
        <f>VLOOKUP(A317,'[1]BADI SID DATA'!A:B,2,0)</f>
        <v>104</v>
      </c>
      <c r="C317" s="4">
        <v>51348.70000000298</v>
      </c>
      <c r="D317" s="6">
        <v>4.87</v>
      </c>
      <c r="E317" s="23">
        <v>100</v>
      </c>
      <c r="F317" s="23">
        <v>100</v>
      </c>
      <c r="G317" s="16">
        <f>VLOOKUP(A317,'[1]DRDO Kolar Data'!$A:$E,5,0)*1000</f>
        <v>9900</v>
      </c>
      <c r="H317" s="24">
        <f t="shared" si="15"/>
        <v>5246798.049999997</v>
      </c>
      <c r="I317" s="25">
        <f t="shared" si="13"/>
        <v>21.395291666667909</v>
      </c>
      <c r="J317" s="25">
        <f t="shared" si="14"/>
        <v>21.020825520833323</v>
      </c>
      <c r="K317" s="17" t="s">
        <v>11</v>
      </c>
    </row>
    <row r="318" spans="1:11" ht="15.75" customHeight="1" x14ac:dyDescent="0.2">
      <c r="A318" s="15">
        <v>45121</v>
      </c>
      <c r="B318" s="3">
        <f>VLOOKUP(A318,'[1]BADI SID DATA'!A:B,2,0)</f>
        <v>105</v>
      </c>
      <c r="C318" s="4">
        <v>48750</v>
      </c>
      <c r="D318" s="6">
        <v>4.6900000000000004</v>
      </c>
      <c r="E318" s="23">
        <v>100</v>
      </c>
      <c r="F318" s="23">
        <v>100</v>
      </c>
      <c r="G318" s="16">
        <f>VLOOKUP(A318,'[1]DRDO Kolar Data'!$A:$E,5,0)*1000</f>
        <v>10200</v>
      </c>
      <c r="H318" s="24">
        <f t="shared" si="15"/>
        <v>5295548.049999997</v>
      </c>
      <c r="I318" s="25">
        <f t="shared" si="13"/>
        <v>20.3125</v>
      </c>
      <c r="J318" s="25">
        <f t="shared" si="14"/>
        <v>21.014079563492054</v>
      </c>
      <c r="K318" s="17" t="s">
        <v>11</v>
      </c>
    </row>
    <row r="319" spans="1:11" ht="15.75" customHeight="1" x14ac:dyDescent="0.2">
      <c r="A319" s="15">
        <v>45122</v>
      </c>
      <c r="B319" s="3">
        <f>VLOOKUP(A319,'[1]BADI SID DATA'!A:B,2,0)</f>
        <v>106</v>
      </c>
      <c r="C319" s="4">
        <v>61750.64999999851</v>
      </c>
      <c r="D319" s="6">
        <v>6.08</v>
      </c>
      <c r="E319" s="23">
        <v>100</v>
      </c>
      <c r="F319" s="23">
        <v>100</v>
      </c>
      <c r="G319" s="16">
        <f>VLOOKUP(A319,'[1]DRDO Kolar Data'!$A:$E,5,0)*1000</f>
        <v>10600</v>
      </c>
      <c r="H319" s="24">
        <f t="shared" si="15"/>
        <v>5357298.6999999955</v>
      </c>
      <c r="I319" s="25">
        <f t="shared" si="13"/>
        <v>25.729437499999381</v>
      </c>
      <c r="J319" s="25">
        <f t="shared" si="14"/>
        <v>21.058564072327027</v>
      </c>
      <c r="K319" s="17" t="s">
        <v>13</v>
      </c>
    </row>
    <row r="320" spans="1:11" ht="15.75" customHeight="1" x14ac:dyDescent="0.2">
      <c r="A320" s="15">
        <v>45123</v>
      </c>
      <c r="B320" s="3">
        <f>VLOOKUP(A320,'[1]BADI SID DATA'!A:B,2,0)</f>
        <v>107</v>
      </c>
      <c r="C320" s="4">
        <v>40300</v>
      </c>
      <c r="D320" s="7">
        <v>4.01</v>
      </c>
      <c r="E320" s="23">
        <v>100</v>
      </c>
      <c r="F320" s="23">
        <v>100</v>
      </c>
      <c r="G320" s="16">
        <f>VLOOKUP(A320,'[1]DRDO Kolar Data'!$A:$E,5,0)*1000</f>
        <v>9600</v>
      </c>
      <c r="H320" s="24">
        <f t="shared" si="15"/>
        <v>5397598.6999999955</v>
      </c>
      <c r="I320" s="25">
        <f t="shared" si="13"/>
        <v>16.791666666666664</v>
      </c>
      <c r="J320" s="25">
        <f t="shared" si="14"/>
        <v>21.018686526479733</v>
      </c>
      <c r="K320" s="17" t="s">
        <v>11</v>
      </c>
    </row>
    <row r="321" spans="1:11" ht="15.75" customHeight="1" x14ac:dyDescent="0.2">
      <c r="A321" s="15">
        <v>45124</v>
      </c>
      <c r="B321" s="3">
        <f>VLOOKUP(A321,'[1]BADI SID DATA'!A:B,2,0)</f>
        <v>108</v>
      </c>
      <c r="C321" s="4">
        <v>54597.40000000596</v>
      </c>
      <c r="D321" s="6">
        <v>5.2</v>
      </c>
      <c r="E321" s="23">
        <v>100</v>
      </c>
      <c r="F321" s="23">
        <v>100</v>
      </c>
      <c r="G321" s="16">
        <f>VLOOKUP(A321,'[1]DRDO Kolar Data'!$A:$E,5,0)*1000</f>
        <v>10100</v>
      </c>
      <c r="H321" s="24">
        <f t="shared" si="15"/>
        <v>5452196.1000000015</v>
      </c>
      <c r="I321" s="25">
        <f t="shared" si="13"/>
        <v>22.74891666666915</v>
      </c>
      <c r="J321" s="25">
        <f t="shared" si="14"/>
        <v>21.034707175925931</v>
      </c>
      <c r="K321" s="18" t="s">
        <v>11</v>
      </c>
    </row>
    <row r="322" spans="1:11" ht="15.75" customHeight="1" x14ac:dyDescent="0.2">
      <c r="A322" s="15">
        <v>45125</v>
      </c>
      <c r="B322" s="3">
        <f>VLOOKUP(A322,'[1]BADI SID DATA'!A:B,2,0)</f>
        <v>109</v>
      </c>
      <c r="C322" s="4">
        <v>57200.64999999851</v>
      </c>
      <c r="D322" s="6">
        <v>5.63</v>
      </c>
      <c r="E322" s="23">
        <v>100</v>
      </c>
      <c r="F322" s="23">
        <v>100</v>
      </c>
      <c r="G322" s="16">
        <f>VLOOKUP(A322,'[1]DRDO Kolar Data'!$A:$E,5,0)*1000</f>
        <v>10300</v>
      </c>
      <c r="H322" s="24">
        <f t="shared" si="15"/>
        <v>5509396.75</v>
      </c>
      <c r="I322" s="25">
        <f t="shared" si="13"/>
        <v>23.833604166666046</v>
      </c>
      <c r="J322" s="25">
        <f t="shared" si="14"/>
        <v>21.060385129969418</v>
      </c>
      <c r="K322" s="17" t="s">
        <v>13</v>
      </c>
    </row>
    <row r="323" spans="1:11" ht="15.75" customHeight="1" x14ac:dyDescent="0.2">
      <c r="A323" s="15">
        <v>45126</v>
      </c>
      <c r="B323" s="3">
        <f>VLOOKUP(A323,'[1]BADI SID DATA'!A:B,2,0)</f>
        <v>110</v>
      </c>
      <c r="C323" s="4">
        <v>37050.64999999851</v>
      </c>
      <c r="D323" s="6">
        <v>3.26</v>
      </c>
      <c r="E323" s="23">
        <v>100</v>
      </c>
      <c r="F323" s="23">
        <v>100</v>
      </c>
      <c r="G323" s="16">
        <f>VLOOKUP(A323,'[1]DRDO Kolar Data'!$A:$E,5,0)*1000</f>
        <v>9900</v>
      </c>
      <c r="H323" s="24">
        <f t="shared" si="15"/>
        <v>5546447.3999999985</v>
      </c>
      <c r="I323" s="25">
        <f t="shared" ref="I323:I386" si="16">(C323/(10*24*1000))*100</f>
        <v>15.437770833332712</v>
      </c>
      <c r="J323" s="25">
        <f t="shared" ref="J323:J386" si="17">(H323/(24*B323*10*1000))*100</f>
        <v>21.009270454545447</v>
      </c>
      <c r="K323" s="17" t="s">
        <v>15</v>
      </c>
    </row>
    <row r="324" spans="1:11" ht="15.75" customHeight="1" x14ac:dyDescent="0.2">
      <c r="A324" s="15">
        <v>45127</v>
      </c>
      <c r="B324" s="3">
        <f>VLOOKUP(A324,'[1]BADI SID DATA'!A:B,2,0)</f>
        <v>111</v>
      </c>
      <c r="C324" s="4">
        <v>45500.64999999851</v>
      </c>
      <c r="D324" s="7">
        <v>4.22</v>
      </c>
      <c r="E324" s="23">
        <v>100</v>
      </c>
      <c r="F324" s="23">
        <v>100</v>
      </c>
      <c r="G324" s="16">
        <f>VLOOKUP(A324,'[1]DRDO Kolar Data'!$A:$E,5,0)*1000</f>
        <v>9800</v>
      </c>
      <c r="H324" s="24">
        <f t="shared" si="15"/>
        <v>5591948.049999997</v>
      </c>
      <c r="I324" s="25">
        <f t="shared" si="16"/>
        <v>18.958604166666046</v>
      </c>
      <c r="J324" s="25">
        <f t="shared" si="17"/>
        <v>20.990795983483473</v>
      </c>
      <c r="K324" s="17" t="s">
        <v>11</v>
      </c>
    </row>
    <row r="325" spans="1:11" ht="15.75" customHeight="1" x14ac:dyDescent="0.2">
      <c r="A325" s="15">
        <v>45128</v>
      </c>
      <c r="B325" s="3">
        <f>VLOOKUP(A325,'[1]BADI SID DATA'!A:B,2,0)</f>
        <v>112</v>
      </c>
      <c r="C325" s="4">
        <v>38351.30000000447</v>
      </c>
      <c r="D325" s="7">
        <v>3.34</v>
      </c>
      <c r="E325" s="23">
        <v>100</v>
      </c>
      <c r="F325" s="23">
        <v>100</v>
      </c>
      <c r="G325" s="16">
        <f>VLOOKUP(A325,'[1]DRDO Kolar Data'!$A:$E,5,0)*1000</f>
        <v>8600</v>
      </c>
      <c r="H325" s="24">
        <f t="shared" si="15"/>
        <v>5630299.3500000015</v>
      </c>
      <c r="I325" s="25">
        <f t="shared" si="16"/>
        <v>15.979708333335196</v>
      </c>
      <c r="J325" s="25">
        <f t="shared" si="17"/>
        <v>20.946054129464294</v>
      </c>
      <c r="K325" s="17" t="s">
        <v>10</v>
      </c>
    </row>
    <row r="326" spans="1:11" ht="15.75" customHeight="1" x14ac:dyDescent="0.2">
      <c r="A326" s="15">
        <v>45129</v>
      </c>
      <c r="B326" s="3">
        <f>VLOOKUP(A326,'[1]BADI SID DATA'!A:B,2,0)</f>
        <v>113</v>
      </c>
      <c r="C326" s="4">
        <v>28600.649999991059</v>
      </c>
      <c r="D326" s="7">
        <v>2.29</v>
      </c>
      <c r="E326" s="23">
        <v>100</v>
      </c>
      <c r="F326" s="23">
        <v>100</v>
      </c>
      <c r="G326" s="16">
        <f>VLOOKUP(A326,'[1]DRDO Kolar Data'!$A:$E,5,0)*1000</f>
        <v>6900</v>
      </c>
      <c r="H326" s="24">
        <f t="shared" si="15"/>
        <v>5658899.9999999925</v>
      </c>
      <c r="I326" s="25">
        <f t="shared" si="16"/>
        <v>11.916937499996274</v>
      </c>
      <c r="J326" s="25">
        <f t="shared" si="17"/>
        <v>20.866150442477849</v>
      </c>
      <c r="K326" s="17" t="s">
        <v>10</v>
      </c>
    </row>
    <row r="327" spans="1:11" ht="15.75" customHeight="1" x14ac:dyDescent="0.2">
      <c r="A327" s="15">
        <v>45130</v>
      </c>
      <c r="B327" s="3">
        <f>VLOOKUP(A327,'[1]BADI SID DATA'!A:B,2,0)</f>
        <v>114</v>
      </c>
      <c r="C327" s="4">
        <v>22748.05000000447</v>
      </c>
      <c r="D327" s="6">
        <v>1.78</v>
      </c>
      <c r="E327" s="23">
        <v>100</v>
      </c>
      <c r="F327" s="23">
        <v>100</v>
      </c>
      <c r="G327" s="16">
        <f>VLOOKUP(A327,'[1]DRDO Kolar Data'!$A:$E,5,0)*1000</f>
        <v>6600</v>
      </c>
      <c r="H327" s="24">
        <f t="shared" si="15"/>
        <v>5681648.049999997</v>
      </c>
      <c r="I327" s="25">
        <f t="shared" si="16"/>
        <v>9.4783541666685291</v>
      </c>
      <c r="J327" s="25">
        <f t="shared" si="17"/>
        <v>20.766257492690048</v>
      </c>
      <c r="K327" s="17" t="s">
        <v>10</v>
      </c>
    </row>
    <row r="328" spans="1:11" ht="15.75" customHeight="1" x14ac:dyDescent="0.2">
      <c r="A328" s="15">
        <v>45131</v>
      </c>
      <c r="B328" s="3">
        <f>VLOOKUP(A328,'[1]BADI SID DATA'!A:B,2,0)</f>
        <v>115</v>
      </c>
      <c r="C328" s="4">
        <v>27299.35000000149</v>
      </c>
      <c r="D328" s="6">
        <v>2.27</v>
      </c>
      <c r="E328" s="23">
        <v>100</v>
      </c>
      <c r="F328" s="23">
        <v>91.25</v>
      </c>
      <c r="G328" s="16">
        <f>VLOOKUP(A328,'[1]DRDO Kolar Data'!$A:$E,5,0)*1000</f>
        <v>5600</v>
      </c>
      <c r="H328" s="24">
        <f t="shared" si="15"/>
        <v>5708947.3999999985</v>
      </c>
      <c r="I328" s="25">
        <f t="shared" si="16"/>
        <v>11.374729166667287</v>
      </c>
      <c r="J328" s="25">
        <f t="shared" si="17"/>
        <v>20.684592028985502</v>
      </c>
      <c r="K328" s="17" t="s">
        <v>23</v>
      </c>
    </row>
    <row r="329" spans="1:11" ht="15.75" customHeight="1" x14ac:dyDescent="0.2">
      <c r="A329" s="15">
        <v>45132</v>
      </c>
      <c r="B329" s="3">
        <f>VLOOKUP(A329,'[1]BADI SID DATA'!A:B,2,0)</f>
        <v>116</v>
      </c>
      <c r="C329" s="4">
        <v>27949.35000000149</v>
      </c>
      <c r="D329" s="6">
        <v>2.2599999999999998</v>
      </c>
      <c r="E329" s="23">
        <v>100</v>
      </c>
      <c r="F329" s="23">
        <v>100</v>
      </c>
      <c r="G329" s="16">
        <f>VLOOKUP(A329,'[1]DRDO Kolar Data'!$A:$E,5,0)*1000</f>
        <v>5800</v>
      </c>
      <c r="H329" s="24">
        <f t="shared" si="15"/>
        <v>5736896.75</v>
      </c>
      <c r="I329" s="25">
        <f t="shared" si="16"/>
        <v>11.64556250000062</v>
      </c>
      <c r="J329" s="25">
        <f t="shared" si="17"/>
        <v>20.606669360632186</v>
      </c>
      <c r="K329" s="17" t="s">
        <v>23</v>
      </c>
    </row>
    <row r="330" spans="1:11" ht="15.75" customHeight="1" x14ac:dyDescent="0.2">
      <c r="A330" s="15">
        <v>45133</v>
      </c>
      <c r="B330" s="3">
        <f>VLOOKUP(A330,'[1]BADI SID DATA'!A:B,2,0)</f>
        <v>117</v>
      </c>
      <c r="C330" s="4">
        <v>24049.35000000149</v>
      </c>
      <c r="D330" s="7">
        <v>1.86</v>
      </c>
      <c r="E330" s="23">
        <v>100</v>
      </c>
      <c r="F330" s="23">
        <v>92.638888888888886</v>
      </c>
      <c r="G330" s="16">
        <f>VLOOKUP(A330,'[1]DRDO Kolar Data'!$A:$E,5,0)*1000</f>
        <v>5100</v>
      </c>
      <c r="H330" s="24">
        <f t="shared" si="15"/>
        <v>5760946.1000000015</v>
      </c>
      <c r="I330" s="25">
        <f t="shared" si="16"/>
        <v>10.02056250000062</v>
      </c>
      <c r="J330" s="25">
        <f t="shared" si="17"/>
        <v>20.516189814814819</v>
      </c>
      <c r="K330" s="17" t="s">
        <v>23</v>
      </c>
    </row>
    <row r="331" spans="1:11" ht="15.75" customHeight="1" x14ac:dyDescent="0.2">
      <c r="A331" s="15">
        <v>45134</v>
      </c>
      <c r="B331" s="3">
        <f>VLOOKUP(A331,'[1]BADI SID DATA'!A:B,2,0)</f>
        <v>118</v>
      </c>
      <c r="C331" s="4">
        <v>39653.25</v>
      </c>
      <c r="D331" s="7">
        <v>3.68</v>
      </c>
      <c r="E331" s="23">
        <v>100</v>
      </c>
      <c r="F331" s="23">
        <v>100</v>
      </c>
      <c r="G331" s="16">
        <f>VLOOKUP(A331,'[1]DRDO Kolar Data'!$A:$E,5,0)*1000</f>
        <v>8600</v>
      </c>
      <c r="H331" s="24">
        <f t="shared" si="15"/>
        <v>5800599.3500000015</v>
      </c>
      <c r="I331" s="25">
        <f t="shared" si="16"/>
        <v>16.522187499999998</v>
      </c>
      <c r="J331" s="25">
        <f t="shared" si="17"/>
        <v>20.482342337570628</v>
      </c>
      <c r="K331" s="17" t="s">
        <v>15</v>
      </c>
    </row>
    <row r="332" spans="1:11" ht="15.75" customHeight="1" x14ac:dyDescent="0.2">
      <c r="A332" s="15">
        <v>45135</v>
      </c>
      <c r="B332" s="3">
        <f>VLOOKUP(A332,'[1]BADI SID DATA'!A:B,2,0)</f>
        <v>119</v>
      </c>
      <c r="C332" s="4">
        <v>50698.04999999702</v>
      </c>
      <c r="D332" s="7">
        <v>4.7699999999999996</v>
      </c>
      <c r="E332" s="23">
        <v>100</v>
      </c>
      <c r="F332" s="23">
        <v>100</v>
      </c>
      <c r="G332" s="16">
        <f>VLOOKUP(A332,'[1]DRDO Kolar Data'!$A:$E,5,0)*1000</f>
        <v>9300</v>
      </c>
      <c r="H332" s="24">
        <f t="shared" si="15"/>
        <v>5851297.3999999985</v>
      </c>
      <c r="I332" s="25">
        <f t="shared" si="16"/>
        <v>21.124187499998758</v>
      </c>
      <c r="J332" s="25">
        <f t="shared" si="17"/>
        <v>20.487735994397756</v>
      </c>
      <c r="K332" s="17" t="s">
        <v>11</v>
      </c>
    </row>
    <row r="333" spans="1:11" ht="15.75" customHeight="1" x14ac:dyDescent="0.2">
      <c r="A333" s="15">
        <v>45136</v>
      </c>
      <c r="B333" s="3">
        <f>VLOOKUP(A333,'[1]BADI SID DATA'!A:B,2,0)</f>
        <v>120</v>
      </c>
      <c r="C333" s="4">
        <v>45500.64999999851</v>
      </c>
      <c r="D333" s="6">
        <v>4.2</v>
      </c>
      <c r="E333" s="23">
        <v>100</v>
      </c>
      <c r="F333" s="23">
        <v>100</v>
      </c>
      <c r="G333" s="16">
        <f>VLOOKUP(A333,'[1]DRDO Kolar Data'!$A:$E,5,0)*1000</f>
        <v>8900</v>
      </c>
      <c r="H333" s="24">
        <f t="shared" si="15"/>
        <v>5896798.049999997</v>
      </c>
      <c r="I333" s="25">
        <f t="shared" si="16"/>
        <v>18.958604166666046</v>
      </c>
      <c r="J333" s="25">
        <f t="shared" si="17"/>
        <v>20.474993229166657</v>
      </c>
      <c r="K333" s="17" t="s">
        <v>11</v>
      </c>
    </row>
    <row r="334" spans="1:11" ht="15.75" customHeight="1" x14ac:dyDescent="0.2">
      <c r="A334" s="15">
        <v>45137</v>
      </c>
      <c r="B334" s="3">
        <f>VLOOKUP(A334,'[1]BADI SID DATA'!A:B,2,0)</f>
        <v>121</v>
      </c>
      <c r="C334" s="4">
        <v>58501.30000000447</v>
      </c>
      <c r="D334" s="7">
        <v>5.78</v>
      </c>
      <c r="E334" s="23">
        <v>100</v>
      </c>
      <c r="F334" s="23">
        <v>100</v>
      </c>
      <c r="G334" s="16">
        <f>VLOOKUP(A334,'[1]DRDO Kolar Data'!$A:$E,5,0)*1000</f>
        <v>10600</v>
      </c>
      <c r="H334" s="24">
        <f t="shared" si="15"/>
        <v>5955299.3500000015</v>
      </c>
      <c r="I334" s="25">
        <f t="shared" si="16"/>
        <v>24.375541666668529</v>
      </c>
      <c r="J334" s="25">
        <f t="shared" si="17"/>
        <v>20.507229166666672</v>
      </c>
      <c r="K334" s="17" t="s">
        <v>13</v>
      </c>
    </row>
    <row r="335" spans="1:11" ht="15.75" customHeight="1" x14ac:dyDescent="0.2">
      <c r="A335" s="15">
        <v>45138</v>
      </c>
      <c r="B335" s="3">
        <f>VLOOKUP(A335,'[1]BADI SID DATA'!A:B,2,0)</f>
        <v>122</v>
      </c>
      <c r="C335" s="4">
        <v>54598.04999999702</v>
      </c>
      <c r="D335" s="10">
        <v>5.1100000000000003</v>
      </c>
      <c r="E335" s="23">
        <v>100</v>
      </c>
      <c r="F335" s="23">
        <v>94.930555555555557</v>
      </c>
      <c r="G335" s="16">
        <f>VLOOKUP(A335,'[1]DRDO Kolar Data'!$A:$E,5,0)*1000</f>
        <v>10100</v>
      </c>
      <c r="H335" s="24">
        <f t="shared" si="15"/>
        <v>6009897.3999999985</v>
      </c>
      <c r="I335" s="25">
        <f t="shared" si="16"/>
        <v>22.749187499998758</v>
      </c>
      <c r="J335" s="25">
        <f t="shared" si="17"/>
        <v>20.525605874316934</v>
      </c>
      <c r="K335" s="17" t="s">
        <v>11</v>
      </c>
    </row>
    <row r="336" spans="1:11" ht="15.75" customHeight="1" x14ac:dyDescent="0.2">
      <c r="A336" s="15">
        <v>45139</v>
      </c>
      <c r="B336" s="3">
        <f>VLOOKUP(A336,'[1]BADI SID DATA'!A:B,2,0)</f>
        <v>123</v>
      </c>
      <c r="C336" s="4">
        <v>45500.64999999851</v>
      </c>
      <c r="D336" s="5">
        <v>4.4000000000000004</v>
      </c>
      <c r="E336" s="23">
        <v>100</v>
      </c>
      <c r="F336" s="23">
        <v>100</v>
      </c>
      <c r="G336" s="16">
        <f>VLOOKUP(A336,'[1]DRDO Kolar Data'!$A:$E,5,0)*1000</f>
        <v>9800</v>
      </c>
      <c r="H336" s="24">
        <f t="shared" si="15"/>
        <v>6055398.049999997</v>
      </c>
      <c r="I336" s="25">
        <f t="shared" si="16"/>
        <v>18.958604166666046</v>
      </c>
      <c r="J336" s="25">
        <f t="shared" si="17"/>
        <v>20.512866023035219</v>
      </c>
      <c r="K336" s="17" t="s">
        <v>11</v>
      </c>
    </row>
    <row r="337" spans="1:11" ht="15.75" customHeight="1" x14ac:dyDescent="0.2">
      <c r="A337" s="15">
        <v>45140</v>
      </c>
      <c r="B337" s="3">
        <f>VLOOKUP(A337,'[1]BADI SID DATA'!A:B,2,0)</f>
        <v>124</v>
      </c>
      <c r="C337" s="4">
        <v>57200.64999999851</v>
      </c>
      <c r="D337" s="5">
        <v>5.43</v>
      </c>
      <c r="E337" s="23">
        <v>100</v>
      </c>
      <c r="F337" s="23">
        <v>100</v>
      </c>
      <c r="G337" s="16">
        <f>VLOOKUP(A337,'[1]DRDO Kolar Data'!$A:$E,5,0)*1000</f>
        <v>10100</v>
      </c>
      <c r="H337" s="24">
        <f t="shared" si="15"/>
        <v>6112598.6999999955</v>
      </c>
      <c r="I337" s="25">
        <f t="shared" si="16"/>
        <v>23.833604166666046</v>
      </c>
      <c r="J337" s="25">
        <f t="shared" si="17"/>
        <v>20.539646169354825</v>
      </c>
      <c r="K337" s="17" t="s">
        <v>13</v>
      </c>
    </row>
    <row r="338" spans="1:11" ht="15.75" customHeight="1" x14ac:dyDescent="0.2">
      <c r="A338" s="15">
        <v>45141</v>
      </c>
      <c r="B338" s="3">
        <f>VLOOKUP(A338,'[1]BADI SID DATA'!A:B,2,0)</f>
        <v>125</v>
      </c>
      <c r="C338" s="4">
        <v>52649.35000000149</v>
      </c>
      <c r="D338" s="5">
        <v>5.16</v>
      </c>
      <c r="E338" s="23">
        <v>100</v>
      </c>
      <c r="F338" s="23">
        <v>100</v>
      </c>
      <c r="G338" s="16">
        <f>VLOOKUP(A338,'[1]DRDO Kolar Data'!$A:$E,5,0)*1000</f>
        <v>10200</v>
      </c>
      <c r="H338" s="24">
        <f t="shared" si="15"/>
        <v>6165248.049999997</v>
      </c>
      <c r="I338" s="25">
        <f t="shared" si="16"/>
        <v>21.937229166667287</v>
      </c>
      <c r="J338" s="25">
        <f t="shared" si="17"/>
        <v>20.550826833333325</v>
      </c>
      <c r="K338" s="17" t="s">
        <v>11</v>
      </c>
    </row>
    <row r="339" spans="1:11" ht="15.75" customHeight="1" x14ac:dyDescent="0.2">
      <c r="A339" s="15">
        <v>45142</v>
      </c>
      <c r="B339" s="3">
        <f>VLOOKUP(A339,'[1]BADI SID DATA'!A:B,2,0)</f>
        <v>126</v>
      </c>
      <c r="C339" s="4">
        <v>45501.29999999702</v>
      </c>
      <c r="D339" s="8">
        <v>4.21</v>
      </c>
      <c r="E339" s="23">
        <v>100</v>
      </c>
      <c r="F339" s="23">
        <v>100</v>
      </c>
      <c r="G339" s="16">
        <f>VLOOKUP(A339,'[1]DRDO Kolar Data'!$A:$E,5,0)*1000</f>
        <v>9600</v>
      </c>
      <c r="H339" s="24">
        <f t="shared" si="15"/>
        <v>6210749.349999994</v>
      </c>
      <c r="I339" s="25">
        <f t="shared" si="16"/>
        <v>18.958874999998759</v>
      </c>
      <c r="J339" s="25">
        <f t="shared" si="17"/>
        <v>20.538192294973527</v>
      </c>
      <c r="K339" s="17" t="s">
        <v>11</v>
      </c>
    </row>
    <row r="340" spans="1:11" ht="15.75" customHeight="1" x14ac:dyDescent="0.2">
      <c r="A340" s="15">
        <v>45143</v>
      </c>
      <c r="B340" s="3">
        <f>VLOOKUP(A340,'[1]BADI SID DATA'!A:B,2,0)</f>
        <v>127</v>
      </c>
      <c r="C340" s="4">
        <v>56549.35000000149</v>
      </c>
      <c r="D340" s="8">
        <v>5.6</v>
      </c>
      <c r="E340" s="23">
        <v>100</v>
      </c>
      <c r="F340" s="23">
        <v>100</v>
      </c>
      <c r="G340" s="16">
        <f>VLOOKUP(A340,'[1]DRDO Kolar Data'!$A:$E,5,0)*1000</f>
        <v>10200</v>
      </c>
      <c r="H340" s="24">
        <f t="shared" si="15"/>
        <v>6267298.6999999955</v>
      </c>
      <c r="I340" s="25">
        <f t="shared" si="16"/>
        <v>23.562229166667287</v>
      </c>
      <c r="J340" s="25">
        <f t="shared" si="17"/>
        <v>20.56200360892387</v>
      </c>
      <c r="K340" s="17" t="s">
        <v>13</v>
      </c>
    </row>
    <row r="341" spans="1:11" ht="15.75" customHeight="1" x14ac:dyDescent="0.2">
      <c r="A341" s="15">
        <v>45144</v>
      </c>
      <c r="B341" s="3">
        <f>VLOOKUP(A341,'[1]BADI SID DATA'!A:B,2,0)</f>
        <v>128</v>
      </c>
      <c r="C341" s="4">
        <v>51348.70000000298</v>
      </c>
      <c r="D341" s="5">
        <v>5.0599999999999996</v>
      </c>
      <c r="E341" s="23">
        <v>100</v>
      </c>
      <c r="F341" s="23">
        <v>100</v>
      </c>
      <c r="G341" s="16">
        <f>VLOOKUP(A341,'[1]DRDO Kolar Data'!$A:$E,5,0)*1000</f>
        <v>9900</v>
      </c>
      <c r="H341" s="24">
        <f t="shared" si="15"/>
        <v>6318647.3999999985</v>
      </c>
      <c r="I341" s="25">
        <f t="shared" si="16"/>
        <v>21.395291666667909</v>
      </c>
      <c r="J341" s="25">
        <f t="shared" si="17"/>
        <v>20.568513671874992</v>
      </c>
      <c r="K341" s="17" t="s">
        <v>11</v>
      </c>
    </row>
    <row r="342" spans="1:11" ht="15.75" customHeight="1" x14ac:dyDescent="0.2">
      <c r="A342" s="15">
        <v>45145</v>
      </c>
      <c r="B342" s="3">
        <f>VLOOKUP(A342,'[1]BADI SID DATA'!A:B,2,0)</f>
        <v>129</v>
      </c>
      <c r="C342" s="4">
        <v>57200.64999999851</v>
      </c>
      <c r="D342" s="5">
        <v>5.55</v>
      </c>
      <c r="E342" s="23">
        <v>100</v>
      </c>
      <c r="F342" s="23">
        <v>100</v>
      </c>
      <c r="G342" s="16">
        <f>VLOOKUP(A342,'[1]DRDO Kolar Data'!$A:$E,5,0)*1000</f>
        <v>10300</v>
      </c>
      <c r="H342" s="24">
        <f t="shared" si="15"/>
        <v>6375848.049999997</v>
      </c>
      <c r="I342" s="25">
        <f t="shared" si="16"/>
        <v>23.833604166666046</v>
      </c>
      <c r="J342" s="25">
        <f t="shared" si="17"/>
        <v>20.593824450904382</v>
      </c>
      <c r="K342" s="17" t="s">
        <v>13</v>
      </c>
    </row>
    <row r="343" spans="1:11" ht="15.75" customHeight="1" x14ac:dyDescent="0.2">
      <c r="A343" s="15">
        <v>45146</v>
      </c>
      <c r="B343" s="3">
        <f>VLOOKUP(A343,'[1]BADI SID DATA'!A:B,2,0)</f>
        <v>130</v>
      </c>
      <c r="C343" s="4">
        <v>48099.35000000149</v>
      </c>
      <c r="D343" s="5">
        <v>4.5199999999999996</v>
      </c>
      <c r="E343" s="23">
        <v>100</v>
      </c>
      <c r="F343" s="23">
        <v>100</v>
      </c>
      <c r="G343" s="16">
        <f>VLOOKUP(A343,'[1]DRDO Kolar Data'!$A:$E,5,0)*1000</f>
        <v>9900</v>
      </c>
      <c r="H343" s="24">
        <f t="shared" ref="H343:H406" si="18">C343+H342</f>
        <v>6423947.3999999985</v>
      </c>
      <c r="I343" s="25">
        <f t="shared" si="16"/>
        <v>20.041395833333954</v>
      </c>
      <c r="J343" s="25">
        <f t="shared" si="17"/>
        <v>20.589574999999996</v>
      </c>
      <c r="K343" s="17" t="s">
        <v>11</v>
      </c>
    </row>
    <row r="344" spans="1:11" ht="15.75" customHeight="1" x14ac:dyDescent="0.2">
      <c r="A344" s="15">
        <v>45147</v>
      </c>
      <c r="B344" s="3">
        <f>VLOOKUP(A344,'[1]BADI SID DATA'!A:B,2,0)</f>
        <v>131</v>
      </c>
      <c r="C344" s="4">
        <v>52649.35000000149</v>
      </c>
      <c r="D344" s="5">
        <v>5.12</v>
      </c>
      <c r="E344" s="23">
        <v>100</v>
      </c>
      <c r="F344" s="23">
        <v>100</v>
      </c>
      <c r="G344" s="16">
        <f>VLOOKUP(A344,'[1]DRDO Kolar Data'!$A:$E,5,0)*1000</f>
        <v>10100</v>
      </c>
      <c r="H344" s="24">
        <f t="shared" si="18"/>
        <v>6476596.75</v>
      </c>
      <c r="I344" s="25">
        <f t="shared" si="16"/>
        <v>21.937229166667287</v>
      </c>
      <c r="J344" s="25">
        <f t="shared" si="17"/>
        <v>20.599862436386768</v>
      </c>
      <c r="K344" s="17" t="s">
        <v>11</v>
      </c>
    </row>
    <row r="345" spans="1:11" ht="15.75" customHeight="1" x14ac:dyDescent="0.2">
      <c r="A345" s="15">
        <v>45148</v>
      </c>
      <c r="B345" s="3">
        <f>VLOOKUP(A345,'[1]BADI SID DATA'!A:B,2,0)</f>
        <v>132</v>
      </c>
      <c r="C345" s="4">
        <v>49400.64999999851</v>
      </c>
      <c r="D345" s="7">
        <v>4.76</v>
      </c>
      <c r="E345" s="23">
        <v>100</v>
      </c>
      <c r="F345" s="23">
        <v>100</v>
      </c>
      <c r="G345" s="16">
        <f>VLOOKUP(A345,'[1]DRDO Kolar Data'!$A:$E,5,0)*1000</f>
        <v>9600</v>
      </c>
      <c r="H345" s="24">
        <f t="shared" si="18"/>
        <v>6525997.3999999985</v>
      </c>
      <c r="I345" s="25">
        <f t="shared" si="16"/>
        <v>20.583604166666046</v>
      </c>
      <c r="J345" s="25">
        <f t="shared" si="17"/>
        <v>20.599739267676764</v>
      </c>
      <c r="K345" s="17" t="s">
        <v>11</v>
      </c>
    </row>
    <row r="346" spans="1:11" ht="15.75" customHeight="1" x14ac:dyDescent="0.2">
      <c r="A346" s="15">
        <v>45149</v>
      </c>
      <c r="B346" s="3">
        <f>VLOOKUP(A346,'[1]BADI SID DATA'!A:B,2,0)</f>
        <v>133</v>
      </c>
      <c r="C346" s="4">
        <v>43549.34999999404</v>
      </c>
      <c r="D346" s="7">
        <v>4.03</v>
      </c>
      <c r="E346" s="23">
        <v>100</v>
      </c>
      <c r="F346" s="23">
        <v>100</v>
      </c>
      <c r="G346" s="16">
        <f>VLOOKUP(A346,'[1]DRDO Kolar Data'!$A:$E,5,0)*1000</f>
        <v>9900</v>
      </c>
      <c r="H346" s="24">
        <f t="shared" si="18"/>
        <v>6569546.7499999925</v>
      </c>
      <c r="I346" s="25">
        <f t="shared" si="16"/>
        <v>18.145562499997517</v>
      </c>
      <c r="J346" s="25">
        <f t="shared" si="17"/>
        <v>20.58128681077692</v>
      </c>
      <c r="K346" s="17" t="s">
        <v>11</v>
      </c>
    </row>
    <row r="347" spans="1:11" ht="15.75" customHeight="1" x14ac:dyDescent="0.2">
      <c r="A347" s="15">
        <v>45150</v>
      </c>
      <c r="B347" s="3">
        <f>VLOOKUP(A347,'[1]BADI SID DATA'!A:B,2,0)</f>
        <v>134</v>
      </c>
      <c r="C347" s="4">
        <v>47452.60000000149</v>
      </c>
      <c r="D347" s="6">
        <v>4.47</v>
      </c>
      <c r="E347" s="23">
        <v>100</v>
      </c>
      <c r="F347" s="23">
        <v>100</v>
      </c>
      <c r="G347" s="16">
        <f>VLOOKUP(A347,'[1]DRDO Kolar Data'!$A:$E,5,0)*1000</f>
        <v>10200</v>
      </c>
      <c r="H347" s="24">
        <f t="shared" si="18"/>
        <v>6616999.349999994</v>
      </c>
      <c r="I347" s="25">
        <f t="shared" si="16"/>
        <v>19.771916666667288</v>
      </c>
      <c r="J347" s="25">
        <f t="shared" si="17"/>
        <v>20.575246735074611</v>
      </c>
      <c r="K347" s="17" t="s">
        <v>11</v>
      </c>
    </row>
    <row r="348" spans="1:11" ht="15.75" customHeight="1" x14ac:dyDescent="0.2">
      <c r="A348" s="15">
        <v>45151</v>
      </c>
      <c r="B348" s="3">
        <f>VLOOKUP(A348,'[1]BADI SID DATA'!A:B,2,0)</f>
        <v>135</v>
      </c>
      <c r="C348" s="4">
        <v>52649.35000000149</v>
      </c>
      <c r="D348" s="6">
        <v>5.1100000000000003</v>
      </c>
      <c r="E348" s="23">
        <v>100</v>
      </c>
      <c r="F348" s="23">
        <v>100</v>
      </c>
      <c r="G348" s="16">
        <f>VLOOKUP(A348,'[1]DRDO Kolar Data'!$A:$E,5,0)*1000</f>
        <v>10500</v>
      </c>
      <c r="H348" s="24">
        <f t="shared" si="18"/>
        <v>6669648.6999999955</v>
      </c>
      <c r="I348" s="25">
        <f t="shared" si="16"/>
        <v>21.937229166667287</v>
      </c>
      <c r="J348" s="25">
        <f t="shared" si="17"/>
        <v>20.585335493827149</v>
      </c>
      <c r="K348" s="17" t="s">
        <v>11</v>
      </c>
    </row>
    <row r="349" spans="1:11" ht="15.75" customHeight="1" x14ac:dyDescent="0.2">
      <c r="A349" s="15">
        <v>45152</v>
      </c>
      <c r="B349" s="3">
        <f>VLOOKUP(A349,'[1]BADI SID DATA'!A:B,2,0)</f>
        <v>136</v>
      </c>
      <c r="C349" s="4">
        <v>55248.70000000298</v>
      </c>
      <c r="D349" s="6">
        <v>5.63</v>
      </c>
      <c r="E349" s="23">
        <v>100</v>
      </c>
      <c r="F349" s="23">
        <v>100</v>
      </c>
      <c r="G349" s="16">
        <f>VLOOKUP(A349,'[1]DRDO Kolar Data'!$A:$E,5,0)*1000</f>
        <v>10100</v>
      </c>
      <c r="H349" s="24">
        <f t="shared" si="18"/>
        <v>6724897.3999999985</v>
      </c>
      <c r="I349" s="25">
        <f t="shared" si="16"/>
        <v>23.020291666667909</v>
      </c>
      <c r="J349" s="25">
        <f t="shared" si="17"/>
        <v>20.60323958333333</v>
      </c>
      <c r="K349" s="17" t="s">
        <v>13</v>
      </c>
    </row>
    <row r="350" spans="1:11" ht="15.75" customHeight="1" x14ac:dyDescent="0.2">
      <c r="A350" s="15">
        <v>45153</v>
      </c>
      <c r="B350" s="3">
        <f>VLOOKUP(A350,'[1]BADI SID DATA'!A:B,2,0)</f>
        <v>137</v>
      </c>
      <c r="C350" s="4">
        <v>62401.29999999702</v>
      </c>
      <c r="D350" s="6">
        <v>6.55</v>
      </c>
      <c r="E350" s="23">
        <v>100</v>
      </c>
      <c r="F350" s="23">
        <v>100</v>
      </c>
      <c r="G350" s="16">
        <f>VLOOKUP(A350,'[1]DRDO Kolar Data'!$A:$E,5,0)*1000</f>
        <v>10600</v>
      </c>
      <c r="H350" s="24">
        <f t="shared" si="18"/>
        <v>6787298.6999999955</v>
      </c>
      <c r="I350" s="25">
        <f t="shared" si="16"/>
        <v>26.000541666665427</v>
      </c>
      <c r="J350" s="25">
        <f t="shared" si="17"/>
        <v>20.642635948905095</v>
      </c>
      <c r="K350" s="17" t="s">
        <v>13</v>
      </c>
    </row>
    <row r="351" spans="1:11" ht="15.75" customHeight="1" x14ac:dyDescent="0.2">
      <c r="A351" s="15">
        <v>45154</v>
      </c>
      <c r="B351" s="3">
        <f>VLOOKUP(A351,'[1]BADI SID DATA'!A:B,2,0)</f>
        <v>138</v>
      </c>
      <c r="C351" s="4">
        <v>57200.64999999851</v>
      </c>
      <c r="D351" s="7">
        <v>5.43</v>
      </c>
      <c r="E351" s="23">
        <v>100</v>
      </c>
      <c r="F351" s="23">
        <v>100</v>
      </c>
      <c r="G351" s="16">
        <f>VLOOKUP(A351,'[1]DRDO Kolar Data'!$A:$E,5,0)*1000</f>
        <v>10200</v>
      </c>
      <c r="H351" s="24">
        <f t="shared" si="18"/>
        <v>6844499.349999994</v>
      </c>
      <c r="I351" s="25">
        <f t="shared" si="16"/>
        <v>23.833604166666046</v>
      </c>
      <c r="J351" s="25">
        <f t="shared" si="17"/>
        <v>20.665758907004815</v>
      </c>
      <c r="K351" s="17" t="s">
        <v>13</v>
      </c>
    </row>
    <row r="352" spans="1:11" ht="15.75" customHeight="1" x14ac:dyDescent="0.2">
      <c r="A352" s="15">
        <v>45155</v>
      </c>
      <c r="B352" s="3">
        <f>VLOOKUP(A352,'[1]BADI SID DATA'!A:B,2,0)</f>
        <v>139</v>
      </c>
      <c r="C352" s="4">
        <v>61100.000000007451</v>
      </c>
      <c r="D352" s="6">
        <v>6.26</v>
      </c>
      <c r="E352" s="23">
        <v>100</v>
      </c>
      <c r="F352" s="23">
        <v>100</v>
      </c>
      <c r="G352" s="16">
        <f>VLOOKUP(A352,'[1]DRDO Kolar Data'!$A:$E,5,0)*1000</f>
        <v>10800</v>
      </c>
      <c r="H352" s="24">
        <f t="shared" si="18"/>
        <v>6905599.3500000015</v>
      </c>
      <c r="I352" s="25">
        <f t="shared" si="16"/>
        <v>25.458333333336437</v>
      </c>
      <c r="J352" s="25">
        <f t="shared" si="17"/>
        <v>20.700237859712235</v>
      </c>
      <c r="K352" s="17" t="s">
        <v>13</v>
      </c>
    </row>
    <row r="353" spans="1:11" ht="15.75" customHeight="1" x14ac:dyDescent="0.2">
      <c r="A353" s="15">
        <v>45156</v>
      </c>
      <c r="B353" s="3">
        <f>VLOOKUP(A353,'[1]BADI SID DATA'!A:B,2,0)</f>
        <v>140</v>
      </c>
      <c r="C353" s="4">
        <v>50698.04999999702</v>
      </c>
      <c r="D353" s="6">
        <v>4.99</v>
      </c>
      <c r="E353" s="23">
        <v>100</v>
      </c>
      <c r="F353" s="23">
        <v>100</v>
      </c>
      <c r="G353" s="16">
        <f>VLOOKUP(A353,'[1]DRDO Kolar Data'!$A:$E,5,0)*1000</f>
        <v>10300</v>
      </c>
      <c r="H353" s="24">
        <f t="shared" si="18"/>
        <v>6956297.3999999985</v>
      </c>
      <c r="I353" s="25">
        <f t="shared" si="16"/>
        <v>21.124187499998758</v>
      </c>
      <c r="J353" s="25">
        <f t="shared" si="17"/>
        <v>20.703266071428565</v>
      </c>
      <c r="K353" s="17" t="s">
        <v>11</v>
      </c>
    </row>
    <row r="354" spans="1:11" ht="15.75" customHeight="1" x14ac:dyDescent="0.2">
      <c r="A354" s="15">
        <v>45157</v>
      </c>
      <c r="B354" s="3">
        <f>VLOOKUP(A354,'[1]BADI SID DATA'!A:B,2,0)</f>
        <v>141</v>
      </c>
      <c r="C354" s="4">
        <v>37700.64999999851</v>
      </c>
      <c r="D354" s="6">
        <v>3.6</v>
      </c>
      <c r="E354" s="23">
        <v>100</v>
      </c>
      <c r="F354" s="23">
        <v>100</v>
      </c>
      <c r="G354" s="16">
        <f>VLOOKUP(A354,'[1]DRDO Kolar Data'!$A:$E,5,0)*1000</f>
        <v>8900</v>
      </c>
      <c r="H354" s="24">
        <f t="shared" si="18"/>
        <v>6993998.049999997</v>
      </c>
      <c r="I354" s="25">
        <f t="shared" si="16"/>
        <v>15.708604166666046</v>
      </c>
      <c r="J354" s="25">
        <f t="shared" si="17"/>
        <v>20.667842937352237</v>
      </c>
      <c r="K354" s="17" t="s">
        <v>10</v>
      </c>
    </row>
    <row r="355" spans="1:11" ht="15.75" customHeight="1" x14ac:dyDescent="0.2">
      <c r="A355" s="15">
        <v>45158</v>
      </c>
      <c r="B355" s="3">
        <f>VLOOKUP(A355,'[1]BADI SID DATA'!A:B,2,0)</f>
        <v>142</v>
      </c>
      <c r="C355" s="4">
        <v>58501.95000000298</v>
      </c>
      <c r="D355" s="7">
        <v>5.66</v>
      </c>
      <c r="E355" s="23">
        <v>100</v>
      </c>
      <c r="F355" s="23">
        <v>100</v>
      </c>
      <c r="G355" s="16">
        <f>VLOOKUP(A355,'[1]DRDO Kolar Data'!$A:$E,5,0)*1000</f>
        <v>10500</v>
      </c>
      <c r="H355" s="24">
        <f t="shared" si="18"/>
        <v>7052500</v>
      </c>
      <c r="I355" s="25">
        <f t="shared" si="16"/>
        <v>24.375812500001242</v>
      </c>
      <c r="J355" s="25">
        <f t="shared" si="17"/>
        <v>20.693955399061036</v>
      </c>
      <c r="K355" s="17" t="s">
        <v>13</v>
      </c>
    </row>
    <row r="356" spans="1:11" ht="15.75" customHeight="1" x14ac:dyDescent="0.2">
      <c r="A356" s="15">
        <v>45159</v>
      </c>
      <c r="B356" s="3">
        <f>VLOOKUP(A356,'[1]BADI SID DATA'!A:B,2,0)</f>
        <v>143</v>
      </c>
      <c r="C356" s="4">
        <v>51348.69999999553</v>
      </c>
      <c r="D356" s="7">
        <v>6.03</v>
      </c>
      <c r="E356" s="23">
        <v>100</v>
      </c>
      <c r="F356" s="23">
        <v>93.402777777777786</v>
      </c>
      <c r="G356" s="16">
        <f>VLOOKUP(A356,'[1]DRDO Kolar Data'!$A:$E,5,0)*1000</f>
        <v>10300</v>
      </c>
      <c r="H356" s="24">
        <f t="shared" si="18"/>
        <v>7103848.6999999955</v>
      </c>
      <c r="I356" s="25">
        <f t="shared" si="16"/>
        <v>21.395291666664804</v>
      </c>
      <c r="J356" s="25">
        <f t="shared" si="17"/>
        <v>20.698859848484837</v>
      </c>
      <c r="K356" s="17" t="s">
        <v>11</v>
      </c>
    </row>
    <row r="357" spans="1:11" ht="15.75" customHeight="1" x14ac:dyDescent="0.2">
      <c r="A357" s="15">
        <v>45160</v>
      </c>
      <c r="B357" s="3">
        <f>VLOOKUP(A357,'[1]BADI SID DATA'!A:B,2,0)</f>
        <v>144</v>
      </c>
      <c r="C357" s="4">
        <v>55898.70000000298</v>
      </c>
      <c r="D357" s="7">
        <v>5.76</v>
      </c>
      <c r="E357" s="23">
        <v>100</v>
      </c>
      <c r="F357" s="23">
        <v>100</v>
      </c>
      <c r="G357" s="16">
        <f>VLOOKUP(A357,'[1]DRDO Kolar Data'!$A:$E,5,0)*1000</f>
        <v>10600</v>
      </c>
      <c r="H357" s="24">
        <f t="shared" si="18"/>
        <v>7159747.3999999985</v>
      </c>
      <c r="I357" s="25">
        <f t="shared" si="16"/>
        <v>23.291125000001241</v>
      </c>
      <c r="J357" s="25">
        <f t="shared" si="17"/>
        <v>20.716861689814809</v>
      </c>
      <c r="K357" s="17" t="s">
        <v>13</v>
      </c>
    </row>
    <row r="358" spans="1:11" ht="15.75" customHeight="1" x14ac:dyDescent="0.2">
      <c r="A358" s="15">
        <v>45161</v>
      </c>
      <c r="B358" s="3">
        <f>VLOOKUP(A358,'[1]BADI SID DATA'!A:B,2,0)</f>
        <v>145</v>
      </c>
      <c r="C358" s="4">
        <v>55252.60000000149</v>
      </c>
      <c r="D358" s="6">
        <v>5.82</v>
      </c>
      <c r="E358" s="23">
        <v>100</v>
      </c>
      <c r="F358" s="23">
        <v>90.972222222222214</v>
      </c>
      <c r="G358" s="16">
        <f>VLOOKUP(A358,'[1]DRDO Kolar Data'!$A:$E,5,0)*1000</f>
        <v>10400</v>
      </c>
      <c r="H358" s="24">
        <f t="shared" si="18"/>
        <v>7215000</v>
      </c>
      <c r="I358" s="25">
        <f t="shared" si="16"/>
        <v>23.021916666667288</v>
      </c>
      <c r="J358" s="25">
        <f t="shared" si="17"/>
        <v>20.732758620689655</v>
      </c>
      <c r="K358" s="17" t="s">
        <v>13</v>
      </c>
    </row>
    <row r="359" spans="1:11" ht="15.75" customHeight="1" x14ac:dyDescent="0.2">
      <c r="A359" s="15">
        <v>45162</v>
      </c>
      <c r="B359" s="3">
        <f>VLOOKUP(A359,'[1]BADI SID DATA'!A:B,2,0)</f>
        <v>146</v>
      </c>
      <c r="C359" s="4">
        <v>55898.69999999553</v>
      </c>
      <c r="D359" s="6">
        <v>5.71</v>
      </c>
      <c r="E359" s="23">
        <v>100</v>
      </c>
      <c r="F359" s="23">
        <v>100</v>
      </c>
      <c r="G359" s="16">
        <f>VLOOKUP(A359,'[1]DRDO Kolar Data'!$A:$E,5,0)*1000</f>
        <v>10300</v>
      </c>
      <c r="H359" s="24">
        <f t="shared" si="18"/>
        <v>7270898.6999999955</v>
      </c>
      <c r="I359" s="25">
        <f t="shared" si="16"/>
        <v>23.291124999998136</v>
      </c>
      <c r="J359" s="25">
        <f t="shared" si="17"/>
        <v>20.750281678082182</v>
      </c>
      <c r="K359" s="17" t="s">
        <v>13</v>
      </c>
    </row>
    <row r="360" spans="1:11" ht="15.75" customHeight="1" x14ac:dyDescent="0.2">
      <c r="A360" s="15">
        <v>45163</v>
      </c>
      <c r="B360" s="3">
        <f>VLOOKUP(A360,'[1]BADI SID DATA'!A:B,2,0)</f>
        <v>147</v>
      </c>
      <c r="C360" s="4">
        <v>60450</v>
      </c>
      <c r="D360" s="6">
        <v>6.06</v>
      </c>
      <c r="E360" s="23">
        <v>100</v>
      </c>
      <c r="F360" s="23">
        <v>100</v>
      </c>
      <c r="G360" s="16">
        <f>VLOOKUP(A360,'[1]DRDO Kolar Data'!$A:$E,5,0)*1000</f>
        <v>10000</v>
      </c>
      <c r="H360" s="24">
        <f t="shared" si="18"/>
        <v>7331348.6999999955</v>
      </c>
      <c r="I360" s="25">
        <f t="shared" si="16"/>
        <v>25.1875</v>
      </c>
      <c r="J360" s="25">
        <f t="shared" si="17"/>
        <v>20.780466836734682</v>
      </c>
      <c r="K360" s="17" t="s">
        <v>13</v>
      </c>
    </row>
    <row r="361" spans="1:11" ht="15.75" customHeight="1" x14ac:dyDescent="0.2">
      <c r="A361" s="15">
        <v>45164</v>
      </c>
      <c r="B361" s="3">
        <f>VLOOKUP(A361,'[1]BADI SID DATA'!A:B,2,0)</f>
        <v>148</v>
      </c>
      <c r="C361" s="4">
        <v>45500.65000000596</v>
      </c>
      <c r="D361" s="7">
        <v>4.34</v>
      </c>
      <c r="E361" s="23">
        <v>100</v>
      </c>
      <c r="F361" s="23">
        <v>100</v>
      </c>
      <c r="G361" s="16">
        <f>VLOOKUP(A361,'[1]DRDO Kolar Data'!$A:$E,5,0)*1000</f>
        <v>9900</v>
      </c>
      <c r="H361" s="24">
        <f t="shared" si="18"/>
        <v>7376849.3500000015</v>
      </c>
      <c r="I361" s="25">
        <f t="shared" si="16"/>
        <v>18.958604166669151</v>
      </c>
      <c r="J361" s="25">
        <f t="shared" si="17"/>
        <v>20.768156953828836</v>
      </c>
      <c r="K361" s="17" t="s">
        <v>11</v>
      </c>
    </row>
    <row r="362" spans="1:11" ht="15.75" customHeight="1" x14ac:dyDescent="0.2">
      <c r="A362" s="15">
        <v>45165</v>
      </c>
      <c r="B362" s="3">
        <f>VLOOKUP(A362,'[1]BADI SID DATA'!A:B,2,0)</f>
        <v>149</v>
      </c>
      <c r="C362" s="4">
        <v>46147.399999991059</v>
      </c>
      <c r="D362" s="7">
        <v>4.3899999999999997</v>
      </c>
      <c r="E362" s="23">
        <v>100</v>
      </c>
      <c r="F362" s="23">
        <v>100</v>
      </c>
      <c r="G362" s="16">
        <f>VLOOKUP(A362,'[1]DRDO Kolar Data'!$A:$E,5,0)*1000</f>
        <v>10200</v>
      </c>
      <c r="H362" s="24">
        <f t="shared" si="18"/>
        <v>7422996.7499999925</v>
      </c>
      <c r="I362" s="25">
        <f t="shared" si="16"/>
        <v>19.228083333329607</v>
      </c>
      <c r="J362" s="25">
        <f t="shared" si="17"/>
        <v>20.757820889261723</v>
      </c>
      <c r="K362" s="17" t="s">
        <v>11</v>
      </c>
    </row>
    <row r="363" spans="1:11" ht="15.75" customHeight="1" x14ac:dyDescent="0.2">
      <c r="A363" s="15">
        <v>45166</v>
      </c>
      <c r="B363" s="3">
        <f>VLOOKUP(A363,'[1]BADI SID DATA'!A:B,2,0)</f>
        <v>150</v>
      </c>
      <c r="C363" s="4">
        <v>58501.30000000447</v>
      </c>
      <c r="D363" s="7">
        <v>5.78</v>
      </c>
      <c r="E363" s="23">
        <v>100</v>
      </c>
      <c r="F363" s="23">
        <v>91.875</v>
      </c>
      <c r="G363" s="16">
        <f>VLOOKUP(A363,'[1]DRDO Kolar Data'!$A:$E,5,0)*1000</f>
        <v>10800</v>
      </c>
      <c r="H363" s="24">
        <f t="shared" si="18"/>
        <v>7481498.049999997</v>
      </c>
      <c r="I363" s="25">
        <f t="shared" si="16"/>
        <v>24.375541666668529</v>
      </c>
      <c r="J363" s="25">
        <f t="shared" si="17"/>
        <v>20.781939027777767</v>
      </c>
      <c r="K363" s="17" t="s">
        <v>13</v>
      </c>
    </row>
    <row r="364" spans="1:11" ht="15.75" customHeight="1" x14ac:dyDescent="0.2">
      <c r="A364" s="15">
        <v>45167</v>
      </c>
      <c r="B364" s="3">
        <f>VLOOKUP(A364,'[1]BADI SID DATA'!A:B,2,0)</f>
        <v>151</v>
      </c>
      <c r="C364" s="4">
        <v>53300.64999999851</v>
      </c>
      <c r="D364" s="6">
        <v>5.32</v>
      </c>
      <c r="E364" s="23">
        <v>100</v>
      </c>
      <c r="F364" s="23">
        <v>100</v>
      </c>
      <c r="G364" s="16">
        <f>VLOOKUP(A364,'[1]DRDO Kolar Data'!$A:$E,5,0)*1000</f>
        <v>10600</v>
      </c>
      <c r="H364" s="24">
        <f t="shared" si="18"/>
        <v>7534798.6999999955</v>
      </c>
      <c r="I364" s="25">
        <f t="shared" si="16"/>
        <v>22.208604166666046</v>
      </c>
      <c r="J364" s="25">
        <f t="shared" si="17"/>
        <v>20.791387141280339</v>
      </c>
      <c r="K364" s="17" t="s">
        <v>11</v>
      </c>
    </row>
    <row r="365" spans="1:11" ht="15.75" customHeight="1" x14ac:dyDescent="0.2">
      <c r="A365" s="15">
        <v>45168</v>
      </c>
      <c r="B365" s="3">
        <f>VLOOKUP(A365,'[1]BADI SID DATA'!A:B,2,0)</f>
        <v>152</v>
      </c>
      <c r="C365" s="4">
        <v>56550</v>
      </c>
      <c r="D365" s="7">
        <v>5.95</v>
      </c>
      <c r="E365" s="23">
        <v>100</v>
      </c>
      <c r="F365" s="23">
        <v>91.597222222222214</v>
      </c>
      <c r="G365" s="16">
        <f>VLOOKUP(A365,'[1]DRDO Kolar Data'!$A:$E,5,0)*1000</f>
        <v>10400</v>
      </c>
      <c r="H365" s="24">
        <f t="shared" si="18"/>
        <v>7591348.6999999955</v>
      </c>
      <c r="I365" s="25">
        <f t="shared" si="16"/>
        <v>23.5625</v>
      </c>
      <c r="J365" s="25">
        <f t="shared" si="17"/>
        <v>20.809618146929811</v>
      </c>
      <c r="K365" s="17" t="s">
        <v>13</v>
      </c>
    </row>
    <row r="366" spans="1:11" ht="15.75" customHeight="1" x14ac:dyDescent="0.2">
      <c r="A366" s="15">
        <v>45169</v>
      </c>
      <c r="B366" s="3">
        <f>VLOOKUP(A366,'[1]BADI SID DATA'!A:B,2,0)</f>
        <v>153</v>
      </c>
      <c r="C366" s="4">
        <v>22097.40000000596</v>
      </c>
      <c r="D366" s="10">
        <v>1.82</v>
      </c>
      <c r="E366" s="23">
        <v>100</v>
      </c>
      <c r="F366" s="23">
        <v>89.861111111111114</v>
      </c>
      <c r="G366" s="16">
        <f>VLOOKUP(A366,'[1]DRDO Kolar Data'!$A:$E,5,0)*1000</f>
        <v>8900</v>
      </c>
      <c r="H366" s="24">
        <f t="shared" si="18"/>
        <v>7613446.1000000015</v>
      </c>
      <c r="I366" s="25">
        <f t="shared" si="16"/>
        <v>9.2072500000024835</v>
      </c>
      <c r="J366" s="25">
        <f t="shared" si="17"/>
        <v>20.733785675381267</v>
      </c>
      <c r="K366" s="17" t="s">
        <v>10</v>
      </c>
    </row>
    <row r="367" spans="1:11" ht="15.75" customHeight="1" x14ac:dyDescent="0.2">
      <c r="A367" s="15">
        <v>45170</v>
      </c>
      <c r="B367" s="3">
        <f>VLOOKUP(A367,'[1]BADI SID DATA'!A:B,2,0)</f>
        <v>154</v>
      </c>
      <c r="C367" s="4">
        <v>37050.649999991059</v>
      </c>
      <c r="D367" s="8">
        <v>3.6</v>
      </c>
      <c r="E367" s="23">
        <v>100</v>
      </c>
      <c r="F367" s="23">
        <v>82.986111111111114</v>
      </c>
      <c r="G367" s="16">
        <f>VLOOKUP(A367,'[1]DRDO Kolar Data'!$A:$E,5,0)*1000</f>
        <v>10300</v>
      </c>
      <c r="H367" s="24">
        <f>C367</f>
        <v>37050.649999991059</v>
      </c>
      <c r="I367" s="25">
        <f t="shared" si="16"/>
        <v>15.437770833329608</v>
      </c>
      <c r="J367" s="25">
        <f t="shared" si="17"/>
        <v>0.10024526515149096</v>
      </c>
      <c r="K367" s="17" t="s">
        <v>10</v>
      </c>
    </row>
    <row r="368" spans="1:11" ht="15.75" customHeight="1" x14ac:dyDescent="0.2">
      <c r="A368" s="15">
        <v>45171</v>
      </c>
      <c r="B368" s="3">
        <f>VLOOKUP(A368,'[1]BADI SID DATA'!A:B,2,0)</f>
        <v>155</v>
      </c>
      <c r="C368" s="4">
        <v>29901.30000000447</v>
      </c>
      <c r="D368" s="5">
        <v>2.84</v>
      </c>
      <c r="E368" s="23">
        <v>100</v>
      </c>
      <c r="F368" s="23">
        <v>87.152777777777786</v>
      </c>
      <c r="G368" s="16">
        <f>VLOOKUP(A368,'[1]DRDO Kolar Data'!$A:$E,5,0)*1000</f>
        <v>9900</v>
      </c>
      <c r="H368" s="24">
        <f>C368+H367</f>
        <v>66951.94999999553</v>
      </c>
      <c r="I368" s="25">
        <f t="shared" si="16"/>
        <v>12.458875000001862</v>
      </c>
      <c r="J368" s="25">
        <f t="shared" si="17"/>
        <v>0.17997836021504177</v>
      </c>
      <c r="K368" s="17" t="s">
        <v>10</v>
      </c>
    </row>
    <row r="369" spans="1:11" ht="15.75" customHeight="1" x14ac:dyDescent="0.2">
      <c r="A369" s="15">
        <v>45172</v>
      </c>
      <c r="B369" s="3">
        <f>VLOOKUP(A369,'[1]BADI SID DATA'!A:B,2,0)</f>
        <v>156</v>
      </c>
      <c r="C369" s="4">
        <v>53300.64999999851</v>
      </c>
      <c r="D369" s="5">
        <v>5.0599999999999996</v>
      </c>
      <c r="E369" s="23">
        <v>100</v>
      </c>
      <c r="F369" s="23">
        <v>100</v>
      </c>
      <c r="G369" s="16">
        <f>VLOOKUP(A369,'[1]DRDO Kolar Data'!$A:$E,5,0)*1000</f>
        <v>10100</v>
      </c>
      <c r="H369" s="24">
        <f t="shared" si="18"/>
        <v>120252.59999999404</v>
      </c>
      <c r="I369" s="25">
        <f t="shared" si="16"/>
        <v>22.208604166666046</v>
      </c>
      <c r="J369" s="25">
        <f t="shared" si="17"/>
        <v>0.32118749999998408</v>
      </c>
      <c r="K369" s="17" t="s">
        <v>11</v>
      </c>
    </row>
    <row r="370" spans="1:11" ht="15.75" customHeight="1" x14ac:dyDescent="0.2">
      <c r="A370" s="15">
        <v>45173</v>
      </c>
      <c r="B370" s="3">
        <f>VLOOKUP(A370,'[1]BADI SID DATA'!A:B,2,0)</f>
        <v>157</v>
      </c>
      <c r="C370" s="4">
        <v>23399.35000000149</v>
      </c>
      <c r="D370" s="8">
        <v>1.91</v>
      </c>
      <c r="E370" s="23">
        <v>100</v>
      </c>
      <c r="F370" s="23">
        <v>94.444444444444443</v>
      </c>
      <c r="G370" s="16">
        <f>VLOOKUP(A370,'[1]DRDO Kolar Data'!$A:$E,5,0)*1000</f>
        <v>9600</v>
      </c>
      <c r="H370" s="24">
        <f t="shared" si="18"/>
        <v>143651.94999999553</v>
      </c>
      <c r="I370" s="25">
        <f t="shared" si="16"/>
        <v>9.7497291666672865</v>
      </c>
      <c r="J370" s="25">
        <f t="shared" si="17"/>
        <v>0.38124190552015796</v>
      </c>
      <c r="K370" s="17" t="s">
        <v>10</v>
      </c>
    </row>
    <row r="371" spans="1:11" ht="15.75" customHeight="1" x14ac:dyDescent="0.2">
      <c r="A371" s="15">
        <v>45174</v>
      </c>
      <c r="B371" s="3">
        <f>VLOOKUP(A371,'[1]BADI SID DATA'!A:B,2,0)</f>
        <v>158</v>
      </c>
      <c r="C371" s="4">
        <v>37700.64999999851</v>
      </c>
      <c r="D371" s="5">
        <v>3.23</v>
      </c>
      <c r="E371" s="23">
        <v>100</v>
      </c>
      <c r="F371" s="23">
        <v>91.25</v>
      </c>
      <c r="G371" s="16">
        <f>VLOOKUP(A371,'[1]DRDO Kolar Data'!$A:$E,5,0)*1000</f>
        <v>10300</v>
      </c>
      <c r="H371" s="24">
        <f t="shared" si="18"/>
        <v>181352.59999999404</v>
      </c>
      <c r="I371" s="25">
        <f t="shared" si="16"/>
        <v>15.708604166666046</v>
      </c>
      <c r="J371" s="25">
        <f t="shared" si="17"/>
        <v>0.4782505274261446</v>
      </c>
      <c r="K371" s="17" t="s">
        <v>10</v>
      </c>
    </row>
    <row r="372" spans="1:11" ht="15.75" customHeight="1" x14ac:dyDescent="0.2">
      <c r="A372" s="15">
        <v>45175</v>
      </c>
      <c r="B372" s="3">
        <f>VLOOKUP(A372,'[1]BADI SID DATA'!A:B,2,0)</f>
        <v>159</v>
      </c>
      <c r="C372" s="4">
        <v>51348.70000000298</v>
      </c>
      <c r="D372" s="5">
        <v>5.05</v>
      </c>
      <c r="E372" s="23">
        <v>100</v>
      </c>
      <c r="F372" s="23">
        <v>100</v>
      </c>
      <c r="G372" s="16">
        <f>VLOOKUP(A372,'[1]DRDO Kolar Data'!$A:$E,5,0)*1000</f>
        <v>10100</v>
      </c>
      <c r="H372" s="24">
        <f t="shared" si="18"/>
        <v>232701.29999999702</v>
      </c>
      <c r="I372" s="25">
        <f t="shared" si="16"/>
        <v>21.395291666667909</v>
      </c>
      <c r="J372" s="25">
        <f t="shared" si="17"/>
        <v>0.60980424528301103</v>
      </c>
      <c r="K372" s="17" t="s">
        <v>11</v>
      </c>
    </row>
    <row r="373" spans="1:11" ht="15.75" customHeight="1" x14ac:dyDescent="0.2">
      <c r="A373" s="15">
        <v>45176</v>
      </c>
      <c r="B373" s="3">
        <f>VLOOKUP(A373,'[1]BADI SID DATA'!A:B,2,0)</f>
        <v>160</v>
      </c>
      <c r="C373" s="4">
        <v>55252.59999999404</v>
      </c>
      <c r="D373" s="5">
        <v>5.33</v>
      </c>
      <c r="E373" s="23">
        <v>100</v>
      </c>
      <c r="F373" s="23">
        <v>100</v>
      </c>
      <c r="G373" s="16">
        <f>VLOOKUP(A373,'[1]DRDO Kolar Data'!$A:$E,5,0)*1000</f>
        <v>10500</v>
      </c>
      <c r="H373" s="24">
        <f t="shared" si="18"/>
        <v>287953.89999999106</v>
      </c>
      <c r="I373" s="25">
        <f t="shared" si="16"/>
        <v>23.021916666664183</v>
      </c>
      <c r="J373" s="25">
        <f t="shared" si="17"/>
        <v>0.74987994791664336</v>
      </c>
      <c r="K373" s="17" t="s">
        <v>13</v>
      </c>
    </row>
    <row r="374" spans="1:11" ht="15.75" customHeight="1" x14ac:dyDescent="0.2">
      <c r="A374" s="15">
        <v>45177</v>
      </c>
      <c r="B374" s="3">
        <f>VLOOKUP(A374,'[1]BADI SID DATA'!A:B,2,0)</f>
        <v>161</v>
      </c>
      <c r="C374" s="4">
        <v>46798.05000000447</v>
      </c>
      <c r="D374" s="5">
        <v>4.51</v>
      </c>
      <c r="E374" s="23">
        <v>100</v>
      </c>
      <c r="F374" s="23">
        <v>100</v>
      </c>
      <c r="G374" s="16">
        <f>VLOOKUP(A374,'[1]DRDO Kolar Data'!$A:$E,5,0)*1000</f>
        <v>9200</v>
      </c>
      <c r="H374" s="24">
        <f t="shared" si="18"/>
        <v>334751.94999999553</v>
      </c>
      <c r="I374" s="25">
        <f t="shared" si="16"/>
        <v>19.499187500001863</v>
      </c>
      <c r="J374" s="25">
        <f t="shared" si="17"/>
        <v>0.86633527432711055</v>
      </c>
      <c r="K374" s="17" t="s">
        <v>11</v>
      </c>
    </row>
    <row r="375" spans="1:11" ht="15.75" customHeight="1" x14ac:dyDescent="0.2">
      <c r="A375" s="15">
        <v>45178</v>
      </c>
      <c r="B375" s="3">
        <f>VLOOKUP(A375,'[1]BADI SID DATA'!A:B,2,0)</f>
        <v>162</v>
      </c>
      <c r="C375" s="4">
        <v>60449.35000000149</v>
      </c>
      <c r="D375" s="6">
        <v>6.1</v>
      </c>
      <c r="E375" s="23">
        <v>100</v>
      </c>
      <c r="F375" s="23">
        <v>92.708333333333343</v>
      </c>
      <c r="G375" s="16">
        <f>VLOOKUP(A375,'[1]DRDO Kolar Data'!$A:$E,5,0)*1000</f>
        <v>10100</v>
      </c>
      <c r="H375" s="24">
        <f t="shared" si="18"/>
        <v>395201.29999999702</v>
      </c>
      <c r="I375" s="25">
        <f t="shared" si="16"/>
        <v>25.187229166667287</v>
      </c>
      <c r="J375" s="25">
        <f t="shared" si="17"/>
        <v>1.0164642489711857</v>
      </c>
      <c r="K375" s="17" t="s">
        <v>13</v>
      </c>
    </row>
    <row r="376" spans="1:11" ht="15.75" customHeight="1" x14ac:dyDescent="0.2">
      <c r="A376" s="15">
        <v>45179</v>
      </c>
      <c r="B376" s="3">
        <f>VLOOKUP(A376,'[1]BADI SID DATA'!A:B,2,0)</f>
        <v>163</v>
      </c>
      <c r="C376" s="4">
        <v>43548.70000000298</v>
      </c>
      <c r="D376" s="7">
        <v>4.04</v>
      </c>
      <c r="E376" s="23">
        <v>100</v>
      </c>
      <c r="F376" s="23">
        <v>100</v>
      </c>
      <c r="G376" s="16">
        <f>VLOOKUP(A376,'[1]DRDO Kolar Data'!$A:$E,5,0)*1000</f>
        <v>9900</v>
      </c>
      <c r="H376" s="24">
        <f t="shared" si="18"/>
        <v>438750</v>
      </c>
      <c r="I376" s="25">
        <f t="shared" si="16"/>
        <v>18.145291666667909</v>
      </c>
      <c r="J376" s="25">
        <f t="shared" si="17"/>
        <v>1.1215490797546013</v>
      </c>
      <c r="K376" s="17" t="s">
        <v>11</v>
      </c>
    </row>
    <row r="377" spans="1:11" ht="15.75" customHeight="1" x14ac:dyDescent="0.2">
      <c r="A377" s="15">
        <v>45180</v>
      </c>
      <c r="B377" s="3">
        <f>VLOOKUP(A377,'[1]BADI SID DATA'!A:B,2,0)</f>
        <v>164</v>
      </c>
      <c r="C377" s="4">
        <v>48103.25</v>
      </c>
      <c r="D377" s="6">
        <v>4.54</v>
      </c>
      <c r="E377" s="23">
        <v>100</v>
      </c>
      <c r="F377" s="23">
        <v>100</v>
      </c>
      <c r="G377" s="16">
        <f>VLOOKUP(A377,'[1]DRDO Kolar Data'!$A:$E,5,0)*1000</f>
        <v>10300</v>
      </c>
      <c r="H377" s="24">
        <f t="shared" si="18"/>
        <v>486853.25</v>
      </c>
      <c r="I377" s="25">
        <f t="shared" si="16"/>
        <v>20.043020833333333</v>
      </c>
      <c r="J377" s="25">
        <f t="shared" si="17"/>
        <v>1.2369239075203253</v>
      </c>
      <c r="K377" s="17" t="s">
        <v>11</v>
      </c>
    </row>
    <row r="378" spans="1:11" ht="15.75" customHeight="1" x14ac:dyDescent="0.2">
      <c r="A378" s="15">
        <v>45181</v>
      </c>
      <c r="B378" s="3">
        <f>VLOOKUP(A378,'[1]BADI SID DATA'!A:B,2,0)</f>
        <v>165</v>
      </c>
      <c r="C378" s="4">
        <v>54598.04999999702</v>
      </c>
      <c r="D378" s="6">
        <v>5.25</v>
      </c>
      <c r="E378" s="23">
        <v>100</v>
      </c>
      <c r="F378" s="23">
        <v>100</v>
      </c>
      <c r="G378" s="16">
        <f>VLOOKUP(A378,'[1]DRDO Kolar Data'!$A:$E,5,0)*1000</f>
        <v>10500</v>
      </c>
      <c r="H378" s="24">
        <f t="shared" si="18"/>
        <v>541451.29999999702</v>
      </c>
      <c r="I378" s="25">
        <f t="shared" si="16"/>
        <v>22.749187499998758</v>
      </c>
      <c r="J378" s="25">
        <f t="shared" si="17"/>
        <v>1.3673012626262551</v>
      </c>
      <c r="K378" s="17" t="s">
        <v>13</v>
      </c>
    </row>
    <row r="379" spans="1:11" ht="15.75" customHeight="1" x14ac:dyDescent="0.2">
      <c r="A379" s="15">
        <v>45182</v>
      </c>
      <c r="B379" s="3">
        <f>VLOOKUP(A379,'[1]BADI SID DATA'!A:B,2,0)</f>
        <v>166</v>
      </c>
      <c r="C379" s="4">
        <v>57200.64999999851</v>
      </c>
      <c r="D379" s="6">
        <v>5.64</v>
      </c>
      <c r="E379" s="23">
        <v>100</v>
      </c>
      <c r="F379" s="23">
        <v>100</v>
      </c>
      <c r="G379" s="16">
        <f>VLOOKUP(A379,'[1]DRDO Kolar Data'!$A:$E,5,0)*1000</f>
        <v>9900</v>
      </c>
      <c r="H379" s="24">
        <f t="shared" si="18"/>
        <v>598651.94999999553</v>
      </c>
      <c r="I379" s="25">
        <f t="shared" si="16"/>
        <v>23.833604166666046</v>
      </c>
      <c r="J379" s="25">
        <f t="shared" si="17"/>
        <v>1.5026404367469766</v>
      </c>
      <c r="K379" s="17" t="s">
        <v>13</v>
      </c>
    </row>
    <row r="380" spans="1:11" ht="15.75" customHeight="1" x14ac:dyDescent="0.2">
      <c r="A380" s="15">
        <v>45183</v>
      </c>
      <c r="B380" s="3">
        <f>VLOOKUP(A380,'[1]BADI SID DATA'!A:B,2,0)</f>
        <v>167</v>
      </c>
      <c r="C380" s="4">
        <v>49400</v>
      </c>
      <c r="D380" s="6">
        <v>4.6900000000000004</v>
      </c>
      <c r="E380" s="23">
        <v>100</v>
      </c>
      <c r="F380" s="23">
        <v>100</v>
      </c>
      <c r="G380" s="16">
        <f>VLOOKUP(A380,'[1]DRDO Kolar Data'!$A:$E,5,0)*1000</f>
        <v>10000</v>
      </c>
      <c r="H380" s="24">
        <f t="shared" si="18"/>
        <v>648051.94999999553</v>
      </c>
      <c r="I380" s="25">
        <f t="shared" si="16"/>
        <v>20.583333333333336</v>
      </c>
      <c r="J380" s="25">
        <f t="shared" si="17"/>
        <v>1.6168960828343202</v>
      </c>
      <c r="K380" s="17" t="s">
        <v>11</v>
      </c>
    </row>
    <row r="381" spans="1:11" ht="15.75" customHeight="1" x14ac:dyDescent="0.2">
      <c r="A381" s="15">
        <v>45184</v>
      </c>
      <c r="B381" s="3">
        <f>VLOOKUP(A381,'[1]BADI SID DATA'!A:B,2,0)</f>
        <v>168</v>
      </c>
      <c r="C381" s="4">
        <v>55899.35000000149</v>
      </c>
      <c r="D381" s="7">
        <v>5.49</v>
      </c>
      <c r="E381" s="23">
        <v>100</v>
      </c>
      <c r="F381" s="23">
        <v>100</v>
      </c>
      <c r="G381" s="16">
        <f>VLOOKUP(A381,'[1]DRDO Kolar Data'!$A:$E,5,0)*1000</f>
        <v>10200</v>
      </c>
      <c r="H381" s="24">
        <f t="shared" si="18"/>
        <v>703951.29999999702</v>
      </c>
      <c r="I381" s="25">
        <f t="shared" si="16"/>
        <v>23.291395833333954</v>
      </c>
      <c r="J381" s="25">
        <f t="shared" si="17"/>
        <v>1.7459109623015798</v>
      </c>
      <c r="K381" s="17" t="s">
        <v>13</v>
      </c>
    </row>
    <row r="382" spans="1:11" ht="15.75" customHeight="1" x14ac:dyDescent="0.2">
      <c r="A382" s="15">
        <v>45185</v>
      </c>
      <c r="B382" s="3">
        <f>VLOOKUP(A382,'[1]BADI SID DATA'!A:B,2,0)</f>
        <v>169</v>
      </c>
      <c r="C382" s="4">
        <v>36400</v>
      </c>
      <c r="D382" s="6">
        <v>3.37</v>
      </c>
      <c r="E382" s="23">
        <v>100</v>
      </c>
      <c r="F382" s="23">
        <v>100</v>
      </c>
      <c r="G382" s="16">
        <f>VLOOKUP(A382,'[1]DRDO Kolar Data'!$A:$E,5,0)*1000</f>
        <v>10600</v>
      </c>
      <c r="H382" s="24">
        <f t="shared" si="18"/>
        <v>740351.29999999702</v>
      </c>
      <c r="I382" s="25">
        <f t="shared" si="16"/>
        <v>15.166666666666668</v>
      </c>
      <c r="J382" s="25">
        <f t="shared" si="17"/>
        <v>1.8253237179487105</v>
      </c>
      <c r="K382" s="17" t="s">
        <v>10</v>
      </c>
    </row>
    <row r="383" spans="1:11" ht="15.75" customHeight="1" x14ac:dyDescent="0.2">
      <c r="A383" s="15">
        <v>45186</v>
      </c>
      <c r="B383" s="3">
        <f>VLOOKUP(A383,'[1]BADI SID DATA'!A:B,2,0)</f>
        <v>170</v>
      </c>
      <c r="C383" s="4">
        <v>48099.35000000149</v>
      </c>
      <c r="D383" s="6">
        <v>4.45</v>
      </c>
      <c r="E383" s="23">
        <v>100</v>
      </c>
      <c r="F383" s="23">
        <v>100</v>
      </c>
      <c r="G383" s="16">
        <f>VLOOKUP(A383,'[1]DRDO Kolar Data'!$A:$E,5,0)*1000</f>
        <v>9100</v>
      </c>
      <c r="H383" s="24">
        <f t="shared" si="18"/>
        <v>788450.64999999851</v>
      </c>
      <c r="I383" s="25">
        <f t="shared" si="16"/>
        <v>20.041395833333954</v>
      </c>
      <c r="J383" s="25">
        <f t="shared" si="17"/>
        <v>1.9324770833333296</v>
      </c>
      <c r="K383" s="17" t="s">
        <v>11</v>
      </c>
    </row>
    <row r="384" spans="1:11" ht="15.75" customHeight="1" x14ac:dyDescent="0.2">
      <c r="A384" s="15">
        <v>45187</v>
      </c>
      <c r="B384" s="3">
        <f>VLOOKUP(A384,'[1]BADI SID DATA'!A:B,2,0)</f>
        <v>171</v>
      </c>
      <c r="C384" s="4">
        <v>57850.64999999851</v>
      </c>
      <c r="D384" s="6">
        <v>5.52</v>
      </c>
      <c r="E384" s="23">
        <v>100</v>
      </c>
      <c r="F384" s="23">
        <v>100</v>
      </c>
      <c r="G384" s="16">
        <f>VLOOKUP(A384,'[1]DRDO Kolar Data'!$A:$E,5,0)*1000</f>
        <v>10500</v>
      </c>
      <c r="H384" s="24">
        <f t="shared" si="18"/>
        <v>846301.29999999702</v>
      </c>
      <c r="I384" s="25">
        <f t="shared" si="16"/>
        <v>24.104437499999378</v>
      </c>
      <c r="J384" s="25">
        <f t="shared" si="17"/>
        <v>2.0621376705652947</v>
      </c>
      <c r="K384" s="17" t="s">
        <v>13</v>
      </c>
    </row>
    <row r="385" spans="1:11" ht="15.75" customHeight="1" x14ac:dyDescent="0.2">
      <c r="A385" s="15">
        <v>45188</v>
      </c>
      <c r="B385" s="3">
        <f>VLOOKUP(A385,'[1]BADI SID DATA'!A:B,2,0)</f>
        <v>172</v>
      </c>
      <c r="C385" s="4">
        <v>61750.64999999851</v>
      </c>
      <c r="D385" s="7">
        <v>6.04</v>
      </c>
      <c r="E385" s="23">
        <v>100</v>
      </c>
      <c r="F385" s="23">
        <v>100</v>
      </c>
      <c r="G385" s="16">
        <f>VLOOKUP(A385,'[1]DRDO Kolar Data'!$A:$E,5,0)*1000</f>
        <v>10400</v>
      </c>
      <c r="H385" s="24">
        <f t="shared" si="18"/>
        <v>908051.94999999553</v>
      </c>
      <c r="I385" s="25">
        <f t="shared" si="16"/>
        <v>25.729437499999381</v>
      </c>
      <c r="J385" s="25">
        <f t="shared" si="17"/>
        <v>2.1997382509689816</v>
      </c>
      <c r="K385" s="17" t="s">
        <v>13</v>
      </c>
    </row>
    <row r="386" spans="1:11" ht="15.75" customHeight="1" x14ac:dyDescent="0.2">
      <c r="A386" s="15">
        <v>45189</v>
      </c>
      <c r="B386" s="3">
        <f>VLOOKUP(A386,'[1]BADI SID DATA'!A:B,2,0)</f>
        <v>173</v>
      </c>
      <c r="C386" s="4">
        <v>54598.04999999702</v>
      </c>
      <c r="D386" s="7">
        <v>5.31</v>
      </c>
      <c r="E386" s="23">
        <v>100</v>
      </c>
      <c r="F386" s="23">
        <v>92.361111111111114</v>
      </c>
      <c r="G386" s="16">
        <f>VLOOKUP(A386,'[1]DRDO Kolar Data'!$A:$E,5,0)*1000</f>
        <v>10500</v>
      </c>
      <c r="H386" s="24">
        <f t="shared" si="18"/>
        <v>962649.99999999255</v>
      </c>
      <c r="I386" s="25">
        <f t="shared" si="16"/>
        <v>22.749187499998758</v>
      </c>
      <c r="J386" s="25">
        <f t="shared" si="17"/>
        <v>2.3185211946049917</v>
      </c>
      <c r="K386" s="17" t="s">
        <v>11</v>
      </c>
    </row>
    <row r="387" spans="1:11" ht="15.75" customHeight="1" x14ac:dyDescent="0.2">
      <c r="A387" s="15">
        <v>45190</v>
      </c>
      <c r="B387" s="3">
        <f>VLOOKUP(A387,'[1]BADI SID DATA'!A:B,2,0)</f>
        <v>174</v>
      </c>
      <c r="C387" s="4">
        <v>39002.60000000149</v>
      </c>
      <c r="D387" s="6">
        <v>3.5</v>
      </c>
      <c r="E387" s="23">
        <v>100</v>
      </c>
      <c r="F387" s="23">
        <v>100</v>
      </c>
      <c r="G387" s="16">
        <f>VLOOKUP(A387,'[1]DRDO Kolar Data'!$A:$E,5,0)*1000</f>
        <v>9900</v>
      </c>
      <c r="H387" s="24">
        <f t="shared" si="18"/>
        <v>1001652.599999994</v>
      </c>
      <c r="I387" s="25">
        <f t="shared" ref="I387:I450" si="19">(C387/(10*24*1000))*100</f>
        <v>16.251083333333955</v>
      </c>
      <c r="J387" s="25">
        <f t="shared" ref="J387:J450" si="20">(H387/(24*B387*10*1000))*100</f>
        <v>2.3985933908045833</v>
      </c>
      <c r="K387" s="17" t="s">
        <v>10</v>
      </c>
    </row>
    <row r="388" spans="1:11" ht="15.75" customHeight="1" x14ac:dyDescent="0.2">
      <c r="A388" s="15">
        <v>45191</v>
      </c>
      <c r="B388" s="3">
        <f>VLOOKUP(A388,'[1]BADI SID DATA'!A:B,2,0)</f>
        <v>175</v>
      </c>
      <c r="C388" s="4">
        <v>50051.29999999702</v>
      </c>
      <c r="D388" s="6">
        <v>4.97</v>
      </c>
      <c r="E388" s="23">
        <v>100</v>
      </c>
      <c r="F388" s="23">
        <v>100</v>
      </c>
      <c r="G388" s="16">
        <f>VLOOKUP(A388,'[1]DRDO Kolar Data'!$A:$E,5,0)*1000</f>
        <v>10400</v>
      </c>
      <c r="H388" s="24">
        <f t="shared" si="18"/>
        <v>1051703.8999999911</v>
      </c>
      <c r="I388" s="25">
        <f t="shared" si="19"/>
        <v>20.854708333332091</v>
      </c>
      <c r="J388" s="25">
        <f t="shared" si="20"/>
        <v>2.5040569047618835</v>
      </c>
      <c r="K388" s="17" t="s">
        <v>11</v>
      </c>
    </row>
    <row r="389" spans="1:11" ht="15.75" customHeight="1" x14ac:dyDescent="0.2">
      <c r="A389" s="15">
        <v>45192</v>
      </c>
      <c r="B389" s="3">
        <f>VLOOKUP(A389,'[1]BADI SID DATA'!A:B,2,0)</f>
        <v>176</v>
      </c>
      <c r="C389" s="4">
        <v>55898.70000000298</v>
      </c>
      <c r="D389" s="6">
        <v>5.54</v>
      </c>
      <c r="E389" s="23">
        <v>100</v>
      </c>
      <c r="F389" s="23">
        <v>100</v>
      </c>
      <c r="G389" s="16">
        <f>VLOOKUP(A389,'[1]DRDO Kolar Data'!$A:$E,5,0)*1000</f>
        <v>10500</v>
      </c>
      <c r="H389" s="24">
        <f t="shared" si="18"/>
        <v>1107602.599999994</v>
      </c>
      <c r="I389" s="25">
        <f t="shared" si="19"/>
        <v>23.291125000001241</v>
      </c>
      <c r="J389" s="25">
        <f t="shared" si="20"/>
        <v>2.622165246212107</v>
      </c>
      <c r="K389" s="17" t="s">
        <v>11</v>
      </c>
    </row>
    <row r="390" spans="1:11" ht="15.75" customHeight="1" x14ac:dyDescent="0.2">
      <c r="A390" s="15">
        <v>45193</v>
      </c>
      <c r="B390" s="3">
        <f>VLOOKUP(A390,'[1]BADI SID DATA'!A:B,2,0)</f>
        <v>177</v>
      </c>
      <c r="C390" s="4">
        <v>48750</v>
      </c>
      <c r="D390" s="6">
        <v>4.91</v>
      </c>
      <c r="E390" s="23">
        <v>100</v>
      </c>
      <c r="F390" s="23">
        <v>100</v>
      </c>
      <c r="G390" s="16">
        <f>VLOOKUP(A390,'[1]DRDO Kolar Data'!$A:$E,5,0)*1000</f>
        <v>10400</v>
      </c>
      <c r="H390" s="24">
        <f t="shared" si="18"/>
        <v>1156352.599999994</v>
      </c>
      <c r="I390" s="25">
        <f t="shared" si="19"/>
        <v>20.3125</v>
      </c>
      <c r="J390" s="25">
        <f t="shared" si="20"/>
        <v>2.7221106403013042</v>
      </c>
      <c r="K390" s="17" t="s">
        <v>11</v>
      </c>
    </row>
    <row r="391" spans="1:11" ht="15.75" customHeight="1" x14ac:dyDescent="0.2">
      <c r="A391" s="15">
        <v>45194</v>
      </c>
      <c r="B391" s="3">
        <f>VLOOKUP(A391,'[1]BADI SID DATA'!A:B,2,0)</f>
        <v>178</v>
      </c>
      <c r="C391" s="4">
        <v>46147.40000000596</v>
      </c>
      <c r="D391" s="7">
        <v>4.63</v>
      </c>
      <c r="E391" s="23">
        <v>100</v>
      </c>
      <c r="F391" s="23">
        <v>100</v>
      </c>
      <c r="G391" s="16">
        <f>VLOOKUP(A391,'[1]DRDO Kolar Data'!$A:$E,5,0)*1000</f>
        <v>10700</v>
      </c>
      <c r="H391" s="24">
        <f t="shared" si="18"/>
        <v>1202500</v>
      </c>
      <c r="I391" s="25">
        <f t="shared" si="19"/>
        <v>19.228083333335817</v>
      </c>
      <c r="J391" s="25">
        <f t="shared" si="20"/>
        <v>2.8148408239700373</v>
      </c>
      <c r="K391" s="17" t="s">
        <v>12</v>
      </c>
    </row>
    <row r="392" spans="1:11" ht="15.75" customHeight="1" x14ac:dyDescent="0.2">
      <c r="A392" s="15">
        <v>45195</v>
      </c>
      <c r="B392" s="3">
        <f>VLOOKUP(A392,'[1]BADI SID DATA'!A:B,2,0)</f>
        <v>179</v>
      </c>
      <c r="C392" s="4">
        <v>56553.89999999851</v>
      </c>
      <c r="D392" s="7">
        <v>5.87</v>
      </c>
      <c r="E392" s="23">
        <v>100</v>
      </c>
      <c r="F392" s="23">
        <v>100</v>
      </c>
      <c r="G392" s="16">
        <f>VLOOKUP(A392,'[1]DRDO Kolar Data'!$A:$E,5,0)*1000</f>
        <v>10200</v>
      </c>
      <c r="H392" s="24">
        <f t="shared" si="18"/>
        <v>1259053.8999999985</v>
      </c>
      <c r="I392" s="25">
        <f t="shared" si="19"/>
        <v>23.564124999999379</v>
      </c>
      <c r="J392" s="25">
        <f t="shared" si="20"/>
        <v>2.9307586126629386</v>
      </c>
      <c r="K392" s="17" t="s">
        <v>13</v>
      </c>
    </row>
    <row r="393" spans="1:11" ht="15.75" customHeight="1" x14ac:dyDescent="0.2">
      <c r="A393" s="15">
        <v>45196</v>
      </c>
      <c r="B393" s="3">
        <f>VLOOKUP(A393,'[1]BADI SID DATA'!A:B,2,0)</f>
        <v>180</v>
      </c>
      <c r="C393" s="4">
        <v>55898.69999999553</v>
      </c>
      <c r="D393" s="7">
        <v>5.37</v>
      </c>
      <c r="E393" s="23">
        <v>100</v>
      </c>
      <c r="F393" s="23">
        <v>100</v>
      </c>
      <c r="G393" s="16">
        <f>VLOOKUP(A393,'[1]DRDO Kolar Data'!$A:$E,5,0)*1000</f>
        <v>10800</v>
      </c>
      <c r="H393" s="24">
        <f t="shared" si="18"/>
        <v>1314952.599999994</v>
      </c>
      <c r="I393" s="25">
        <f t="shared" si="19"/>
        <v>23.291124999998136</v>
      </c>
      <c r="J393" s="25">
        <f t="shared" si="20"/>
        <v>3.0438717592592455</v>
      </c>
      <c r="K393" s="17" t="s">
        <v>27</v>
      </c>
    </row>
    <row r="394" spans="1:11" ht="15.75" customHeight="1" x14ac:dyDescent="0.2">
      <c r="A394" s="15">
        <v>45197</v>
      </c>
      <c r="B394" s="3">
        <f>VLOOKUP(A394,'[1]BADI SID DATA'!A:B,2,0)</f>
        <v>181</v>
      </c>
      <c r="C394" s="4">
        <v>46798.70000000298</v>
      </c>
      <c r="D394" s="6">
        <v>4.58</v>
      </c>
      <c r="E394" s="23">
        <v>100</v>
      </c>
      <c r="F394" s="23">
        <v>63.055555555555557</v>
      </c>
      <c r="G394" s="16">
        <f>VLOOKUP(A394,'[1]DRDO Kolar Data'!$A:$E,5,0)*1000</f>
        <v>10600</v>
      </c>
      <c r="H394" s="24">
        <f t="shared" si="18"/>
        <v>1361751.299999997</v>
      </c>
      <c r="I394" s="25">
        <f t="shared" si="19"/>
        <v>19.499458333334573</v>
      </c>
      <c r="J394" s="25">
        <f t="shared" si="20"/>
        <v>3.134786602209938</v>
      </c>
      <c r="K394" s="17" t="s">
        <v>11</v>
      </c>
    </row>
    <row r="395" spans="1:11" ht="15.75" customHeight="1" x14ac:dyDescent="0.2">
      <c r="A395" s="15">
        <v>45198</v>
      </c>
      <c r="B395" s="3">
        <f>VLOOKUP(A395,'[1]BADI SID DATA'!A:B,2,0)</f>
        <v>182</v>
      </c>
      <c r="C395" s="4">
        <v>47452.59999999404</v>
      </c>
      <c r="D395" s="6">
        <v>4.7</v>
      </c>
      <c r="E395" s="23">
        <v>100</v>
      </c>
      <c r="F395" s="23">
        <v>100</v>
      </c>
      <c r="G395" s="16">
        <f>VLOOKUP(A395,'[1]DRDO Kolar Data'!$A:$E,5,0)*1000</f>
        <v>10700</v>
      </c>
      <c r="H395" s="24">
        <f t="shared" si="18"/>
        <v>1409203.8999999911</v>
      </c>
      <c r="I395" s="25">
        <f t="shared" si="19"/>
        <v>19.771916666664183</v>
      </c>
      <c r="J395" s="25">
        <f t="shared" si="20"/>
        <v>3.2261994047618843</v>
      </c>
      <c r="K395" s="17" t="s">
        <v>11</v>
      </c>
    </row>
    <row r="396" spans="1:11" ht="15.75" customHeight="1" x14ac:dyDescent="0.2">
      <c r="A396" s="15">
        <v>45199</v>
      </c>
      <c r="B396" s="3">
        <f>VLOOKUP(A396,'[1]BADI SID DATA'!A:B,2,0)</f>
        <v>183</v>
      </c>
      <c r="C396" s="4">
        <v>41596.75</v>
      </c>
      <c r="D396" s="10">
        <v>3.91</v>
      </c>
      <c r="E396" s="23">
        <v>100</v>
      </c>
      <c r="F396" s="23">
        <v>100</v>
      </c>
      <c r="G396" s="16">
        <f>VLOOKUP(A396,'[1]DRDO Kolar Data'!$A:$E,5,0)*1000</f>
        <v>10900</v>
      </c>
      <c r="H396" s="24">
        <f t="shared" si="18"/>
        <v>1450800.6499999911</v>
      </c>
      <c r="I396" s="25">
        <f t="shared" si="19"/>
        <v>17.331979166666667</v>
      </c>
      <c r="J396" s="25">
        <f t="shared" si="20"/>
        <v>3.3032801684881403</v>
      </c>
      <c r="K396" s="17" t="s">
        <v>11</v>
      </c>
    </row>
    <row r="397" spans="1:11" ht="15.75" customHeight="1" x14ac:dyDescent="0.2">
      <c r="A397" s="15">
        <v>45200</v>
      </c>
      <c r="B397" s="3">
        <f>VLOOKUP(A397,'[1]BADI SID DATA'!A:B,2,0)</f>
        <v>184</v>
      </c>
      <c r="C397" s="4">
        <v>46801.95000000298</v>
      </c>
      <c r="D397" s="8">
        <v>4.72</v>
      </c>
      <c r="E397" s="23">
        <v>100</v>
      </c>
      <c r="F397" s="23">
        <v>100</v>
      </c>
      <c r="G397" s="16">
        <f>VLOOKUP(A397,'[1]DRDO Kolar Data'!$A:$E,5,0)*1000</f>
        <v>10700</v>
      </c>
      <c r="H397" s="24">
        <f t="shared" si="18"/>
        <v>1497602.599999994</v>
      </c>
      <c r="I397" s="25">
        <f t="shared" si="19"/>
        <v>19.500812500001242</v>
      </c>
      <c r="J397" s="25">
        <f t="shared" si="20"/>
        <v>3.3913102355072327</v>
      </c>
      <c r="K397" s="17" t="s">
        <v>11</v>
      </c>
    </row>
    <row r="398" spans="1:11" ht="15.75" customHeight="1" x14ac:dyDescent="0.2">
      <c r="A398" s="15">
        <v>45201</v>
      </c>
      <c r="B398" s="3">
        <f>VLOOKUP(A398,'[1]BADI SID DATA'!A:B,2,0)</f>
        <v>185</v>
      </c>
      <c r="C398" s="4">
        <v>62397.40000000596</v>
      </c>
      <c r="D398" s="5">
        <v>6.47</v>
      </c>
      <c r="E398" s="23">
        <v>100</v>
      </c>
      <c r="F398" s="23">
        <v>100</v>
      </c>
      <c r="G398" s="16">
        <f>VLOOKUP(A398,'[1]DRDO Kolar Data'!$A:$E,5,0)*1000</f>
        <v>10600</v>
      </c>
      <c r="H398" s="24">
        <f t="shared" si="18"/>
        <v>1560000</v>
      </c>
      <c r="I398" s="25">
        <f t="shared" si="19"/>
        <v>25.998916666669153</v>
      </c>
      <c r="J398" s="25">
        <f t="shared" si="20"/>
        <v>3.5135135135135136</v>
      </c>
      <c r="K398" s="17" t="s">
        <v>13</v>
      </c>
    </row>
    <row r="399" spans="1:11" ht="15.75" customHeight="1" x14ac:dyDescent="0.2">
      <c r="A399" s="15">
        <v>45202</v>
      </c>
      <c r="B399" s="3">
        <f>VLOOKUP(A399,'[1]BADI SID DATA'!A:B,2,0)</f>
        <v>186</v>
      </c>
      <c r="C399" s="4">
        <v>61751.29999999702</v>
      </c>
      <c r="D399" s="5">
        <v>6.29</v>
      </c>
      <c r="E399" s="23">
        <v>100</v>
      </c>
      <c r="F399" s="23">
        <v>100</v>
      </c>
      <c r="G399" s="16">
        <f>VLOOKUP(A399,'[1]DRDO Kolar Data'!$A:$E,5,0)*1000</f>
        <v>10800</v>
      </c>
      <c r="H399" s="24">
        <f t="shared" si="18"/>
        <v>1621751.299999997</v>
      </c>
      <c r="I399" s="25">
        <f t="shared" si="19"/>
        <v>25.729708333332091</v>
      </c>
      <c r="J399" s="25">
        <f t="shared" si="20"/>
        <v>3.6329554211469466</v>
      </c>
      <c r="K399" s="17" t="s">
        <v>13</v>
      </c>
    </row>
    <row r="400" spans="1:11" ht="15.75" customHeight="1" x14ac:dyDescent="0.2">
      <c r="A400" s="15">
        <v>45203</v>
      </c>
      <c r="B400" s="3">
        <f>VLOOKUP(A400,'[1]BADI SID DATA'!A:B,2,0)</f>
        <v>187</v>
      </c>
      <c r="C400" s="4">
        <v>47452.59999999404</v>
      </c>
      <c r="D400" s="8">
        <v>4.72</v>
      </c>
      <c r="E400" s="23">
        <v>100</v>
      </c>
      <c r="F400" s="23">
        <v>100</v>
      </c>
      <c r="G400" s="16">
        <f>VLOOKUP(A400,'[1]DRDO Kolar Data'!$A:$E,5,0)*1000</f>
        <v>10200</v>
      </c>
      <c r="H400" s="24">
        <f t="shared" si="18"/>
        <v>1669203.8999999911</v>
      </c>
      <c r="I400" s="25">
        <f t="shared" si="19"/>
        <v>19.771916666664183</v>
      </c>
      <c r="J400" s="25">
        <f t="shared" si="20"/>
        <v>3.7192600267379481</v>
      </c>
      <c r="K400" s="17" t="s">
        <v>11</v>
      </c>
    </row>
    <row r="401" spans="1:11" ht="15.75" customHeight="1" x14ac:dyDescent="0.2">
      <c r="A401" s="15">
        <v>45204</v>
      </c>
      <c r="B401" s="3">
        <f>VLOOKUP(A401,'[1]BADI SID DATA'!A:B,2,0)</f>
        <v>188</v>
      </c>
      <c r="C401" s="4">
        <v>47448.70000000298</v>
      </c>
      <c r="D401" s="5">
        <v>5.1100000000000003</v>
      </c>
      <c r="E401" s="23">
        <v>100</v>
      </c>
      <c r="F401" s="23">
        <v>97.916666666666657</v>
      </c>
      <c r="G401" s="16">
        <f>VLOOKUP(A401,'[1]DRDO Kolar Data'!$A:$E,5,0)*1000</f>
        <v>10500</v>
      </c>
      <c r="H401" s="24">
        <f t="shared" si="18"/>
        <v>1716652.599999994</v>
      </c>
      <c r="I401" s="25">
        <f t="shared" si="19"/>
        <v>19.770291666667909</v>
      </c>
      <c r="J401" s="25">
        <f t="shared" si="20"/>
        <v>3.8046378546099158</v>
      </c>
      <c r="K401" s="17" t="s">
        <v>11</v>
      </c>
    </row>
    <row r="402" spans="1:11" ht="15.75" customHeight="1" x14ac:dyDescent="0.2">
      <c r="A402" s="15">
        <v>45205</v>
      </c>
      <c r="B402" s="3">
        <f>VLOOKUP(A402,'[1]BADI SID DATA'!A:B,2,0)</f>
        <v>189</v>
      </c>
      <c r="C402" s="4">
        <v>40950</v>
      </c>
      <c r="D402" s="5">
        <v>3.89</v>
      </c>
      <c r="E402" s="23">
        <v>100</v>
      </c>
      <c r="F402" s="23">
        <v>100</v>
      </c>
      <c r="G402" s="16">
        <f>VLOOKUP(A402,'[1]DRDO Kolar Data'!$A:$E,5,0)*1000</f>
        <v>10300</v>
      </c>
      <c r="H402" s="24">
        <f t="shared" si="18"/>
        <v>1757602.599999994</v>
      </c>
      <c r="I402" s="25">
        <f t="shared" si="19"/>
        <v>17.0625</v>
      </c>
      <c r="J402" s="25">
        <f t="shared" si="20"/>
        <v>3.8747852733685937</v>
      </c>
      <c r="K402" s="17" t="s">
        <v>15</v>
      </c>
    </row>
    <row r="403" spans="1:11" ht="15.75" customHeight="1" x14ac:dyDescent="0.2">
      <c r="A403" s="15">
        <v>45206</v>
      </c>
      <c r="B403" s="3">
        <f>VLOOKUP(A403,'[1]BADI SID DATA'!A:B,2,0)</f>
        <v>190</v>
      </c>
      <c r="C403" s="4">
        <v>48099.35000000149</v>
      </c>
      <c r="D403" s="5">
        <v>4.78</v>
      </c>
      <c r="E403" s="23">
        <v>100</v>
      </c>
      <c r="F403" s="23">
        <v>100</v>
      </c>
      <c r="G403" s="16">
        <f>VLOOKUP(A403,'[1]DRDO Kolar Data'!$A:$E,5,0)*1000</f>
        <v>10100</v>
      </c>
      <c r="H403" s="24">
        <f t="shared" si="18"/>
        <v>1805701.9499999955</v>
      </c>
      <c r="I403" s="25">
        <f t="shared" si="19"/>
        <v>20.041395833333954</v>
      </c>
      <c r="J403" s="25">
        <f t="shared" si="20"/>
        <v>3.9598726973684113</v>
      </c>
      <c r="K403" s="17" t="s">
        <v>11</v>
      </c>
    </row>
    <row r="404" spans="1:11" ht="15.75" customHeight="1" x14ac:dyDescent="0.2">
      <c r="A404" s="15">
        <v>45207</v>
      </c>
      <c r="B404" s="3">
        <f>VLOOKUP(A404,'[1]BADI SID DATA'!A:B,2,0)</f>
        <v>191</v>
      </c>
      <c r="C404" s="4">
        <v>650.64999999850988</v>
      </c>
      <c r="D404" s="5">
        <v>6.47</v>
      </c>
      <c r="E404" s="26">
        <v>100</v>
      </c>
      <c r="F404" s="26">
        <v>49.097222222222221</v>
      </c>
      <c r="G404" s="16">
        <f>VLOOKUP(A404,'[1]DRDO Kolar Data'!$A:$E,5,0)*1000</f>
        <v>4500</v>
      </c>
      <c r="H404" s="24">
        <f t="shared" si="18"/>
        <v>1806352.599999994</v>
      </c>
      <c r="I404" s="25">
        <f t="shared" si="19"/>
        <v>0.27110416666604575</v>
      </c>
      <c r="J404" s="25">
        <f t="shared" si="20"/>
        <v>3.9405597731238964</v>
      </c>
      <c r="K404" s="18" t="s">
        <v>30</v>
      </c>
    </row>
    <row r="405" spans="1:11" ht="15.75" customHeight="1" x14ac:dyDescent="0.2">
      <c r="A405" s="15">
        <v>45208</v>
      </c>
      <c r="B405" s="3">
        <f>VLOOKUP(A405,'[1]BADI SID DATA'!A:B,2,0)</f>
        <v>192</v>
      </c>
      <c r="C405" s="4">
        <v>45500.65000000596</v>
      </c>
      <c r="D405" s="6">
        <v>4.6399999999999997</v>
      </c>
      <c r="E405" s="23">
        <v>100</v>
      </c>
      <c r="F405" s="23">
        <v>92.361111111111114</v>
      </c>
      <c r="G405" s="16">
        <f>VLOOKUP(A405,'[1]DRDO Kolar Data'!$A:$E,5,0)*1000</f>
        <v>10000</v>
      </c>
      <c r="H405" s="24">
        <f t="shared" si="18"/>
        <v>1851853.25</v>
      </c>
      <c r="I405" s="25">
        <f t="shared" si="19"/>
        <v>18.958604166669151</v>
      </c>
      <c r="J405" s="25">
        <f t="shared" si="20"/>
        <v>4.0187787543402775</v>
      </c>
      <c r="K405" s="17" t="s">
        <v>12</v>
      </c>
    </row>
    <row r="406" spans="1:11" ht="15.75" customHeight="1" x14ac:dyDescent="0.2">
      <c r="A406" s="15">
        <v>45209</v>
      </c>
      <c r="B406" s="3">
        <f>VLOOKUP(A406,'[1]BADI SID DATA'!A:B,2,0)</f>
        <v>193</v>
      </c>
      <c r="C406" s="4">
        <v>40300</v>
      </c>
      <c r="D406" s="7">
        <v>3.94</v>
      </c>
      <c r="E406" s="23">
        <v>100</v>
      </c>
      <c r="F406" s="23">
        <v>100</v>
      </c>
      <c r="G406" s="16">
        <f>VLOOKUP(A406,'[1]DRDO Kolar Data'!$A:$E,5,0)*1000</f>
        <v>10200</v>
      </c>
      <c r="H406" s="24">
        <f t="shared" si="18"/>
        <v>1892153.25</v>
      </c>
      <c r="I406" s="25">
        <f t="shared" si="19"/>
        <v>16.791666666666664</v>
      </c>
      <c r="J406" s="25">
        <f t="shared" si="20"/>
        <v>4.0849595207253886</v>
      </c>
      <c r="K406" s="17" t="s">
        <v>12</v>
      </c>
    </row>
    <row r="407" spans="1:11" ht="15.75" customHeight="1" x14ac:dyDescent="0.2">
      <c r="A407" s="15">
        <v>45210</v>
      </c>
      <c r="B407" s="3">
        <f>VLOOKUP(A407,'[1]BADI SID DATA'!A:B,2,0)</f>
        <v>194</v>
      </c>
      <c r="C407" s="4">
        <v>40299.34999999404</v>
      </c>
      <c r="D407" s="6">
        <v>3.98</v>
      </c>
      <c r="E407" s="23">
        <v>100</v>
      </c>
      <c r="F407" s="23">
        <v>100</v>
      </c>
      <c r="G407" s="16">
        <f>VLOOKUP(A407,'[1]DRDO Kolar Data'!$A:$E,5,0)*1000</f>
        <v>9900</v>
      </c>
      <c r="H407" s="24">
        <f t="shared" ref="H407:H470" si="21">C407+H406</f>
        <v>1932452.599999994</v>
      </c>
      <c r="I407" s="25">
        <f t="shared" si="19"/>
        <v>16.791395833330849</v>
      </c>
      <c r="J407" s="25">
        <f t="shared" si="20"/>
        <v>4.1504566151202615</v>
      </c>
      <c r="K407" s="17" t="s">
        <v>12</v>
      </c>
    </row>
    <row r="408" spans="1:11" ht="15.75" customHeight="1" x14ac:dyDescent="0.2">
      <c r="A408" s="15">
        <v>45211</v>
      </c>
      <c r="B408" s="3">
        <f>VLOOKUP(A408,'[1]BADI SID DATA'!A:B,2,0)</f>
        <v>195</v>
      </c>
      <c r="C408" s="4">
        <v>52650</v>
      </c>
      <c r="D408" s="6">
        <v>5.37</v>
      </c>
      <c r="E408" s="23">
        <v>100</v>
      </c>
      <c r="F408" s="23">
        <v>100</v>
      </c>
      <c r="G408" s="16">
        <f>VLOOKUP(A408,'[1]DRDO Kolar Data'!$A:$E,5,0)*1000</f>
        <v>10300</v>
      </c>
      <c r="H408" s="24">
        <f t="shared" si="21"/>
        <v>1985102.599999994</v>
      </c>
      <c r="I408" s="25">
        <f t="shared" si="19"/>
        <v>21.9375</v>
      </c>
      <c r="J408" s="25">
        <f t="shared" si="20"/>
        <v>4.241672222222209</v>
      </c>
      <c r="K408" s="17" t="s">
        <v>11</v>
      </c>
    </row>
    <row r="409" spans="1:11" ht="15.75" customHeight="1" x14ac:dyDescent="0.2">
      <c r="A409" s="15">
        <v>45212</v>
      </c>
      <c r="B409" s="3">
        <f>VLOOKUP(A409,'[1]BADI SID DATA'!A:B,2,0)</f>
        <v>196</v>
      </c>
      <c r="C409" s="4">
        <v>68900</v>
      </c>
      <c r="D409" s="6">
        <v>6.8</v>
      </c>
      <c r="E409" s="23">
        <v>100</v>
      </c>
      <c r="F409" s="23">
        <v>100</v>
      </c>
      <c r="G409" s="16">
        <f>VLOOKUP(A409,'[1]DRDO Kolar Data'!$A:$E,5,0)*1000</f>
        <v>10400</v>
      </c>
      <c r="H409" s="24">
        <f t="shared" si="21"/>
        <v>2054002.599999994</v>
      </c>
      <c r="I409" s="25">
        <f t="shared" si="19"/>
        <v>28.708333333333336</v>
      </c>
      <c r="J409" s="25">
        <f t="shared" si="20"/>
        <v>4.3665021258503272</v>
      </c>
      <c r="K409" s="17" t="s">
        <v>24</v>
      </c>
    </row>
    <row r="410" spans="1:11" ht="15.75" customHeight="1" x14ac:dyDescent="0.2">
      <c r="A410" s="15">
        <v>45213</v>
      </c>
      <c r="B410" s="3">
        <f>VLOOKUP(A410,'[1]BADI SID DATA'!A:B,2,0)</f>
        <v>197</v>
      </c>
      <c r="C410" s="4">
        <v>55248.70000000298</v>
      </c>
      <c r="D410" s="6">
        <v>5.78</v>
      </c>
      <c r="E410" s="23">
        <v>100</v>
      </c>
      <c r="F410" s="23">
        <v>100</v>
      </c>
      <c r="G410" s="16">
        <f>VLOOKUP(A410,'[1]DRDO Kolar Data'!$A:$E,5,0)*1000</f>
        <v>10500</v>
      </c>
      <c r="H410" s="24">
        <f t="shared" si="21"/>
        <v>2109251.299999997</v>
      </c>
      <c r="I410" s="25">
        <f t="shared" si="19"/>
        <v>23.020291666667909</v>
      </c>
      <c r="J410" s="25">
        <f t="shared" si="20"/>
        <v>4.461191412859554</v>
      </c>
      <c r="K410" s="17" t="s">
        <v>13</v>
      </c>
    </row>
    <row r="411" spans="1:11" ht="15.75" customHeight="1" x14ac:dyDescent="0.2">
      <c r="A411" s="15">
        <v>45214</v>
      </c>
      <c r="B411" s="3">
        <f>VLOOKUP(A411,'[1]BADI SID DATA'!A:B,2,0)</f>
        <v>198</v>
      </c>
      <c r="C411" s="4">
        <v>64349.34999999404</v>
      </c>
      <c r="D411" s="7">
        <v>6.56</v>
      </c>
      <c r="E411" s="23">
        <v>100</v>
      </c>
      <c r="F411" s="23">
        <v>100</v>
      </c>
      <c r="G411" s="16">
        <f>VLOOKUP(A411,'[1]DRDO Kolar Data'!$A:$E,5,0)*1000</f>
        <v>9900</v>
      </c>
      <c r="H411" s="24">
        <f t="shared" si="21"/>
        <v>2173600.6499999911</v>
      </c>
      <c r="I411" s="25">
        <f t="shared" si="19"/>
        <v>26.812229166664181</v>
      </c>
      <c r="J411" s="25">
        <f t="shared" si="20"/>
        <v>4.5740754419191729</v>
      </c>
      <c r="K411" s="17" t="s">
        <v>13</v>
      </c>
    </row>
    <row r="412" spans="1:11" ht="15.75" customHeight="1" x14ac:dyDescent="0.2">
      <c r="A412" s="15">
        <v>45215</v>
      </c>
      <c r="B412" s="3">
        <f>VLOOKUP(A412,'[1]BADI SID DATA'!A:B,2,0)</f>
        <v>199</v>
      </c>
      <c r="C412" s="4">
        <v>47452.60000000149</v>
      </c>
      <c r="D412" s="6">
        <v>4.82</v>
      </c>
      <c r="E412" s="23">
        <v>100</v>
      </c>
      <c r="F412" s="23">
        <v>100</v>
      </c>
      <c r="G412" s="16">
        <f>VLOOKUP(A412,'[1]DRDO Kolar Data'!$A:$E,5,0)*1000</f>
        <v>10100</v>
      </c>
      <c r="H412" s="24">
        <f t="shared" si="21"/>
        <v>2221053.2499999925</v>
      </c>
      <c r="I412" s="25">
        <f t="shared" si="19"/>
        <v>19.771916666667288</v>
      </c>
      <c r="J412" s="25">
        <f t="shared" si="20"/>
        <v>4.6504465033500679</v>
      </c>
      <c r="K412" s="17" t="s">
        <v>11</v>
      </c>
    </row>
    <row r="413" spans="1:11" ht="15.75" customHeight="1" x14ac:dyDescent="0.2">
      <c r="A413" s="15">
        <v>45216</v>
      </c>
      <c r="B413" s="3">
        <f>VLOOKUP(A413,'[1]BADI SID DATA'!A:B,2,0)</f>
        <v>200</v>
      </c>
      <c r="C413" s="4">
        <v>55898.70000000298</v>
      </c>
      <c r="D413" s="6">
        <v>5.52</v>
      </c>
      <c r="E413" s="23">
        <v>100</v>
      </c>
      <c r="F413" s="23">
        <v>100</v>
      </c>
      <c r="G413" s="16">
        <f>VLOOKUP(A413,'[1]DRDO Kolar Data'!$A:$E,5,0)*1000</f>
        <v>9900</v>
      </c>
      <c r="H413" s="24">
        <f t="shared" si="21"/>
        <v>2276951.9499999955</v>
      </c>
      <c r="I413" s="25">
        <f t="shared" si="19"/>
        <v>23.291125000001241</v>
      </c>
      <c r="J413" s="25">
        <f t="shared" si="20"/>
        <v>4.7436498958333235</v>
      </c>
      <c r="K413" s="17" t="s">
        <v>13</v>
      </c>
    </row>
    <row r="414" spans="1:11" ht="15.75" customHeight="1" x14ac:dyDescent="0.2">
      <c r="A414" s="15">
        <v>45217</v>
      </c>
      <c r="B414" s="3">
        <f>VLOOKUP(A414,'[1]BADI SID DATA'!A:B,2,0)</f>
        <v>201</v>
      </c>
      <c r="C414" s="4">
        <v>60450</v>
      </c>
      <c r="D414" s="6">
        <v>6.01</v>
      </c>
      <c r="E414" s="23">
        <v>100</v>
      </c>
      <c r="F414" s="23">
        <v>100</v>
      </c>
      <c r="G414" s="16">
        <f>VLOOKUP(A414,'[1]DRDO Kolar Data'!$A:$E,5,0)*1000</f>
        <v>10200</v>
      </c>
      <c r="H414" s="24">
        <f t="shared" si="21"/>
        <v>2337401.9499999955</v>
      </c>
      <c r="I414" s="25">
        <f t="shared" si="19"/>
        <v>25.1875</v>
      </c>
      <c r="J414" s="25">
        <f t="shared" si="20"/>
        <v>4.8453605928689791</v>
      </c>
      <c r="K414" s="17" t="s">
        <v>13</v>
      </c>
    </row>
    <row r="415" spans="1:11" ht="15.75" customHeight="1" x14ac:dyDescent="0.2">
      <c r="A415" s="15">
        <v>45218</v>
      </c>
      <c r="B415" s="3">
        <f>VLOOKUP(A415,'[1]BADI SID DATA'!A:B,2,0)</f>
        <v>202</v>
      </c>
      <c r="C415" s="4">
        <v>58501.30000000447</v>
      </c>
      <c r="D415" s="6">
        <v>5.74</v>
      </c>
      <c r="E415" s="23">
        <v>100</v>
      </c>
      <c r="F415" s="23">
        <v>100</v>
      </c>
      <c r="G415" s="16">
        <f>VLOOKUP(A415,'[1]DRDO Kolar Data'!$A:$E,5,0)*1000</f>
        <v>10100</v>
      </c>
      <c r="H415" s="24">
        <f t="shared" si="21"/>
        <v>2395903.25</v>
      </c>
      <c r="I415" s="25">
        <f t="shared" si="19"/>
        <v>24.375541666668529</v>
      </c>
      <c r="J415" s="25">
        <f t="shared" si="20"/>
        <v>4.9420446575907588</v>
      </c>
      <c r="K415" s="17" t="s">
        <v>13</v>
      </c>
    </row>
    <row r="416" spans="1:11" ht="15.75" customHeight="1" x14ac:dyDescent="0.2">
      <c r="A416" s="15">
        <v>45219</v>
      </c>
      <c r="B416" s="3">
        <f>VLOOKUP(A416,'[1]BADI SID DATA'!A:B,2,0)</f>
        <v>203</v>
      </c>
      <c r="C416" s="4">
        <v>59148.04999999702</v>
      </c>
      <c r="D416" s="7">
        <v>5.82</v>
      </c>
      <c r="E416" s="23">
        <v>100</v>
      </c>
      <c r="F416" s="23">
        <v>100</v>
      </c>
      <c r="G416" s="16">
        <f>VLOOKUP(A416,'[1]DRDO Kolar Data'!$A:$E,5,0)*1000</f>
        <v>10000</v>
      </c>
      <c r="H416" s="24">
        <f t="shared" si="21"/>
        <v>2455051.299999997</v>
      </c>
      <c r="I416" s="25">
        <f t="shared" si="19"/>
        <v>24.64502083333209</v>
      </c>
      <c r="J416" s="25">
        <f t="shared" si="20"/>
        <v>5.0391036535303719</v>
      </c>
      <c r="K416" s="17" t="s">
        <v>13</v>
      </c>
    </row>
    <row r="417" spans="1:11" ht="15.75" customHeight="1" x14ac:dyDescent="0.2">
      <c r="A417" s="15">
        <v>45220</v>
      </c>
      <c r="B417" s="3">
        <f>VLOOKUP(A417,'[1]BADI SID DATA'!A:B,2,0)</f>
        <v>204</v>
      </c>
      <c r="C417" s="4">
        <v>54601.95000000298</v>
      </c>
      <c r="D417" s="6">
        <v>5.4</v>
      </c>
      <c r="E417" s="23">
        <v>100</v>
      </c>
      <c r="F417" s="23">
        <v>90.208333333333329</v>
      </c>
      <c r="G417" s="16">
        <f>VLOOKUP(A417,'[1]DRDO Kolar Data'!$A:$E,5,0)*1000</f>
        <v>10500</v>
      </c>
      <c r="H417" s="24">
        <f t="shared" si="21"/>
        <v>2509653.25</v>
      </c>
      <c r="I417" s="25">
        <f t="shared" si="19"/>
        <v>22.750812500001242</v>
      </c>
      <c r="J417" s="25">
        <f t="shared" si="20"/>
        <v>5.1259257557189537</v>
      </c>
      <c r="K417" s="17" t="s">
        <v>11</v>
      </c>
    </row>
    <row r="418" spans="1:11" ht="15.75" customHeight="1" x14ac:dyDescent="0.2">
      <c r="A418" s="15">
        <v>45221</v>
      </c>
      <c r="B418" s="3">
        <f>VLOOKUP(A418,'[1]BADI SID DATA'!A:B,2,0)</f>
        <v>205</v>
      </c>
      <c r="C418" s="4">
        <v>60449.34999999404</v>
      </c>
      <c r="D418" s="6">
        <v>6.02</v>
      </c>
      <c r="E418" s="23">
        <v>100</v>
      </c>
      <c r="F418" s="23">
        <v>89.513888888888886</v>
      </c>
      <c r="G418" s="16">
        <f>VLOOKUP(A418,'[1]DRDO Kolar Data'!$A:$E,5,0)*1000</f>
        <v>10400</v>
      </c>
      <c r="H418" s="24">
        <f t="shared" si="21"/>
        <v>2570102.599999994</v>
      </c>
      <c r="I418" s="25">
        <f t="shared" si="19"/>
        <v>25.187229166664181</v>
      </c>
      <c r="J418" s="25">
        <f t="shared" si="20"/>
        <v>5.2237857723577115</v>
      </c>
      <c r="K418" s="17" t="s">
        <v>13</v>
      </c>
    </row>
    <row r="419" spans="1:11" ht="15.75" customHeight="1" x14ac:dyDescent="0.2">
      <c r="A419" s="15">
        <v>45222</v>
      </c>
      <c r="B419" s="3">
        <f>VLOOKUP(A419,'[1]BADI SID DATA'!A:B,2,0)</f>
        <v>206</v>
      </c>
      <c r="C419" s="4">
        <v>65650.64999999851</v>
      </c>
      <c r="D419" s="6">
        <v>6.48</v>
      </c>
      <c r="E419" s="23">
        <v>100</v>
      </c>
      <c r="F419" s="23">
        <v>100</v>
      </c>
      <c r="G419" s="16">
        <f>VLOOKUP(A419,'[1]DRDO Kolar Data'!$A:$E,5,0)*1000</f>
        <v>10100</v>
      </c>
      <c r="H419" s="24">
        <f t="shared" si="21"/>
        <v>2635753.2499999925</v>
      </c>
      <c r="I419" s="25">
        <f t="shared" si="19"/>
        <v>27.354437499999378</v>
      </c>
      <c r="J419" s="25">
        <f t="shared" si="20"/>
        <v>5.3312161205501463</v>
      </c>
      <c r="K419" s="17" t="s">
        <v>24</v>
      </c>
    </row>
    <row r="420" spans="1:11" ht="15.75" customHeight="1" x14ac:dyDescent="0.2">
      <c r="A420" s="15">
        <v>45223</v>
      </c>
      <c r="B420" s="3">
        <f>VLOOKUP(A420,'[1]BADI SID DATA'!A:B,2,0)</f>
        <v>207</v>
      </c>
      <c r="C420" s="4">
        <v>66948.05000000447</v>
      </c>
      <c r="D420" s="6">
        <v>6.66</v>
      </c>
      <c r="E420" s="23">
        <v>100</v>
      </c>
      <c r="F420" s="23">
        <v>100</v>
      </c>
      <c r="G420" s="16">
        <f>VLOOKUP(A420,'[1]DRDO Kolar Data'!$A:$E,5,0)*1000</f>
        <v>10500</v>
      </c>
      <c r="H420" s="24">
        <f t="shared" si="21"/>
        <v>2702701.299999997</v>
      </c>
      <c r="I420" s="25">
        <f t="shared" si="19"/>
        <v>27.895020833335195</v>
      </c>
      <c r="J420" s="25">
        <f t="shared" si="20"/>
        <v>5.4402200080515239</v>
      </c>
      <c r="K420" s="17" t="s">
        <v>24</v>
      </c>
    </row>
    <row r="421" spans="1:11" ht="15.75" customHeight="1" x14ac:dyDescent="0.2">
      <c r="A421" s="15">
        <v>45224</v>
      </c>
      <c r="B421" s="3">
        <f>VLOOKUP(A421,'[1]BADI SID DATA'!A:B,2,0)</f>
        <v>208</v>
      </c>
      <c r="C421" s="4">
        <v>65650.64999999851</v>
      </c>
      <c r="D421" s="6">
        <v>6.64</v>
      </c>
      <c r="E421" s="23">
        <v>100</v>
      </c>
      <c r="F421" s="23">
        <v>100</v>
      </c>
      <c r="G421" s="16">
        <f>VLOOKUP(A421,'[1]DRDO Kolar Data'!$A:$E,5,0)*1000</f>
        <v>10500</v>
      </c>
      <c r="H421" s="24">
        <f t="shared" si="21"/>
        <v>2768351.9499999955</v>
      </c>
      <c r="I421" s="25">
        <f t="shared" si="19"/>
        <v>27.354437499999378</v>
      </c>
      <c r="J421" s="25">
        <f t="shared" si="20"/>
        <v>5.545576822916658</v>
      </c>
      <c r="K421" s="17" t="s">
        <v>24</v>
      </c>
    </row>
    <row r="422" spans="1:11" ht="15.75" customHeight="1" x14ac:dyDescent="0.2">
      <c r="A422" s="15">
        <v>45225</v>
      </c>
      <c r="B422" s="3">
        <f>VLOOKUP(A422,'[1]BADI SID DATA'!A:B,2,0)</f>
        <v>209</v>
      </c>
      <c r="C422" s="4">
        <v>58501.30000000447</v>
      </c>
      <c r="D422" s="7">
        <v>5.79</v>
      </c>
      <c r="E422" s="23">
        <v>100</v>
      </c>
      <c r="F422" s="23">
        <v>100</v>
      </c>
      <c r="G422" s="16">
        <f>VLOOKUP(A422,'[1]DRDO Kolar Data'!$A:$E,5,0)*1000</f>
        <v>9900</v>
      </c>
      <c r="H422" s="24">
        <f t="shared" si="21"/>
        <v>2826853.25</v>
      </c>
      <c r="I422" s="25">
        <f t="shared" si="19"/>
        <v>24.375541666668529</v>
      </c>
      <c r="J422" s="25">
        <f t="shared" si="20"/>
        <v>5.6356723484848485</v>
      </c>
      <c r="K422" s="17" t="s">
        <v>13</v>
      </c>
    </row>
    <row r="423" spans="1:11" ht="15.75" customHeight="1" x14ac:dyDescent="0.2">
      <c r="A423" s="15">
        <v>45226</v>
      </c>
      <c r="B423" s="3">
        <f>VLOOKUP(A423,'[1]BADI SID DATA'!A:B,2,0)</f>
        <v>210</v>
      </c>
      <c r="C423" s="4">
        <v>60449.999999992549</v>
      </c>
      <c r="D423" s="7">
        <v>5.93</v>
      </c>
      <c r="E423" s="23">
        <v>100</v>
      </c>
      <c r="F423" s="23">
        <v>100</v>
      </c>
      <c r="G423" s="16">
        <f>VLOOKUP(A423,'[1]DRDO Kolar Data'!$A:$E,5,0)*1000</f>
        <v>10400</v>
      </c>
      <c r="H423" s="24">
        <f t="shared" si="21"/>
        <v>2887303.2499999925</v>
      </c>
      <c r="I423" s="25">
        <f t="shared" si="19"/>
        <v>25.187499999996891</v>
      </c>
      <c r="J423" s="25">
        <f t="shared" si="20"/>
        <v>5.7287762896825249</v>
      </c>
      <c r="K423" s="17" t="s">
        <v>13</v>
      </c>
    </row>
    <row r="424" spans="1:11" ht="15.75" customHeight="1" x14ac:dyDescent="0.2">
      <c r="A424" s="15">
        <v>45227</v>
      </c>
      <c r="B424" s="3">
        <f>VLOOKUP(A424,'[1]BADI SID DATA'!A:B,2,0)</f>
        <v>211</v>
      </c>
      <c r="C424" s="4">
        <v>46798.05000000447</v>
      </c>
      <c r="D424" s="6">
        <v>4.7</v>
      </c>
      <c r="E424" s="23">
        <v>100</v>
      </c>
      <c r="F424" s="23">
        <v>100</v>
      </c>
      <c r="G424" s="16">
        <f>VLOOKUP(A424,'[1]DRDO Kolar Data'!$A:$E,5,0)*1000</f>
        <v>10500</v>
      </c>
      <c r="H424" s="24">
        <f t="shared" si="21"/>
        <v>2934101.299999997</v>
      </c>
      <c r="I424" s="25">
        <f t="shared" si="19"/>
        <v>19.499187500001863</v>
      </c>
      <c r="J424" s="25">
        <f t="shared" si="20"/>
        <v>5.7940389020537069</v>
      </c>
      <c r="K424" s="17" t="s">
        <v>11</v>
      </c>
    </row>
    <row r="425" spans="1:11" ht="15.75" customHeight="1" x14ac:dyDescent="0.2">
      <c r="A425" s="15">
        <v>45228</v>
      </c>
      <c r="B425" s="3">
        <f>VLOOKUP(A425,'[1]BADI SID DATA'!A:B,2,0)</f>
        <v>212</v>
      </c>
      <c r="C425" s="4">
        <v>53300.64999999851</v>
      </c>
      <c r="D425" s="6">
        <v>5.27</v>
      </c>
      <c r="E425" s="23">
        <v>100</v>
      </c>
      <c r="F425" s="23">
        <v>100</v>
      </c>
      <c r="G425" s="16">
        <f>VLOOKUP(A425,'[1]DRDO Kolar Data'!$A:$E,5,0)*1000</f>
        <v>10500</v>
      </c>
      <c r="H425" s="24">
        <f t="shared" si="21"/>
        <v>2987401.9499999955</v>
      </c>
      <c r="I425" s="25">
        <f t="shared" si="19"/>
        <v>22.208604166666046</v>
      </c>
      <c r="J425" s="25">
        <f t="shared" si="20"/>
        <v>5.8714660966981045</v>
      </c>
      <c r="K425" s="17" t="s">
        <v>11</v>
      </c>
    </row>
    <row r="426" spans="1:11" ht="15.75" customHeight="1" x14ac:dyDescent="0.2">
      <c r="A426" s="15">
        <v>45229</v>
      </c>
      <c r="B426" s="3">
        <f>VLOOKUP(A426,'[1]BADI SID DATA'!A:B,2,0)</f>
        <v>213</v>
      </c>
      <c r="C426" s="4">
        <v>42901.95000000298</v>
      </c>
      <c r="D426" s="6">
        <v>4.26</v>
      </c>
      <c r="E426" s="23">
        <v>100</v>
      </c>
      <c r="F426" s="23">
        <v>100</v>
      </c>
      <c r="G426" s="16">
        <f>VLOOKUP(A426,'[1]DRDO Kolar Data'!$A:$E,5,0)*1000</f>
        <v>10000</v>
      </c>
      <c r="H426" s="24">
        <f t="shared" si="21"/>
        <v>3030303.8999999985</v>
      </c>
      <c r="I426" s="25">
        <f t="shared" si="19"/>
        <v>17.875812500001242</v>
      </c>
      <c r="J426" s="25">
        <f t="shared" si="20"/>
        <v>5.9278245305164292</v>
      </c>
      <c r="K426" s="17" t="s">
        <v>11</v>
      </c>
    </row>
    <row r="427" spans="1:11" ht="15.75" customHeight="1" x14ac:dyDescent="0.2">
      <c r="A427" s="15">
        <v>45230</v>
      </c>
      <c r="B427" s="3">
        <f>VLOOKUP(A427,'[1]BADI SID DATA'!A:B,2,0)</f>
        <v>214</v>
      </c>
      <c r="C427" s="4">
        <v>40946.10000000149</v>
      </c>
      <c r="D427" s="10">
        <v>3.89</v>
      </c>
      <c r="E427" s="23">
        <v>100</v>
      </c>
      <c r="F427" s="23">
        <v>91.944444444444443</v>
      </c>
      <c r="G427" s="16">
        <f>VLOOKUP(A427,'[1]DRDO Kolar Data'!$A:$E,5,0)*1000</f>
        <v>8100</v>
      </c>
      <c r="H427" s="24">
        <f t="shared" si="21"/>
        <v>3071250</v>
      </c>
      <c r="I427" s="25">
        <f t="shared" si="19"/>
        <v>17.060875000000621</v>
      </c>
      <c r="J427" s="25">
        <f t="shared" si="20"/>
        <v>5.9798481308411215</v>
      </c>
      <c r="K427" s="17" t="s">
        <v>11</v>
      </c>
    </row>
    <row r="428" spans="1:11" ht="15.75" customHeight="1" x14ac:dyDescent="0.2">
      <c r="A428" s="15">
        <v>45231</v>
      </c>
      <c r="B428" s="3">
        <f>VLOOKUP(A428,'[1]BADI SID DATA'!A:B,2,0)</f>
        <v>215</v>
      </c>
      <c r="C428" s="4">
        <v>46151.94999999553</v>
      </c>
      <c r="D428" s="8">
        <v>4.4400000000000004</v>
      </c>
      <c r="E428" s="23">
        <v>100</v>
      </c>
      <c r="F428" s="23">
        <v>100</v>
      </c>
      <c r="G428" s="16">
        <f>VLOOKUP(A428,'[1]DRDO Kolar Data'!$A:$E,5,0)*1000</f>
        <v>10300</v>
      </c>
      <c r="H428" s="24">
        <f t="shared" si="21"/>
        <v>3117401.9499999955</v>
      </c>
      <c r="I428" s="25">
        <f t="shared" si="19"/>
        <v>19.229979166664805</v>
      </c>
      <c r="J428" s="25">
        <f t="shared" si="20"/>
        <v>6.0414766472868129</v>
      </c>
      <c r="K428" s="17" t="s">
        <v>11</v>
      </c>
    </row>
    <row r="429" spans="1:11" ht="15.75" customHeight="1" x14ac:dyDescent="0.2">
      <c r="A429" s="15">
        <v>45232</v>
      </c>
      <c r="B429" s="3">
        <f>VLOOKUP(A429,'[1]BADI SID DATA'!A:B,2,0)</f>
        <v>216</v>
      </c>
      <c r="C429" s="4">
        <v>38351.29999999702</v>
      </c>
      <c r="D429" s="5">
        <v>3.71</v>
      </c>
      <c r="E429" s="23">
        <v>100</v>
      </c>
      <c r="F429" s="23">
        <v>100</v>
      </c>
      <c r="G429" s="16">
        <f>VLOOKUP(A429,'[1]DRDO Kolar Data'!$A:$E,5,0)*1000</f>
        <v>9900</v>
      </c>
      <c r="H429" s="24">
        <f t="shared" si="21"/>
        <v>3155753.2499999925</v>
      </c>
      <c r="I429" s="25">
        <f t="shared" si="19"/>
        <v>15.979708333332091</v>
      </c>
      <c r="J429" s="25">
        <f t="shared" si="20"/>
        <v>6.0874869791666519</v>
      </c>
      <c r="K429" s="17" t="s">
        <v>10</v>
      </c>
    </row>
    <row r="430" spans="1:11" ht="15.75" customHeight="1" x14ac:dyDescent="0.2">
      <c r="A430" s="15">
        <v>45233</v>
      </c>
      <c r="B430" s="3">
        <f>VLOOKUP(A430,'[1]BADI SID DATA'!A:B,2,0)</f>
        <v>217</v>
      </c>
      <c r="C430" s="4">
        <v>44199.35000000149</v>
      </c>
      <c r="D430" s="5">
        <v>4.13</v>
      </c>
      <c r="E430" s="23">
        <v>100</v>
      </c>
      <c r="F430" s="23">
        <v>100</v>
      </c>
      <c r="G430" s="16">
        <f>VLOOKUP(A430,'[1]DRDO Kolar Data'!$A:$E,5,0)*1000</f>
        <v>10400</v>
      </c>
      <c r="H430" s="24">
        <f t="shared" si="21"/>
        <v>3199952.599999994</v>
      </c>
      <c r="I430" s="25">
        <f t="shared" si="19"/>
        <v>18.416395833333954</v>
      </c>
      <c r="J430" s="25">
        <f t="shared" si="20"/>
        <v>6.1443022273425383</v>
      </c>
      <c r="K430" s="17" t="s">
        <v>10</v>
      </c>
    </row>
    <row r="431" spans="1:11" ht="15.75" customHeight="1" x14ac:dyDescent="0.2">
      <c r="A431" s="15">
        <v>45234</v>
      </c>
      <c r="B431" s="3">
        <f>VLOOKUP(A431,'[1]BADI SID DATA'!A:B,2,0)</f>
        <v>218</v>
      </c>
      <c r="C431" s="4">
        <v>35098.70000000298</v>
      </c>
      <c r="D431" s="8">
        <v>3.34</v>
      </c>
      <c r="E431" s="23">
        <v>100</v>
      </c>
      <c r="F431" s="23">
        <v>83.194444444444443</v>
      </c>
      <c r="G431" s="16">
        <f>VLOOKUP(A431,'[1]DRDO Kolar Data'!$A:$E,5,0)*1000</f>
        <v>10100</v>
      </c>
      <c r="H431" s="24">
        <f t="shared" si="21"/>
        <v>3235051.299999997</v>
      </c>
      <c r="I431" s="25">
        <f t="shared" si="19"/>
        <v>14.624458333334575</v>
      </c>
      <c r="J431" s="25">
        <f t="shared" si="20"/>
        <v>6.1832020259938778</v>
      </c>
      <c r="K431" s="17" t="s">
        <v>10</v>
      </c>
    </row>
    <row r="432" spans="1:11" ht="15.75" customHeight="1" x14ac:dyDescent="0.2">
      <c r="A432" s="15">
        <v>45235</v>
      </c>
      <c r="B432" s="3">
        <f>VLOOKUP(A432,'[1]BADI SID DATA'!A:B,2,0)</f>
        <v>219</v>
      </c>
      <c r="C432" s="4">
        <v>40300</v>
      </c>
      <c r="D432" s="5">
        <v>3.89</v>
      </c>
      <c r="E432" s="23">
        <v>100</v>
      </c>
      <c r="F432" s="23">
        <v>97.222222222222214</v>
      </c>
      <c r="G432" s="16">
        <f>VLOOKUP(A432,'[1]DRDO Kolar Data'!$A:$E,5,0)*1000</f>
        <v>10200</v>
      </c>
      <c r="H432" s="24">
        <f t="shared" si="21"/>
        <v>3275351.299999997</v>
      </c>
      <c r="I432" s="25">
        <f t="shared" si="19"/>
        <v>16.791666666666664</v>
      </c>
      <c r="J432" s="25">
        <f t="shared" si="20"/>
        <v>6.2316425038051699</v>
      </c>
      <c r="K432" s="17" t="s">
        <v>10</v>
      </c>
    </row>
    <row r="433" spans="1:11" ht="15.75" customHeight="1" x14ac:dyDescent="0.2">
      <c r="A433" s="15">
        <v>45236</v>
      </c>
      <c r="B433" s="3">
        <f>VLOOKUP(A433,'[1]BADI SID DATA'!A:B,2,0)</f>
        <v>220</v>
      </c>
      <c r="C433" s="4">
        <v>39001.95000000298</v>
      </c>
      <c r="D433" s="5">
        <v>3.54</v>
      </c>
      <c r="E433" s="23">
        <v>100</v>
      </c>
      <c r="F433" s="23">
        <v>100</v>
      </c>
      <c r="G433" s="16">
        <f>VLOOKUP(A433,'[1]DRDO Kolar Data'!$A:$E,5,0)*1000</f>
        <v>9600</v>
      </c>
      <c r="H433" s="24">
        <f t="shared" si="21"/>
        <v>3314353.25</v>
      </c>
      <c r="I433" s="25">
        <f t="shared" si="19"/>
        <v>16.250812500001242</v>
      </c>
      <c r="J433" s="25">
        <f t="shared" si="20"/>
        <v>6.2771841856060604</v>
      </c>
      <c r="K433" s="17" t="s">
        <v>10</v>
      </c>
    </row>
    <row r="434" spans="1:11" ht="15.75" customHeight="1" x14ac:dyDescent="0.2">
      <c r="A434" s="15">
        <v>45237</v>
      </c>
      <c r="B434" s="3">
        <f>VLOOKUP(A434,'[1]BADI SID DATA'!A:B,2,0)</f>
        <v>221</v>
      </c>
      <c r="C434" s="4">
        <v>30548.69999999553</v>
      </c>
      <c r="D434" s="5">
        <v>2.96</v>
      </c>
      <c r="E434" s="23">
        <v>100</v>
      </c>
      <c r="F434" s="23">
        <v>89.652777777777786</v>
      </c>
      <c r="G434" s="16">
        <f>VLOOKUP(A434,'[1]DRDO Kolar Data'!$A:$E,5,0)*1000</f>
        <v>10000</v>
      </c>
      <c r="H434" s="24">
        <f t="shared" si="21"/>
        <v>3344901.9499999955</v>
      </c>
      <c r="I434" s="25">
        <f t="shared" si="19"/>
        <v>12.728624999998136</v>
      </c>
      <c r="J434" s="25">
        <f t="shared" si="20"/>
        <v>6.3063762254901876</v>
      </c>
      <c r="K434" s="17" t="s">
        <v>10</v>
      </c>
    </row>
    <row r="435" spans="1:11" ht="15.75" customHeight="1" x14ac:dyDescent="0.2">
      <c r="A435" s="15">
        <v>45238</v>
      </c>
      <c r="B435" s="3">
        <f>VLOOKUP(A435,'[1]BADI SID DATA'!A:B,2,0)</f>
        <v>222</v>
      </c>
      <c r="C435" s="4">
        <v>42251.30000000447</v>
      </c>
      <c r="D435" s="5">
        <v>4.3899999999999997</v>
      </c>
      <c r="E435" s="23">
        <v>100</v>
      </c>
      <c r="F435" s="23">
        <v>100</v>
      </c>
      <c r="G435" s="16">
        <f>VLOOKUP(A435,'[1]DRDO Kolar Data'!$A:$E,5,0)*1000</f>
        <v>10100</v>
      </c>
      <c r="H435" s="24">
        <f t="shared" si="21"/>
        <v>3387153.25</v>
      </c>
      <c r="I435" s="25">
        <f t="shared" si="19"/>
        <v>17.604708333335196</v>
      </c>
      <c r="J435" s="25">
        <f t="shared" si="20"/>
        <v>6.3572696133633633</v>
      </c>
      <c r="K435" s="17" t="s">
        <v>10</v>
      </c>
    </row>
    <row r="436" spans="1:11" ht="15.75" customHeight="1" x14ac:dyDescent="0.2">
      <c r="A436" s="15">
        <v>45239</v>
      </c>
      <c r="B436" s="3">
        <f>VLOOKUP(A436,'[1]BADI SID DATA'!A:B,2,0)</f>
        <v>223</v>
      </c>
      <c r="C436" s="4">
        <v>27298.69999999553</v>
      </c>
      <c r="D436" s="6">
        <v>2.46</v>
      </c>
      <c r="E436" s="23">
        <v>100</v>
      </c>
      <c r="F436" s="23">
        <v>89.583333333333343</v>
      </c>
      <c r="G436" s="16">
        <f>VLOOKUP(A436,'[1]DRDO Kolar Data'!$A:$E,5,0)*1000</f>
        <v>9900</v>
      </c>
      <c r="H436" s="24">
        <f t="shared" si="21"/>
        <v>3414451.9499999955</v>
      </c>
      <c r="I436" s="25">
        <f t="shared" si="19"/>
        <v>11.37445833333147</v>
      </c>
      <c r="J436" s="25">
        <f t="shared" si="20"/>
        <v>6.3797682174887811</v>
      </c>
      <c r="K436" s="17" t="s">
        <v>10</v>
      </c>
    </row>
    <row r="437" spans="1:11" ht="15.75" customHeight="1" x14ac:dyDescent="0.2">
      <c r="A437" s="15">
        <v>45240</v>
      </c>
      <c r="B437" s="3">
        <f>VLOOKUP(A437,'[1]BADI SID DATA'!A:B,2,0)</f>
        <v>224</v>
      </c>
      <c r="C437" s="4">
        <v>50698.04999999702</v>
      </c>
      <c r="D437" s="7">
        <v>4.91</v>
      </c>
      <c r="E437" s="23">
        <v>100</v>
      </c>
      <c r="F437" s="23">
        <v>100</v>
      </c>
      <c r="G437" s="16">
        <f>VLOOKUP(A437,'[1]DRDO Kolar Data'!$A:$E,5,0)*1000</f>
        <v>9800</v>
      </c>
      <c r="H437" s="24">
        <f t="shared" si="21"/>
        <v>3465149.9999999925</v>
      </c>
      <c r="I437" s="25">
        <f t="shared" si="19"/>
        <v>21.124187499998758</v>
      </c>
      <c r="J437" s="25">
        <f t="shared" si="20"/>
        <v>6.4455915178571281</v>
      </c>
      <c r="K437" s="17" t="s">
        <v>12</v>
      </c>
    </row>
    <row r="438" spans="1:11" ht="15.75" customHeight="1" x14ac:dyDescent="0.2">
      <c r="A438" s="15">
        <v>45241</v>
      </c>
      <c r="B438" s="3">
        <f>VLOOKUP(A438,'[1]BADI SID DATA'!A:B,2,0)</f>
        <v>225</v>
      </c>
      <c r="C438" s="4">
        <v>65650.64999999851</v>
      </c>
      <c r="D438" s="6">
        <v>6.21</v>
      </c>
      <c r="E438" s="23">
        <v>100</v>
      </c>
      <c r="F438" s="23">
        <v>100</v>
      </c>
      <c r="G438" s="16">
        <f>VLOOKUP(A438,'[1]DRDO Kolar Data'!$A:$E,5,0)*1000</f>
        <v>9900</v>
      </c>
      <c r="H438" s="24">
        <f t="shared" si="21"/>
        <v>3530800.6499999911</v>
      </c>
      <c r="I438" s="25">
        <f t="shared" si="19"/>
        <v>27.354437499999378</v>
      </c>
      <c r="J438" s="25">
        <f t="shared" si="20"/>
        <v>6.5385197222222056</v>
      </c>
      <c r="K438" s="17" t="s">
        <v>24</v>
      </c>
    </row>
    <row r="439" spans="1:11" ht="15.75" customHeight="1" x14ac:dyDescent="0.2">
      <c r="A439" s="15">
        <v>45242</v>
      </c>
      <c r="B439" s="3">
        <f>VLOOKUP(A439,'[1]BADI SID DATA'!A:B,2,0)</f>
        <v>226</v>
      </c>
      <c r="C439" s="4">
        <v>57200.65000000596</v>
      </c>
      <c r="D439" s="6">
        <v>5.45</v>
      </c>
      <c r="E439" s="23">
        <v>100</v>
      </c>
      <c r="F439" s="23">
        <v>100</v>
      </c>
      <c r="G439" s="16">
        <f>VLOOKUP(A439,'[1]DRDO Kolar Data'!$A:$E,5,0)*1000</f>
        <v>9700</v>
      </c>
      <c r="H439" s="24">
        <f t="shared" si="21"/>
        <v>3588001.299999997</v>
      </c>
      <c r="I439" s="25">
        <f t="shared" si="19"/>
        <v>23.833604166669151</v>
      </c>
      <c r="J439" s="25">
        <f t="shared" si="20"/>
        <v>6.6150466445427671</v>
      </c>
      <c r="K439" s="17" t="s">
        <v>13</v>
      </c>
    </row>
    <row r="440" spans="1:11" ht="15.75" customHeight="1" x14ac:dyDescent="0.2">
      <c r="A440" s="15">
        <v>45243</v>
      </c>
      <c r="B440" s="3">
        <f>VLOOKUP(A440,'[1]BADI SID DATA'!A:B,2,0)</f>
        <v>227</v>
      </c>
      <c r="C440" s="4">
        <v>56549.34999999404</v>
      </c>
      <c r="D440" s="6">
        <v>5.29</v>
      </c>
      <c r="E440" s="23">
        <v>100</v>
      </c>
      <c r="F440" s="23">
        <v>100</v>
      </c>
      <c r="G440" s="16">
        <f>VLOOKUP(A440,'[1]DRDO Kolar Data'!$A:$E,5,0)*1000</f>
        <v>10000</v>
      </c>
      <c r="H440" s="24">
        <f t="shared" si="21"/>
        <v>3644550.6499999911</v>
      </c>
      <c r="I440" s="25">
        <f t="shared" si="19"/>
        <v>23.562229166664185</v>
      </c>
      <c r="J440" s="25">
        <f t="shared" si="20"/>
        <v>6.6897038362701746</v>
      </c>
      <c r="K440" s="17" t="s">
        <v>13</v>
      </c>
    </row>
    <row r="441" spans="1:11" ht="15.75" customHeight="1" x14ac:dyDescent="0.2">
      <c r="A441" s="15">
        <v>45244</v>
      </c>
      <c r="B441" s="3">
        <f>VLOOKUP(A441,'[1]BADI SID DATA'!A:B,2,0)</f>
        <v>228</v>
      </c>
      <c r="C441" s="4">
        <v>16900.65000000596</v>
      </c>
      <c r="D441" s="6">
        <v>1.4</v>
      </c>
      <c r="E441" s="23">
        <v>100</v>
      </c>
      <c r="F441" s="23">
        <v>87.5</v>
      </c>
      <c r="G441" s="16">
        <f>VLOOKUP(A441,'[1]DRDO Kolar Data'!$A:$E,5,0)*1000</f>
        <v>3900</v>
      </c>
      <c r="H441" s="24">
        <f t="shared" si="21"/>
        <v>3661451.299999997</v>
      </c>
      <c r="I441" s="25">
        <f t="shared" si="19"/>
        <v>7.0419375000024838</v>
      </c>
      <c r="J441" s="25">
        <f t="shared" si="20"/>
        <v>6.6912487207602291</v>
      </c>
      <c r="K441" s="17" t="s">
        <v>10</v>
      </c>
    </row>
    <row r="442" spans="1:11" ht="15.75" customHeight="1" x14ac:dyDescent="0.2">
      <c r="A442" s="15">
        <v>45245</v>
      </c>
      <c r="B442" s="3">
        <f>VLOOKUP(A442,'[1]BADI SID DATA'!A:B,2,0)</f>
        <v>229</v>
      </c>
      <c r="C442" s="4">
        <v>45500.64999999851</v>
      </c>
      <c r="D442" s="7">
        <v>4.33</v>
      </c>
      <c r="E442" s="23">
        <v>100</v>
      </c>
      <c r="F442" s="23">
        <v>100</v>
      </c>
      <c r="G442" s="16">
        <f>VLOOKUP(A442,'[1]DRDO Kolar Data'!$A:$E,5,0)*1000</f>
        <v>10500</v>
      </c>
      <c r="H442" s="24">
        <f t="shared" si="21"/>
        <v>3706951.9499999955</v>
      </c>
      <c r="I442" s="25">
        <f t="shared" si="19"/>
        <v>18.958604166666046</v>
      </c>
      <c r="J442" s="25">
        <f t="shared" si="20"/>
        <v>6.7448179585152754</v>
      </c>
      <c r="K442" s="17" t="s">
        <v>11</v>
      </c>
    </row>
    <row r="443" spans="1:11" ht="15.75" customHeight="1" x14ac:dyDescent="0.2">
      <c r="A443" s="15">
        <v>45246</v>
      </c>
      <c r="B443" s="3">
        <f>VLOOKUP(A443,'[1]BADI SID DATA'!A:B,2,0)</f>
        <v>230</v>
      </c>
      <c r="C443" s="4">
        <v>59799.35000000149</v>
      </c>
      <c r="D443" s="6">
        <v>5.72</v>
      </c>
      <c r="E443" s="23">
        <v>100</v>
      </c>
      <c r="F443" s="23">
        <v>90.972222222222214</v>
      </c>
      <c r="G443" s="16">
        <f>VLOOKUP(A443,'[1]DRDO Kolar Data'!$A:$E,5,0)*1000</f>
        <v>9900</v>
      </c>
      <c r="H443" s="24">
        <f t="shared" si="21"/>
        <v>3766751.299999997</v>
      </c>
      <c r="I443" s="25">
        <f t="shared" si="19"/>
        <v>24.916395833333954</v>
      </c>
      <c r="J443" s="25">
        <f t="shared" si="20"/>
        <v>6.8238248188405741</v>
      </c>
      <c r="K443" s="17" t="s">
        <v>13</v>
      </c>
    </row>
    <row r="444" spans="1:11" ht="15.75" customHeight="1" x14ac:dyDescent="0.2">
      <c r="A444" s="15">
        <v>45247</v>
      </c>
      <c r="B444" s="3">
        <f>VLOOKUP(A444,'[1]BADI SID DATA'!A:B,2,0)</f>
        <v>231</v>
      </c>
      <c r="C444" s="4">
        <v>55251.94999999553</v>
      </c>
      <c r="D444" s="6">
        <v>5.18</v>
      </c>
      <c r="E444" s="23">
        <v>100</v>
      </c>
      <c r="F444" s="23">
        <v>100</v>
      </c>
      <c r="G444" s="16">
        <f>VLOOKUP(A444,'[1]DRDO Kolar Data'!$A:$E,5,0)*1000</f>
        <v>10000</v>
      </c>
      <c r="H444" s="24">
        <f t="shared" si="21"/>
        <v>3822003.2499999925</v>
      </c>
      <c r="I444" s="25">
        <f t="shared" si="19"/>
        <v>23.021645833331469</v>
      </c>
      <c r="J444" s="25">
        <f t="shared" si="20"/>
        <v>6.893945256132743</v>
      </c>
      <c r="K444" s="17" t="s">
        <v>13</v>
      </c>
    </row>
    <row r="445" spans="1:11" ht="15.75" customHeight="1" x14ac:dyDescent="0.2">
      <c r="A445" s="15">
        <v>45248</v>
      </c>
      <c r="B445" s="3">
        <f>VLOOKUP(A445,'[1]BADI SID DATA'!A:B,2,0)</f>
        <v>232</v>
      </c>
      <c r="C445" s="4">
        <v>60449.35000000149</v>
      </c>
      <c r="D445" s="6">
        <v>5.84</v>
      </c>
      <c r="E445" s="23">
        <v>100</v>
      </c>
      <c r="F445" s="23">
        <v>100</v>
      </c>
      <c r="G445" s="16">
        <f>VLOOKUP(A445,'[1]DRDO Kolar Data'!$A:$E,5,0)*1000</f>
        <v>10000</v>
      </c>
      <c r="H445" s="24">
        <f t="shared" si="21"/>
        <v>3882452.599999994</v>
      </c>
      <c r="I445" s="25">
        <f t="shared" si="19"/>
        <v>25.187229166667287</v>
      </c>
      <c r="J445" s="25">
        <f t="shared" si="20"/>
        <v>6.9727956178160815</v>
      </c>
      <c r="K445" s="17" t="s">
        <v>13</v>
      </c>
    </row>
    <row r="446" spans="1:11" ht="15.75" customHeight="1" x14ac:dyDescent="0.2">
      <c r="A446" s="15">
        <v>45249</v>
      </c>
      <c r="B446" s="3">
        <f>VLOOKUP(A446,'[1]BADI SID DATA'!A:B,2,0)</f>
        <v>233</v>
      </c>
      <c r="C446" s="4">
        <v>64349.35000000149</v>
      </c>
      <c r="D446" s="6">
        <v>5.98</v>
      </c>
      <c r="E446" s="23">
        <v>100</v>
      </c>
      <c r="F446" s="23">
        <v>100</v>
      </c>
      <c r="G446" s="16">
        <f>VLOOKUP(A446,'[1]DRDO Kolar Data'!$A:$E,5,0)*1000</f>
        <v>9800</v>
      </c>
      <c r="H446" s="24">
        <f t="shared" si="21"/>
        <v>3946801.9499999955</v>
      </c>
      <c r="I446" s="25">
        <f t="shared" si="19"/>
        <v>26.81222916666729</v>
      </c>
      <c r="J446" s="25">
        <f t="shared" si="20"/>
        <v>7.0579434012875462</v>
      </c>
      <c r="K446" s="17" t="s">
        <v>24</v>
      </c>
    </row>
    <row r="447" spans="1:11" ht="15.75" customHeight="1" x14ac:dyDescent="0.2">
      <c r="A447" s="15">
        <v>45250</v>
      </c>
      <c r="B447" s="3">
        <f>VLOOKUP(A447,'[1]BADI SID DATA'!A:B,2,0)</f>
        <v>234</v>
      </c>
      <c r="C447" s="4">
        <v>38348.04999999702</v>
      </c>
      <c r="D447" s="7">
        <v>3.35</v>
      </c>
      <c r="E447" s="23">
        <v>100</v>
      </c>
      <c r="F447" s="23">
        <v>100</v>
      </c>
      <c r="G447" s="16">
        <f>VLOOKUP(A447,'[1]DRDO Kolar Data'!$A:$E,5,0)*1000</f>
        <v>9600</v>
      </c>
      <c r="H447" s="24">
        <f t="shared" si="21"/>
        <v>3985149.9999999925</v>
      </c>
      <c r="I447" s="25">
        <f t="shared" si="19"/>
        <v>15.978354166665426</v>
      </c>
      <c r="J447" s="25">
        <f t="shared" si="20"/>
        <v>7.0960648148148007</v>
      </c>
      <c r="K447" s="17" t="s">
        <v>10</v>
      </c>
    </row>
    <row r="448" spans="1:11" ht="15.75" customHeight="1" x14ac:dyDescent="0.2">
      <c r="A448" s="15">
        <v>45251</v>
      </c>
      <c r="B448" s="3">
        <f>VLOOKUP(A448,'[1]BADI SID DATA'!A:B,2,0)</f>
        <v>235</v>
      </c>
      <c r="C448" s="4">
        <v>21451.30000000447</v>
      </c>
      <c r="D448" s="6">
        <v>1.82</v>
      </c>
      <c r="E448" s="23">
        <v>100</v>
      </c>
      <c r="F448" s="23">
        <v>100</v>
      </c>
      <c r="G448" s="16">
        <f>VLOOKUP(A448,'[1]DRDO Kolar Data'!$A:$E,5,0)*1000</f>
        <v>9100</v>
      </c>
      <c r="H448" s="24">
        <f t="shared" si="21"/>
        <v>4006601.299999997</v>
      </c>
      <c r="I448" s="25">
        <f t="shared" si="19"/>
        <v>8.9380416666685303</v>
      </c>
      <c r="J448" s="25">
        <f t="shared" si="20"/>
        <v>7.1039030141843913</v>
      </c>
      <c r="K448" s="17" t="s">
        <v>31</v>
      </c>
    </row>
    <row r="449" spans="1:11" ht="15.75" customHeight="1" x14ac:dyDescent="0.2">
      <c r="A449" s="15">
        <v>45252</v>
      </c>
      <c r="B449" s="3">
        <f>VLOOKUP(A449,'[1]BADI SID DATA'!A:B,2,0)</f>
        <v>236</v>
      </c>
      <c r="C449" s="4">
        <v>35749.34999999404</v>
      </c>
      <c r="D449" s="6">
        <v>3.35</v>
      </c>
      <c r="E449" s="23">
        <v>100</v>
      </c>
      <c r="F449" s="23">
        <v>100</v>
      </c>
      <c r="G449" s="16">
        <f>VLOOKUP(A449,'[1]DRDO Kolar Data'!$A:$E,5,0)*1000</f>
        <v>10000</v>
      </c>
      <c r="H449" s="24">
        <f t="shared" si="21"/>
        <v>4042350.6499999911</v>
      </c>
      <c r="I449" s="25">
        <f t="shared" si="19"/>
        <v>14.895562499997517</v>
      </c>
      <c r="J449" s="25">
        <f t="shared" si="20"/>
        <v>7.1369185204802106</v>
      </c>
      <c r="K449" s="17" t="s">
        <v>10</v>
      </c>
    </row>
    <row r="450" spans="1:11" ht="15.75" customHeight="1" x14ac:dyDescent="0.2">
      <c r="A450" s="15">
        <v>45253</v>
      </c>
      <c r="B450" s="3">
        <f>VLOOKUP(A450,'[1]BADI SID DATA'!A:B,2,0)</f>
        <v>237</v>
      </c>
      <c r="C450" s="4">
        <v>24700</v>
      </c>
      <c r="D450" s="6">
        <v>2.29</v>
      </c>
      <c r="E450" s="23">
        <v>100</v>
      </c>
      <c r="F450" s="23">
        <v>60.486111111111107</v>
      </c>
      <c r="G450" s="16">
        <f>VLOOKUP(A450,'[1]DRDO Kolar Data'!$A:$E,5,0)*1000</f>
        <v>10600</v>
      </c>
      <c r="H450" s="24">
        <f t="shared" si="21"/>
        <v>4067050.6499999911</v>
      </c>
      <c r="I450" s="25">
        <f t="shared" si="19"/>
        <v>10.291666666666668</v>
      </c>
      <c r="J450" s="25">
        <f t="shared" si="20"/>
        <v>7.1502296940928103</v>
      </c>
      <c r="K450" s="17" t="s">
        <v>10</v>
      </c>
    </row>
    <row r="451" spans="1:11" ht="15.75" customHeight="1" x14ac:dyDescent="0.2">
      <c r="A451" s="15">
        <v>45254</v>
      </c>
      <c r="B451" s="3">
        <f>VLOOKUP(A451,'[1]BADI SID DATA'!A:B,2,0)</f>
        <v>238</v>
      </c>
      <c r="C451" s="4">
        <v>31849.35000000149</v>
      </c>
      <c r="D451" s="6">
        <v>5.44</v>
      </c>
      <c r="E451" s="23">
        <v>100</v>
      </c>
      <c r="F451" s="23">
        <v>100</v>
      </c>
      <c r="G451" s="16">
        <f>VLOOKUP(A451,'[1]DRDO Kolar Data'!$A:$E,5,0)*1000</f>
        <v>9900</v>
      </c>
      <c r="H451" s="24">
        <f t="shared" si="21"/>
        <v>4098899.9999999925</v>
      </c>
      <c r="I451" s="25">
        <f t="shared" ref="I451:I514" si="22">(C451/(10*24*1000))*100</f>
        <v>13.27056250000062</v>
      </c>
      <c r="J451" s="25">
        <f t="shared" ref="J451:J514" si="23">(H451/(24*B451*10*1000))*100</f>
        <v>7.1759453781512477</v>
      </c>
      <c r="K451" s="17" t="s">
        <v>10</v>
      </c>
    </row>
    <row r="452" spans="1:11" ht="15.75" customHeight="1" x14ac:dyDescent="0.2">
      <c r="A452" s="15">
        <v>45255</v>
      </c>
      <c r="B452" s="3">
        <f>VLOOKUP(A452,'[1]BADI SID DATA'!A:B,2,0)</f>
        <v>239</v>
      </c>
      <c r="C452" s="4">
        <v>17551.30000000447</v>
      </c>
      <c r="D452" s="6">
        <v>1.49</v>
      </c>
      <c r="E452" s="23">
        <v>100</v>
      </c>
      <c r="F452" s="23">
        <v>100</v>
      </c>
      <c r="G452" s="16">
        <f>VLOOKUP(A452,'[1]DRDO Kolar Data'!$A:$E,5,0)*1000</f>
        <v>9000</v>
      </c>
      <c r="H452" s="24">
        <f t="shared" si="21"/>
        <v>4116451.299999997</v>
      </c>
      <c r="I452" s="25">
        <f t="shared" si="22"/>
        <v>7.3130416666685294</v>
      </c>
      <c r="J452" s="25">
        <f t="shared" si="23"/>
        <v>7.1765190027893961</v>
      </c>
      <c r="K452" s="17" t="s">
        <v>10</v>
      </c>
    </row>
    <row r="453" spans="1:11" ht="15.75" customHeight="1" x14ac:dyDescent="0.2">
      <c r="A453" s="15">
        <v>45256</v>
      </c>
      <c r="B453" s="3">
        <f>VLOOKUP(A453,'[1]BADI SID DATA'!A:B,2,0)</f>
        <v>240</v>
      </c>
      <c r="C453" s="4">
        <v>47448.69999999553</v>
      </c>
      <c r="D453" s="7">
        <v>4.41</v>
      </c>
      <c r="E453" s="23">
        <v>100</v>
      </c>
      <c r="F453" s="23">
        <v>100</v>
      </c>
      <c r="G453" s="16">
        <f>VLOOKUP(A453,'[1]DRDO Kolar Data'!$A:$E,5,0)*1000</f>
        <v>10000</v>
      </c>
      <c r="H453" s="24">
        <f t="shared" si="21"/>
        <v>4163899.9999999925</v>
      </c>
      <c r="I453" s="25">
        <f t="shared" si="22"/>
        <v>19.770291666664804</v>
      </c>
      <c r="J453" s="25">
        <f t="shared" si="23"/>
        <v>7.2289930555555424</v>
      </c>
      <c r="K453" s="17" t="s">
        <v>11</v>
      </c>
    </row>
    <row r="454" spans="1:11" ht="15.75" customHeight="1" x14ac:dyDescent="0.2">
      <c r="A454" s="15">
        <v>45257</v>
      </c>
      <c r="B454" s="3">
        <f>VLOOKUP(A454,'[1]BADI SID DATA'!A:B,2,0)</f>
        <v>241</v>
      </c>
      <c r="C454" s="4">
        <v>31202.60000000149</v>
      </c>
      <c r="D454" s="6">
        <v>3</v>
      </c>
      <c r="E454" s="23">
        <v>100</v>
      </c>
      <c r="F454" s="23">
        <v>100</v>
      </c>
      <c r="G454" s="16">
        <f>VLOOKUP(A454,'[1]DRDO Kolar Data'!$A:$E,5,0)*1000</f>
        <v>10500</v>
      </c>
      <c r="H454" s="24">
        <f t="shared" si="21"/>
        <v>4195102.599999994</v>
      </c>
      <c r="I454" s="25">
        <f t="shared" si="22"/>
        <v>13.001083333333954</v>
      </c>
      <c r="J454" s="25">
        <f t="shared" si="23"/>
        <v>7.2529436376210139</v>
      </c>
      <c r="K454" s="17" t="s">
        <v>10</v>
      </c>
    </row>
    <row r="455" spans="1:11" ht="15.75" customHeight="1" x14ac:dyDescent="0.2">
      <c r="A455" s="15">
        <v>45258</v>
      </c>
      <c r="B455" s="3">
        <f>VLOOKUP(A455,'[1]BADI SID DATA'!A:B,2,0)</f>
        <v>242</v>
      </c>
      <c r="C455" s="4">
        <v>29250.65000000596</v>
      </c>
      <c r="D455" s="6">
        <v>2.76</v>
      </c>
      <c r="E455" s="23">
        <v>100</v>
      </c>
      <c r="F455" s="23">
        <v>100</v>
      </c>
      <c r="G455" s="16">
        <f>VLOOKUP(A455,'[1]DRDO Kolar Data'!$A:$E,5,0)*1000</f>
        <v>8900</v>
      </c>
      <c r="H455" s="24">
        <f t="shared" si="21"/>
        <v>4224353.25</v>
      </c>
      <c r="I455" s="25">
        <f t="shared" si="22"/>
        <v>12.187770833335817</v>
      </c>
      <c r="J455" s="25">
        <f t="shared" si="23"/>
        <v>7.2733354855371894</v>
      </c>
      <c r="K455" s="17" t="s">
        <v>10</v>
      </c>
    </row>
    <row r="456" spans="1:11" ht="15.75" customHeight="1" x14ac:dyDescent="0.2">
      <c r="A456" s="15">
        <v>45259</v>
      </c>
      <c r="B456" s="3">
        <f>VLOOKUP(A456,'[1]BADI SID DATA'!A:B,2,0)</f>
        <v>243</v>
      </c>
      <c r="C456" s="4">
        <v>32500</v>
      </c>
      <c r="D456" s="6">
        <v>3</v>
      </c>
      <c r="E456" s="23">
        <v>100</v>
      </c>
      <c r="F456" s="23">
        <v>100</v>
      </c>
      <c r="G456" s="16">
        <f>VLOOKUP(A456,'[1]DRDO Kolar Data'!$A:$E,5,0)*1000</f>
        <v>9900</v>
      </c>
      <c r="H456" s="24">
        <f t="shared" si="21"/>
        <v>4256853.25</v>
      </c>
      <c r="I456" s="25">
        <f t="shared" si="22"/>
        <v>13.541666666666666</v>
      </c>
      <c r="J456" s="25">
        <f t="shared" si="23"/>
        <v>7.2991310871056241</v>
      </c>
      <c r="K456" s="17" t="s">
        <v>10</v>
      </c>
    </row>
    <row r="457" spans="1:11" ht="15.75" customHeight="1" x14ac:dyDescent="0.2">
      <c r="A457" s="15">
        <v>45260</v>
      </c>
      <c r="B457" s="3">
        <f>VLOOKUP(A457,'[1]BADI SID DATA'!A:B,2,0)</f>
        <v>244</v>
      </c>
      <c r="C457" s="4">
        <v>34448.04999999702</v>
      </c>
      <c r="D457" s="10">
        <v>3.11</v>
      </c>
      <c r="E457" s="23">
        <v>100</v>
      </c>
      <c r="F457" s="23">
        <v>100</v>
      </c>
      <c r="G457" s="16">
        <f>VLOOKUP(A457,'[1]DRDO Kolar Data'!$A:$E,5,0)*1000</f>
        <v>10000</v>
      </c>
      <c r="H457" s="24">
        <f t="shared" si="21"/>
        <v>4291301.299999997</v>
      </c>
      <c r="I457" s="25">
        <f t="shared" si="22"/>
        <v>14.353354166665424</v>
      </c>
      <c r="J457" s="25">
        <f t="shared" si="23"/>
        <v>7.3280418374316882</v>
      </c>
      <c r="K457" s="17" t="s">
        <v>10</v>
      </c>
    </row>
    <row r="458" spans="1:11" ht="15.75" customHeight="1" x14ac:dyDescent="0.2">
      <c r="A458" s="15">
        <v>45261</v>
      </c>
      <c r="B458" s="3">
        <f>VLOOKUP(A458,'[1]BADI SID DATA'!A:B,2,0)</f>
        <v>245</v>
      </c>
      <c r="C458" s="4">
        <v>28600.64999999851</v>
      </c>
      <c r="D458" s="8">
        <v>2.5299999999999998</v>
      </c>
      <c r="E458" s="23">
        <v>100</v>
      </c>
      <c r="F458" s="23">
        <v>100</v>
      </c>
      <c r="G458" s="16">
        <f>VLOOKUP(A458,'[1]DRDO Kolar Data'!$A:$E,5,0)*1000</f>
        <v>10500</v>
      </c>
      <c r="H458" s="24">
        <f t="shared" si="21"/>
        <v>4319901.9499999955</v>
      </c>
      <c r="I458" s="25">
        <f t="shared" si="22"/>
        <v>11.91693749999938</v>
      </c>
      <c r="J458" s="25">
        <f t="shared" si="23"/>
        <v>7.3467720238095167</v>
      </c>
      <c r="K458" s="17" t="s">
        <v>10</v>
      </c>
    </row>
    <row r="459" spans="1:11" ht="15.75" customHeight="1" x14ac:dyDescent="0.2">
      <c r="A459" s="15">
        <v>45262</v>
      </c>
      <c r="B459" s="3">
        <f>VLOOKUP(A459,'[1]BADI SID DATA'!A:B,2,0)</f>
        <v>246</v>
      </c>
      <c r="C459" s="4">
        <v>32500</v>
      </c>
      <c r="D459" s="5">
        <v>2.88</v>
      </c>
      <c r="E459" s="23">
        <v>100</v>
      </c>
      <c r="F459" s="23">
        <v>95.416666666666671</v>
      </c>
      <c r="G459" s="16">
        <f>VLOOKUP(A459,'[1]DRDO Kolar Data'!$A:$E,5,0)*1000</f>
        <v>9900</v>
      </c>
      <c r="H459" s="24">
        <f t="shared" si="21"/>
        <v>4352401.9499999955</v>
      </c>
      <c r="I459" s="25">
        <f t="shared" si="22"/>
        <v>13.541666666666666</v>
      </c>
      <c r="J459" s="25">
        <f t="shared" si="23"/>
        <v>7.371954522357715</v>
      </c>
      <c r="K459" s="17" t="s">
        <v>10</v>
      </c>
    </row>
    <row r="460" spans="1:11" ht="15.75" customHeight="1" x14ac:dyDescent="0.2">
      <c r="A460" s="15">
        <v>45263</v>
      </c>
      <c r="B460" s="3">
        <f>VLOOKUP(A460,'[1]BADI SID DATA'!A:B,2,0)</f>
        <v>247</v>
      </c>
      <c r="C460" s="4">
        <v>16900</v>
      </c>
      <c r="D460" s="5">
        <v>1.39</v>
      </c>
      <c r="E460" s="23">
        <v>100</v>
      </c>
      <c r="F460" s="23">
        <v>100</v>
      </c>
      <c r="G460" s="16">
        <f>VLOOKUP(A460,'[1]DRDO Kolar Data'!$A:$E,5,0)*1000</f>
        <v>3900</v>
      </c>
      <c r="H460" s="24">
        <f t="shared" si="21"/>
        <v>4369301.9499999955</v>
      </c>
      <c r="I460" s="25">
        <f t="shared" si="22"/>
        <v>7.041666666666667</v>
      </c>
      <c r="J460" s="25">
        <f t="shared" si="23"/>
        <v>7.3706173245613957</v>
      </c>
      <c r="K460" s="17" t="s">
        <v>10</v>
      </c>
    </row>
    <row r="461" spans="1:11" ht="15.75" customHeight="1" x14ac:dyDescent="0.2">
      <c r="A461" s="15">
        <v>45264</v>
      </c>
      <c r="B461" s="3">
        <f>VLOOKUP(A461,'[1]BADI SID DATA'!A:B,2,0)</f>
        <v>248</v>
      </c>
      <c r="C461" s="4">
        <v>5848.0499999970198</v>
      </c>
      <c r="D461" s="8">
        <v>0.36</v>
      </c>
      <c r="E461" s="23">
        <v>100</v>
      </c>
      <c r="F461" s="23">
        <v>100</v>
      </c>
      <c r="G461" s="16">
        <f>VLOOKUP(A461,'[1]DRDO Kolar Data'!$A:$E,5,0)*1000</f>
        <v>2100</v>
      </c>
      <c r="H461" s="24">
        <f t="shared" si="21"/>
        <v>4375149.9999999925</v>
      </c>
      <c r="I461" s="25">
        <f t="shared" si="22"/>
        <v>2.4366874999987584</v>
      </c>
      <c r="J461" s="25">
        <f t="shared" si="23"/>
        <v>7.3507224462365457</v>
      </c>
      <c r="K461" s="17" t="s">
        <v>10</v>
      </c>
    </row>
    <row r="462" spans="1:11" ht="15.75" customHeight="1" x14ac:dyDescent="0.2">
      <c r="A462" s="15">
        <v>45265</v>
      </c>
      <c r="B462" s="3">
        <f>VLOOKUP(A462,'[1]BADI SID DATA'!A:B,2,0)</f>
        <v>249</v>
      </c>
      <c r="C462" s="4">
        <v>31853.25</v>
      </c>
      <c r="D462" s="8">
        <v>2.94</v>
      </c>
      <c r="E462" s="23">
        <v>100</v>
      </c>
      <c r="F462" s="23">
        <v>100</v>
      </c>
      <c r="G462" s="16">
        <f>VLOOKUP(A462,'[1]DRDO Kolar Data'!$A:$E,5,0)*1000</f>
        <v>10900</v>
      </c>
      <c r="H462" s="24">
        <f t="shared" si="21"/>
        <v>4407003.2499999925</v>
      </c>
      <c r="I462" s="25">
        <f t="shared" si="22"/>
        <v>13.272187499999999</v>
      </c>
      <c r="J462" s="25">
        <f t="shared" si="23"/>
        <v>7.3745034303882075</v>
      </c>
      <c r="K462" s="17" t="s">
        <v>10</v>
      </c>
    </row>
    <row r="463" spans="1:11" ht="15.75" customHeight="1" x14ac:dyDescent="0.2">
      <c r="A463" s="15">
        <v>45266</v>
      </c>
      <c r="B463" s="3">
        <f>VLOOKUP(A463,'[1]BADI SID DATA'!A:B,2,0)</f>
        <v>250</v>
      </c>
      <c r="C463" s="4">
        <v>48099.35000000149</v>
      </c>
      <c r="D463" s="5">
        <v>4.6500000000000004</v>
      </c>
      <c r="E463" s="23">
        <v>100</v>
      </c>
      <c r="F463" s="23">
        <v>100</v>
      </c>
      <c r="G463" s="16">
        <f>VLOOKUP(A463,'[1]DRDO Kolar Data'!$A:$E,5,0)*1000</f>
        <v>10200</v>
      </c>
      <c r="H463" s="24">
        <f t="shared" si="21"/>
        <v>4455102.599999994</v>
      </c>
      <c r="I463" s="25">
        <f t="shared" si="22"/>
        <v>20.041395833333954</v>
      </c>
      <c r="J463" s="25">
        <f t="shared" si="23"/>
        <v>7.42517099999999</v>
      </c>
      <c r="K463" s="17" t="s">
        <v>11</v>
      </c>
    </row>
    <row r="464" spans="1:11" ht="15.75" customHeight="1" x14ac:dyDescent="0.2">
      <c r="A464" s="15">
        <v>45267</v>
      </c>
      <c r="B464" s="3">
        <f>VLOOKUP(A464,'[1]BADI SID DATA'!A:B,2,0)</f>
        <v>251</v>
      </c>
      <c r="C464" s="4">
        <v>31849.35000000149</v>
      </c>
      <c r="D464" s="5">
        <v>3.04</v>
      </c>
      <c r="E464" s="23">
        <v>100</v>
      </c>
      <c r="F464" s="23">
        <v>100</v>
      </c>
      <c r="G464" s="16">
        <f>VLOOKUP(A464,'[1]DRDO Kolar Data'!$A:$E,5,0)*1000</f>
        <v>10300</v>
      </c>
      <c r="H464" s="24">
        <f t="shared" si="21"/>
        <v>4486951.9499999955</v>
      </c>
      <c r="I464" s="25">
        <f t="shared" si="22"/>
        <v>13.27056250000062</v>
      </c>
      <c r="J464" s="25">
        <f t="shared" si="23"/>
        <v>7.4484594123505898</v>
      </c>
      <c r="K464" s="17" t="s">
        <v>11</v>
      </c>
    </row>
    <row r="465" spans="1:11" ht="15.75" customHeight="1" x14ac:dyDescent="0.2">
      <c r="A465" s="15">
        <v>45268</v>
      </c>
      <c r="B465" s="3">
        <f>VLOOKUP(A465,'[1]BADI SID DATA'!A:B,2,0)</f>
        <v>252</v>
      </c>
      <c r="C465" s="4">
        <v>29901.30000000447</v>
      </c>
      <c r="D465" s="5">
        <v>2.74</v>
      </c>
      <c r="E465" s="23">
        <v>100</v>
      </c>
      <c r="F465" s="23">
        <v>100</v>
      </c>
      <c r="G465" s="16">
        <f>VLOOKUP(A465,'[1]DRDO Kolar Data'!$A:$E,5,0)*1000</f>
        <v>10500</v>
      </c>
      <c r="H465" s="24">
        <f t="shared" si="21"/>
        <v>4516853.25</v>
      </c>
      <c r="I465" s="25">
        <f t="shared" si="22"/>
        <v>12.458875000001862</v>
      </c>
      <c r="J465" s="25">
        <f t="shared" si="23"/>
        <v>7.468342013888889</v>
      </c>
      <c r="K465" s="17" t="s">
        <v>11</v>
      </c>
    </row>
    <row r="466" spans="1:11" ht="15.75" customHeight="1" x14ac:dyDescent="0.2">
      <c r="A466" s="15">
        <v>45269</v>
      </c>
      <c r="B466" s="3">
        <f>VLOOKUP(A466,'[1]BADI SID DATA'!A:B,2,0)</f>
        <v>253</v>
      </c>
      <c r="C466" s="4">
        <v>29247.399999991059</v>
      </c>
      <c r="D466" s="5">
        <v>2.67</v>
      </c>
      <c r="E466" s="23">
        <v>100</v>
      </c>
      <c r="F466" s="23">
        <v>100</v>
      </c>
      <c r="G466" s="16">
        <f>VLOOKUP(A466,'[1]DRDO Kolar Data'!$A:$E,5,0)*1000</f>
        <v>10000</v>
      </c>
      <c r="H466" s="24">
        <f t="shared" si="21"/>
        <v>4546100.6499999911</v>
      </c>
      <c r="I466" s="25">
        <f t="shared" si="22"/>
        <v>12.186416666662941</v>
      </c>
      <c r="J466" s="25">
        <f t="shared" si="23"/>
        <v>7.4869905303030153</v>
      </c>
      <c r="K466" s="17" t="s">
        <v>11</v>
      </c>
    </row>
    <row r="467" spans="1:11" ht="15.75" customHeight="1" x14ac:dyDescent="0.2">
      <c r="A467" s="15">
        <v>45270</v>
      </c>
      <c r="B467" s="3">
        <f>VLOOKUP(A467,'[1]BADI SID DATA'!A:B,2,0)</f>
        <v>254</v>
      </c>
      <c r="C467" s="4">
        <v>47452.60000000149</v>
      </c>
      <c r="D467" s="6">
        <v>4.38</v>
      </c>
      <c r="E467" s="23">
        <v>100</v>
      </c>
      <c r="F467" s="23">
        <v>100</v>
      </c>
      <c r="G467" s="16">
        <f>VLOOKUP(A467,'[1]DRDO Kolar Data'!$A:$E,5,0)*1000</f>
        <v>10000</v>
      </c>
      <c r="H467" s="24">
        <f t="shared" si="21"/>
        <v>4593553.2499999925</v>
      </c>
      <c r="I467" s="25">
        <f t="shared" si="22"/>
        <v>19.771916666667288</v>
      </c>
      <c r="J467" s="25">
        <f t="shared" si="23"/>
        <v>7.5353563812335835</v>
      </c>
      <c r="K467" s="17" t="s">
        <v>11</v>
      </c>
    </row>
    <row r="468" spans="1:11" ht="15.75" customHeight="1" x14ac:dyDescent="0.2">
      <c r="A468" s="15">
        <v>45271</v>
      </c>
      <c r="B468" s="3">
        <f>VLOOKUP(A468,'[1]BADI SID DATA'!A:B,2,0)</f>
        <v>255</v>
      </c>
      <c r="C468" s="4">
        <v>43548.70000000298</v>
      </c>
      <c r="D468" s="7">
        <v>3.96</v>
      </c>
      <c r="E468" s="23">
        <v>100</v>
      </c>
      <c r="F468" s="23">
        <v>100</v>
      </c>
      <c r="G468" s="16">
        <f>VLOOKUP(A468,'[1]DRDO Kolar Data'!$A:$E,5,0)*1000</f>
        <v>9900</v>
      </c>
      <c r="H468" s="24">
        <f t="shared" si="21"/>
        <v>4637101.9499999955</v>
      </c>
      <c r="I468" s="25">
        <f t="shared" si="22"/>
        <v>18.145291666667909</v>
      </c>
      <c r="J468" s="25">
        <f t="shared" si="23"/>
        <v>7.5769639705882286</v>
      </c>
      <c r="K468" s="17" t="s">
        <v>11</v>
      </c>
    </row>
    <row r="469" spans="1:11" ht="15.75" customHeight="1" x14ac:dyDescent="0.2">
      <c r="A469" s="15">
        <v>45272</v>
      </c>
      <c r="B469" s="3">
        <f>VLOOKUP(A469,'[1]BADI SID DATA'!A:B,2,0)</f>
        <v>256</v>
      </c>
      <c r="C469" s="4">
        <v>42251.30000000447</v>
      </c>
      <c r="D469" s="6">
        <v>3.93</v>
      </c>
      <c r="E469" s="23">
        <v>100</v>
      </c>
      <c r="F469" s="23">
        <v>100</v>
      </c>
      <c r="G469" s="16">
        <f>VLOOKUP(A469,'[1]DRDO Kolar Data'!$A:$E,5,0)*1000</f>
        <v>9700</v>
      </c>
      <c r="H469" s="24">
        <f t="shared" si="21"/>
        <v>4679353.25</v>
      </c>
      <c r="I469" s="25">
        <f t="shared" si="22"/>
        <v>17.604708333335196</v>
      </c>
      <c r="J469" s="25">
        <f t="shared" si="23"/>
        <v>7.6161348470052088</v>
      </c>
      <c r="K469" s="17" t="s">
        <v>11</v>
      </c>
    </row>
    <row r="470" spans="1:11" ht="15.75" customHeight="1" x14ac:dyDescent="0.2">
      <c r="A470" s="15">
        <v>45273</v>
      </c>
      <c r="B470" s="3">
        <f>VLOOKUP(A470,'[1]BADI SID DATA'!A:B,2,0)</f>
        <v>257</v>
      </c>
      <c r="C470" s="4">
        <v>50047.39999999851</v>
      </c>
      <c r="D470" s="6">
        <v>4.7699999999999996</v>
      </c>
      <c r="E470" s="23">
        <v>100</v>
      </c>
      <c r="F470" s="23">
        <v>100</v>
      </c>
      <c r="G470" s="16">
        <f>VLOOKUP(A470,'[1]DRDO Kolar Data'!$A:$E,5,0)*1000</f>
        <v>10000</v>
      </c>
      <c r="H470" s="24">
        <f t="shared" si="21"/>
        <v>4729400.6499999985</v>
      </c>
      <c r="I470" s="25">
        <f t="shared" si="22"/>
        <v>20.853083333332712</v>
      </c>
      <c r="J470" s="25">
        <f t="shared" si="23"/>
        <v>7.6676404831387783</v>
      </c>
      <c r="K470" s="17" t="s">
        <v>11</v>
      </c>
    </row>
    <row r="471" spans="1:11" ht="15.75" customHeight="1" x14ac:dyDescent="0.2">
      <c r="A471" s="15">
        <v>45274</v>
      </c>
      <c r="B471" s="3">
        <f>VLOOKUP(A471,'[1]BADI SID DATA'!A:B,2,0)</f>
        <v>258</v>
      </c>
      <c r="C471" s="4">
        <v>48750</v>
      </c>
      <c r="D471" s="6">
        <v>4.68</v>
      </c>
      <c r="E471" s="23">
        <v>100</v>
      </c>
      <c r="F471" s="23">
        <v>100</v>
      </c>
      <c r="G471" s="16">
        <f>VLOOKUP(A471,'[1]DRDO Kolar Data'!$A:$E,5,0)*1000</f>
        <v>10000</v>
      </c>
      <c r="H471" s="24">
        <f t="shared" ref="H471:H534" si="24">C471+H470</f>
        <v>4778150.6499999985</v>
      </c>
      <c r="I471" s="25">
        <f t="shared" si="22"/>
        <v>20.3125</v>
      </c>
      <c r="J471" s="25">
        <f t="shared" si="23"/>
        <v>7.7166515665374646</v>
      </c>
      <c r="K471" s="17" t="s">
        <v>11</v>
      </c>
    </row>
    <row r="472" spans="1:11" ht="15.75" customHeight="1" x14ac:dyDescent="0.2">
      <c r="A472" s="15">
        <v>45275</v>
      </c>
      <c r="B472" s="3">
        <f>VLOOKUP(A472,'[1]BADI SID DATA'!A:B,2,0)</f>
        <v>259</v>
      </c>
      <c r="C472" s="4">
        <v>22752.60000000149</v>
      </c>
      <c r="D472" s="6">
        <v>2.06</v>
      </c>
      <c r="E472" s="23">
        <v>100</v>
      </c>
      <c r="F472" s="23">
        <v>100</v>
      </c>
      <c r="G472" s="16">
        <f>VLOOKUP(A472,'[1]DRDO Kolar Data'!$A:$E,5,0)*1000</f>
        <v>9100</v>
      </c>
      <c r="H472" s="24">
        <f t="shared" si="24"/>
        <v>4800903.25</v>
      </c>
      <c r="I472" s="25">
        <f t="shared" si="22"/>
        <v>9.4802500000006216</v>
      </c>
      <c r="J472" s="25">
        <f t="shared" si="23"/>
        <v>7.723460826898326</v>
      </c>
      <c r="K472" s="17" t="s">
        <v>32</v>
      </c>
    </row>
    <row r="473" spans="1:11" ht="15.75" customHeight="1" x14ac:dyDescent="0.2">
      <c r="A473" s="15">
        <v>45276</v>
      </c>
      <c r="B473" s="3">
        <f>VLOOKUP(A473,'[1]BADI SID DATA'!A:B,2,0)</f>
        <v>260</v>
      </c>
      <c r="C473" s="4">
        <v>19499.34999999404</v>
      </c>
      <c r="D473" s="7">
        <v>1.77</v>
      </c>
      <c r="E473" s="23">
        <v>100</v>
      </c>
      <c r="F473" s="23">
        <v>100</v>
      </c>
      <c r="G473" s="16">
        <f>VLOOKUP(A473,'[1]DRDO Kolar Data'!$A:$E,5,0)*1000</f>
        <v>10500</v>
      </c>
      <c r="H473" s="24">
        <f t="shared" si="24"/>
        <v>4820402.599999994</v>
      </c>
      <c r="I473" s="25">
        <f t="shared" si="22"/>
        <v>8.1247291666641832</v>
      </c>
      <c r="J473" s="25">
        <f t="shared" si="23"/>
        <v>7.7250041666666576</v>
      </c>
      <c r="K473" s="17" t="s">
        <v>32</v>
      </c>
    </row>
    <row r="474" spans="1:11" ht="15.75" customHeight="1" x14ac:dyDescent="0.2">
      <c r="A474" s="15">
        <v>45277</v>
      </c>
      <c r="B474" s="3">
        <f>VLOOKUP(A474,'[1]BADI SID DATA'!A:B,2,0)</f>
        <v>261</v>
      </c>
      <c r="C474" s="4">
        <v>20800</v>
      </c>
      <c r="D474" s="6">
        <v>1.91</v>
      </c>
      <c r="E474" s="23">
        <v>100</v>
      </c>
      <c r="F474" s="23">
        <v>100</v>
      </c>
      <c r="G474" s="16">
        <f>VLOOKUP(A474,'[1]DRDO Kolar Data'!$A:$E,5,0)*1000</f>
        <v>4000</v>
      </c>
      <c r="H474" s="24">
        <f t="shared" si="24"/>
        <v>4841202.599999994</v>
      </c>
      <c r="I474" s="25">
        <f t="shared" si="22"/>
        <v>8.6666666666666679</v>
      </c>
      <c r="J474" s="25">
        <f t="shared" si="23"/>
        <v>7.728612068965508</v>
      </c>
      <c r="K474" s="17" t="s">
        <v>32</v>
      </c>
    </row>
    <row r="475" spans="1:11" ht="15.75" customHeight="1" x14ac:dyDescent="0.2">
      <c r="A475" s="15">
        <v>45278</v>
      </c>
      <c r="B475" s="3">
        <f>VLOOKUP(A475,'[1]BADI SID DATA'!A:B,2,0)</f>
        <v>262</v>
      </c>
      <c r="C475" s="4">
        <v>18198.05000000447</v>
      </c>
      <c r="D475" s="6">
        <v>1.63</v>
      </c>
      <c r="E475" s="23">
        <v>100</v>
      </c>
      <c r="F475" s="23">
        <v>100</v>
      </c>
      <c r="G475" s="16">
        <f>VLOOKUP(A475,'[1]DRDO Kolar Data'!$A:$E,5,0)*1000</f>
        <v>10000</v>
      </c>
      <c r="H475" s="24">
        <f t="shared" si="24"/>
        <v>4859400.6499999985</v>
      </c>
      <c r="I475" s="25">
        <f t="shared" si="22"/>
        <v>7.5825208333351961</v>
      </c>
      <c r="J475" s="25">
        <f t="shared" si="23"/>
        <v>7.7280544688295132</v>
      </c>
      <c r="K475" s="17" t="s">
        <v>32</v>
      </c>
    </row>
    <row r="476" spans="1:11" ht="15.75" customHeight="1" x14ac:dyDescent="0.2">
      <c r="A476" s="15">
        <v>45279</v>
      </c>
      <c r="B476" s="3">
        <f>VLOOKUP(A476,'[1]BADI SID DATA'!A:B,2,0)</f>
        <v>263</v>
      </c>
      <c r="C476" s="4">
        <v>44850.64999999851</v>
      </c>
      <c r="D476" s="6">
        <v>4.3099999999999996</v>
      </c>
      <c r="E476" s="23">
        <v>100</v>
      </c>
      <c r="F476" s="23">
        <v>100</v>
      </c>
      <c r="G476" s="16">
        <f>VLOOKUP(A476,'[1]DRDO Kolar Data'!$A:$E,5,0)*1000</f>
        <v>10100</v>
      </c>
      <c r="H476" s="24">
        <f t="shared" si="24"/>
        <v>4904251.299999997</v>
      </c>
      <c r="I476" s="25">
        <f t="shared" si="22"/>
        <v>18.687770833332713</v>
      </c>
      <c r="J476" s="25">
        <f t="shared" si="23"/>
        <v>7.7697263941698305</v>
      </c>
      <c r="K476" s="17" t="s">
        <v>11</v>
      </c>
    </row>
    <row r="477" spans="1:11" ht="15.75" customHeight="1" x14ac:dyDescent="0.2">
      <c r="A477" s="15">
        <v>45280</v>
      </c>
      <c r="B477" s="3">
        <f>VLOOKUP(A477,'[1]BADI SID DATA'!A:B,2,0)</f>
        <v>264</v>
      </c>
      <c r="C477" s="4">
        <v>48099.34999999404</v>
      </c>
      <c r="D477" s="6">
        <v>4.5999999999999996</v>
      </c>
      <c r="E477" s="23">
        <v>100</v>
      </c>
      <c r="F477" s="23">
        <v>100</v>
      </c>
      <c r="G477" s="16">
        <f>VLOOKUP(A477,'[1]DRDO Kolar Data'!$A:$E,5,0)*1000</f>
        <v>10400</v>
      </c>
      <c r="H477" s="24">
        <f t="shared" si="24"/>
        <v>4952350.6499999911</v>
      </c>
      <c r="I477" s="25">
        <f t="shared" si="22"/>
        <v>20.041395833330849</v>
      </c>
      <c r="J477" s="25">
        <f t="shared" si="23"/>
        <v>7.8162099905302886</v>
      </c>
      <c r="K477" s="17" t="s">
        <v>11</v>
      </c>
    </row>
    <row r="478" spans="1:11" ht="15.75" customHeight="1" x14ac:dyDescent="0.2">
      <c r="A478" s="15">
        <v>45281</v>
      </c>
      <c r="B478" s="3">
        <f>VLOOKUP(A478,'[1]BADI SID DATA'!A:B,2,0)</f>
        <v>265</v>
      </c>
      <c r="C478" s="4">
        <v>37050.000000007451</v>
      </c>
      <c r="D478" s="7">
        <v>3.66</v>
      </c>
      <c r="E478" s="23">
        <v>100</v>
      </c>
      <c r="F478" s="23">
        <v>100</v>
      </c>
      <c r="G478" s="16">
        <f>VLOOKUP(A478,'[1]DRDO Kolar Data'!$A:$E,5,0)*1000</f>
        <v>10200</v>
      </c>
      <c r="H478" s="24">
        <f t="shared" si="24"/>
        <v>4989400.6499999985</v>
      </c>
      <c r="I478" s="25">
        <f t="shared" si="22"/>
        <v>15.437500000003105</v>
      </c>
      <c r="J478" s="25">
        <f t="shared" si="23"/>
        <v>7.8449695754716959</v>
      </c>
      <c r="K478" s="17" t="s">
        <v>32</v>
      </c>
    </row>
    <row r="479" spans="1:11" ht="15.75" customHeight="1" x14ac:dyDescent="0.2">
      <c r="A479" s="15">
        <v>45282</v>
      </c>
      <c r="B479" s="3">
        <f>VLOOKUP(A479,'[1]BADI SID DATA'!A:B,2,0)</f>
        <v>266</v>
      </c>
      <c r="C479" s="4">
        <v>51999.34999999404</v>
      </c>
      <c r="D479" s="6">
        <v>5.1100000000000003</v>
      </c>
      <c r="E479" s="23">
        <v>100</v>
      </c>
      <c r="F479" s="23">
        <v>90.902777777777771</v>
      </c>
      <c r="G479" s="16">
        <f>VLOOKUP(A479,'[1]DRDO Kolar Data'!$A:$E,5,0)*1000</f>
        <v>10000</v>
      </c>
      <c r="H479" s="24">
        <f t="shared" si="24"/>
        <v>5041399.9999999925</v>
      </c>
      <c r="I479" s="25">
        <f t="shared" si="22"/>
        <v>21.666395833330849</v>
      </c>
      <c r="J479" s="25">
        <f t="shared" si="23"/>
        <v>7.8969298245613926</v>
      </c>
      <c r="K479" s="17" t="s">
        <v>11</v>
      </c>
    </row>
    <row r="480" spans="1:11" ht="15.75" customHeight="1" x14ac:dyDescent="0.2">
      <c r="A480" s="15">
        <v>45283</v>
      </c>
      <c r="B480" s="3">
        <f>VLOOKUP(A480,'[1]BADI SID DATA'!A:B,2,0)</f>
        <v>267</v>
      </c>
      <c r="C480" s="4">
        <v>60453.250000007451</v>
      </c>
      <c r="D480" s="6">
        <v>5.81</v>
      </c>
      <c r="E480" s="23">
        <v>100</v>
      </c>
      <c r="F480" s="23">
        <v>100</v>
      </c>
      <c r="G480" s="16">
        <f>VLOOKUP(A480,'[1]DRDO Kolar Data'!$A:$E,5,0)*1000</f>
        <v>9900</v>
      </c>
      <c r="H480" s="24">
        <f t="shared" si="24"/>
        <v>5101853.25</v>
      </c>
      <c r="I480" s="25">
        <f t="shared" si="22"/>
        <v>25.188854166669771</v>
      </c>
      <c r="J480" s="25">
        <f t="shared" si="23"/>
        <v>7.9616935861423226</v>
      </c>
      <c r="K480" s="17" t="s">
        <v>13</v>
      </c>
    </row>
    <row r="481" spans="1:11" ht="15.75" customHeight="1" x14ac:dyDescent="0.2">
      <c r="A481" s="15">
        <v>45284</v>
      </c>
      <c r="B481" s="3">
        <f>VLOOKUP(A481,'[1]BADI SID DATA'!A:B,2,0)</f>
        <v>268</v>
      </c>
      <c r="C481" s="4">
        <v>57200.64999999851</v>
      </c>
      <c r="D481" s="6">
        <v>5.39</v>
      </c>
      <c r="E481" s="23">
        <v>100</v>
      </c>
      <c r="F481" s="23">
        <v>49.236111111111114</v>
      </c>
      <c r="G481" s="16">
        <f>VLOOKUP(A481,'[1]DRDO Kolar Data'!$A:$E,5,0)*1000</f>
        <v>10000</v>
      </c>
      <c r="H481" s="24">
        <f t="shared" si="24"/>
        <v>5159053.8999999985</v>
      </c>
      <c r="I481" s="25">
        <f t="shared" si="22"/>
        <v>23.833604166666046</v>
      </c>
      <c r="J481" s="25">
        <f t="shared" si="23"/>
        <v>8.0209171330845752</v>
      </c>
      <c r="K481" s="17" t="s">
        <v>13</v>
      </c>
    </row>
    <row r="482" spans="1:11" ht="15.75" customHeight="1" x14ac:dyDescent="0.2">
      <c r="A482" s="15">
        <v>45285</v>
      </c>
      <c r="B482" s="3">
        <f>VLOOKUP(A482,'[1]BADI SID DATA'!A:B,2,0)</f>
        <v>269</v>
      </c>
      <c r="C482" s="4">
        <v>34448.04999999702</v>
      </c>
      <c r="D482" s="6">
        <v>3.36</v>
      </c>
      <c r="E482" s="23">
        <v>100</v>
      </c>
      <c r="F482" s="23">
        <v>100</v>
      </c>
      <c r="G482" s="16">
        <f>VLOOKUP(A482,'[1]DRDO Kolar Data'!$A:$E,5,0)*1000</f>
        <v>10600</v>
      </c>
      <c r="H482" s="24">
        <f t="shared" si="24"/>
        <v>5193501.9499999955</v>
      </c>
      <c r="I482" s="25">
        <f t="shared" si="22"/>
        <v>14.353354166665424</v>
      </c>
      <c r="J482" s="25">
        <f t="shared" si="23"/>
        <v>8.0444577912019746</v>
      </c>
      <c r="K482" s="17" t="s">
        <v>15</v>
      </c>
    </row>
    <row r="483" spans="1:11" ht="15.75" customHeight="1" x14ac:dyDescent="0.2">
      <c r="A483" s="15">
        <v>45286</v>
      </c>
      <c r="B483" s="3">
        <f>VLOOKUP(A483,'[1]BADI SID DATA'!A:B,2,0)</f>
        <v>270</v>
      </c>
      <c r="C483" s="4">
        <v>65650.64999999851</v>
      </c>
      <c r="D483" s="6">
        <v>6.12</v>
      </c>
      <c r="E483" s="23">
        <v>100</v>
      </c>
      <c r="F483" s="23">
        <v>97.430555555555557</v>
      </c>
      <c r="G483" s="16">
        <f>VLOOKUP(A483,'[1]DRDO Kolar Data'!$A:$E,5,0)*1000</f>
        <v>10800</v>
      </c>
      <c r="H483" s="24">
        <f t="shared" si="24"/>
        <v>5259152.599999994</v>
      </c>
      <c r="I483" s="25">
        <f t="shared" si="22"/>
        <v>27.354437499999378</v>
      </c>
      <c r="J483" s="25">
        <f t="shared" si="23"/>
        <v>8.1159762345678921</v>
      </c>
      <c r="K483" s="17" t="s">
        <v>24</v>
      </c>
    </row>
    <row r="484" spans="1:11" ht="15.75" customHeight="1" x14ac:dyDescent="0.2">
      <c r="A484" s="15">
        <v>45287</v>
      </c>
      <c r="B484" s="3">
        <f>VLOOKUP(A484,'[1]BADI SID DATA'!A:B,2,0)</f>
        <v>271</v>
      </c>
      <c r="C484" s="4">
        <v>65650.64999999851</v>
      </c>
      <c r="D484" s="7">
        <v>6.12</v>
      </c>
      <c r="E484" s="23">
        <v>100</v>
      </c>
      <c r="F484" s="23">
        <v>100</v>
      </c>
      <c r="G484" s="16">
        <f>VLOOKUP(A484,'[1]DRDO Kolar Data'!$A:$E,5,0)*1000</f>
        <v>10100</v>
      </c>
      <c r="H484" s="24">
        <f t="shared" si="24"/>
        <v>5324803.2499999925</v>
      </c>
      <c r="I484" s="25">
        <f t="shared" si="22"/>
        <v>27.354437499999378</v>
      </c>
      <c r="J484" s="25">
        <f t="shared" si="23"/>
        <v>8.1869668665436546</v>
      </c>
      <c r="K484" s="17" t="s">
        <v>24</v>
      </c>
    </row>
    <row r="485" spans="1:11" ht="15.75" customHeight="1" x14ac:dyDescent="0.2">
      <c r="A485" s="15">
        <v>45288</v>
      </c>
      <c r="B485" s="3">
        <f>VLOOKUP(A485,'[1]BADI SID DATA'!A:B,2,0)</f>
        <v>272</v>
      </c>
      <c r="C485" s="4">
        <v>57200</v>
      </c>
      <c r="D485" s="6">
        <v>5.38</v>
      </c>
      <c r="E485" s="23">
        <v>100</v>
      </c>
      <c r="F485" s="23">
        <v>100</v>
      </c>
      <c r="G485" s="16">
        <f>VLOOKUP(A485,'[1]DRDO Kolar Data'!$A:$E,5,0)*1000</f>
        <v>10200</v>
      </c>
      <c r="H485" s="24">
        <f t="shared" si="24"/>
        <v>5382003.2499999925</v>
      </c>
      <c r="I485" s="25">
        <f t="shared" si="22"/>
        <v>23.833333333333336</v>
      </c>
      <c r="J485" s="25">
        <f t="shared" si="23"/>
        <v>8.2444902726715572</v>
      </c>
      <c r="K485" s="17" t="s">
        <v>13</v>
      </c>
    </row>
    <row r="486" spans="1:11" ht="15.75" customHeight="1" x14ac:dyDescent="0.2">
      <c r="A486" s="15">
        <v>45289</v>
      </c>
      <c r="B486" s="3">
        <f>VLOOKUP(A486,'[1]BADI SID DATA'!A:B,2,0)</f>
        <v>273</v>
      </c>
      <c r="C486" s="4">
        <v>44199.35000000149</v>
      </c>
      <c r="D486" s="6">
        <v>4.12</v>
      </c>
      <c r="E486" s="23">
        <v>100</v>
      </c>
      <c r="F486" s="23">
        <v>100</v>
      </c>
      <c r="G486" s="16">
        <f>VLOOKUP(A486,'[1]DRDO Kolar Data'!$A:$E,5,0)*1000</f>
        <v>10100</v>
      </c>
      <c r="H486" s="24">
        <f t="shared" si="24"/>
        <v>5426202.599999994</v>
      </c>
      <c r="I486" s="25">
        <f t="shared" si="22"/>
        <v>18.416395833333954</v>
      </c>
      <c r="J486" s="25">
        <f t="shared" si="23"/>
        <v>8.28174999999999</v>
      </c>
      <c r="K486" s="17" t="s">
        <v>11</v>
      </c>
    </row>
    <row r="487" spans="1:11" ht="15.75" customHeight="1" x14ac:dyDescent="0.2">
      <c r="A487" s="15">
        <v>45290</v>
      </c>
      <c r="B487" s="3">
        <f>VLOOKUP(A487,'[1]BADI SID DATA'!A:B,2,0)</f>
        <v>274</v>
      </c>
      <c r="C487" s="4">
        <v>57200.65000000596</v>
      </c>
      <c r="D487" s="6">
        <v>5.69</v>
      </c>
      <c r="E487" s="23">
        <v>100</v>
      </c>
      <c r="F487" s="23">
        <v>100</v>
      </c>
      <c r="G487" s="16">
        <f>VLOOKUP(A487,'[1]DRDO Kolar Data'!$A:$E,5,0)*1000</f>
        <v>9900</v>
      </c>
      <c r="H487" s="24">
        <f t="shared" si="24"/>
        <v>5483403.25</v>
      </c>
      <c r="I487" s="25">
        <f t="shared" si="22"/>
        <v>23.833604166669151</v>
      </c>
      <c r="J487" s="25">
        <f t="shared" si="23"/>
        <v>8.3385085918491484</v>
      </c>
      <c r="K487" s="17" t="s">
        <v>13</v>
      </c>
    </row>
    <row r="488" spans="1:11" ht="15.75" customHeight="1" x14ac:dyDescent="0.2">
      <c r="A488" s="15">
        <v>45291</v>
      </c>
      <c r="B488" s="3">
        <f>VLOOKUP(A488,'[1]BADI SID DATA'!A:B,2,0)</f>
        <v>275</v>
      </c>
      <c r="C488" s="4">
        <v>48750</v>
      </c>
      <c r="D488" s="10">
        <v>4.76</v>
      </c>
      <c r="E488" s="23">
        <v>100</v>
      </c>
      <c r="F488" s="23">
        <v>91.319444444444443</v>
      </c>
      <c r="G488" s="16">
        <f>VLOOKUP(A488,'[1]DRDO Kolar Data'!$A:$E,5,0)*1000</f>
        <v>10500</v>
      </c>
      <c r="H488" s="24">
        <f t="shared" si="24"/>
        <v>5532153.25</v>
      </c>
      <c r="I488" s="25">
        <f t="shared" si="22"/>
        <v>20.3125</v>
      </c>
      <c r="J488" s="25">
        <f t="shared" si="23"/>
        <v>8.3820503787878788</v>
      </c>
      <c r="K488" s="17" t="s">
        <v>11</v>
      </c>
    </row>
    <row r="489" spans="1:11" ht="15.75" customHeight="1" x14ac:dyDescent="0.2">
      <c r="A489" s="15">
        <v>45292</v>
      </c>
      <c r="B489" s="3">
        <f>VLOOKUP(A489,'[1]BADI SID DATA'!A:B,2,0)</f>
        <v>276</v>
      </c>
      <c r="C489" s="4">
        <v>59148.04999999702</v>
      </c>
      <c r="D489" s="8">
        <v>5.56</v>
      </c>
      <c r="E489" s="23">
        <v>100</v>
      </c>
      <c r="F489" s="23">
        <v>94.791666666666657</v>
      </c>
      <c r="G489" s="16">
        <f>VLOOKUP(A489,'[1]DRDO Kolar Data'!$A:$E,5,0)*1000</f>
        <v>9900</v>
      </c>
      <c r="H489" s="24">
        <f t="shared" si="24"/>
        <v>5591301.299999997</v>
      </c>
      <c r="I489" s="25">
        <f t="shared" si="22"/>
        <v>24.64502083333209</v>
      </c>
      <c r="J489" s="25">
        <f t="shared" si="23"/>
        <v>8.4409741847826041</v>
      </c>
      <c r="K489" s="17" t="s">
        <v>13</v>
      </c>
    </row>
    <row r="490" spans="1:11" ht="15.75" customHeight="1" x14ac:dyDescent="0.2">
      <c r="A490" s="15">
        <v>45293</v>
      </c>
      <c r="B490" s="3">
        <f>VLOOKUP(A490,'[1]BADI SID DATA'!A:B,2,0)</f>
        <v>277</v>
      </c>
      <c r="C490" s="4">
        <v>48099.35000000149</v>
      </c>
      <c r="D490" s="5">
        <v>4.6500000000000004</v>
      </c>
      <c r="E490" s="23">
        <v>100</v>
      </c>
      <c r="F490" s="23">
        <v>100</v>
      </c>
      <c r="G490" s="16">
        <f>VLOOKUP(A490,'[1]DRDO Kolar Data'!$A:$E,5,0)*1000</f>
        <v>10800</v>
      </c>
      <c r="H490" s="24">
        <f t="shared" si="24"/>
        <v>5639400.6499999985</v>
      </c>
      <c r="I490" s="25">
        <f t="shared" si="22"/>
        <v>20.041395833333954</v>
      </c>
      <c r="J490" s="25">
        <f t="shared" si="23"/>
        <v>8.4828529632972298</v>
      </c>
      <c r="K490" s="17" t="s">
        <v>11</v>
      </c>
    </row>
    <row r="491" spans="1:11" ht="15.75" customHeight="1" x14ac:dyDescent="0.2">
      <c r="A491" s="15">
        <v>45294</v>
      </c>
      <c r="B491" s="3">
        <f>VLOOKUP(A491,'[1]BADI SID DATA'!A:B,2,0)</f>
        <v>278</v>
      </c>
      <c r="C491" s="4">
        <v>40300</v>
      </c>
      <c r="D491" s="5">
        <v>3.73</v>
      </c>
      <c r="E491" s="23">
        <v>100</v>
      </c>
      <c r="F491" s="23">
        <v>100</v>
      </c>
      <c r="G491" s="16">
        <f>VLOOKUP(A491,'[1]DRDO Kolar Data'!$A:$E,5,0)*1000</f>
        <v>10200</v>
      </c>
      <c r="H491" s="24">
        <f t="shared" si="24"/>
        <v>5679700.6499999985</v>
      </c>
      <c r="I491" s="25">
        <f t="shared" si="22"/>
        <v>16.791666666666664</v>
      </c>
      <c r="J491" s="25">
        <f t="shared" si="23"/>
        <v>8.5127407823740988</v>
      </c>
      <c r="K491" s="17" t="s">
        <v>11</v>
      </c>
    </row>
    <row r="492" spans="1:11" ht="15.75" customHeight="1" x14ac:dyDescent="0.2">
      <c r="A492" s="15">
        <v>45295</v>
      </c>
      <c r="B492" s="3">
        <f>VLOOKUP(A492,'[1]BADI SID DATA'!A:B,2,0)</f>
        <v>279</v>
      </c>
      <c r="C492" s="4">
        <v>32500</v>
      </c>
      <c r="D492" s="8">
        <v>2.98</v>
      </c>
      <c r="E492" s="23">
        <v>100</v>
      </c>
      <c r="F492" s="23">
        <v>100</v>
      </c>
      <c r="G492" s="16">
        <f>VLOOKUP(A492,'[1]DRDO Kolar Data'!$A:$E,5,0)*1000</f>
        <v>10900</v>
      </c>
      <c r="H492" s="24">
        <f t="shared" si="24"/>
        <v>5712200.6499999985</v>
      </c>
      <c r="I492" s="25">
        <f t="shared" si="22"/>
        <v>13.541666666666666</v>
      </c>
      <c r="J492" s="25">
        <f t="shared" si="23"/>
        <v>8.5307656063321353</v>
      </c>
      <c r="K492" s="17" t="s">
        <v>15</v>
      </c>
    </row>
    <row r="493" spans="1:11" ht="15.75" customHeight="1" x14ac:dyDescent="0.2">
      <c r="A493" s="15">
        <v>45296</v>
      </c>
      <c r="B493" s="3">
        <f>VLOOKUP(A493,'[1]BADI SID DATA'!A:B,2,0)</f>
        <v>280</v>
      </c>
      <c r="C493" s="4">
        <v>23402.60000000149</v>
      </c>
      <c r="D493" s="8">
        <v>2.1800000000000002</v>
      </c>
      <c r="E493" s="23">
        <v>100</v>
      </c>
      <c r="F493" s="23">
        <v>100</v>
      </c>
      <c r="G493" s="16">
        <f>VLOOKUP(A493,'[1]DRDO Kolar Data'!$A:$E,5,0)*1000</f>
        <v>10300</v>
      </c>
      <c r="H493" s="24">
        <f t="shared" si="24"/>
        <v>5735603.25</v>
      </c>
      <c r="I493" s="25">
        <f t="shared" si="22"/>
        <v>9.7510833333339537</v>
      </c>
      <c r="J493" s="25">
        <f t="shared" si="23"/>
        <v>8.5351238839285717</v>
      </c>
      <c r="K493" s="17" t="s">
        <v>15</v>
      </c>
    </row>
    <row r="494" spans="1:11" ht="15.75" customHeight="1" x14ac:dyDescent="0.2">
      <c r="A494" s="15">
        <v>45297</v>
      </c>
      <c r="B494" s="3">
        <f>VLOOKUP(A494,'[1]BADI SID DATA'!A:B,2,0)</f>
        <v>281</v>
      </c>
      <c r="C494" s="4">
        <v>46148.04999999702</v>
      </c>
      <c r="D494" s="5">
        <v>4.26</v>
      </c>
      <c r="E494" s="23">
        <v>100</v>
      </c>
      <c r="F494" s="23">
        <v>100</v>
      </c>
      <c r="G494" s="16">
        <f>VLOOKUP(A494,'[1]DRDO Kolar Data'!$A:$E,5,0)*1000</f>
        <v>9900</v>
      </c>
      <c r="H494" s="24">
        <f t="shared" si="24"/>
        <v>5781751.299999997</v>
      </c>
      <c r="I494" s="25">
        <f t="shared" si="22"/>
        <v>19.228354166665426</v>
      </c>
      <c r="J494" s="25">
        <f t="shared" si="23"/>
        <v>8.5731780842230076</v>
      </c>
      <c r="K494" s="17" t="s">
        <v>11</v>
      </c>
    </row>
    <row r="495" spans="1:11" ht="15.75" customHeight="1" x14ac:dyDescent="0.2">
      <c r="A495" s="15">
        <v>45298</v>
      </c>
      <c r="B495" s="3">
        <f>VLOOKUP(A495,'[1]BADI SID DATA'!A:B,2,0)</f>
        <v>282</v>
      </c>
      <c r="C495" s="4">
        <v>50050.64999999851</v>
      </c>
      <c r="D495" s="5">
        <v>4.68</v>
      </c>
      <c r="E495" s="23">
        <v>100</v>
      </c>
      <c r="F495" s="23">
        <v>100</v>
      </c>
      <c r="G495" s="16">
        <f>VLOOKUP(A495,'[1]DRDO Kolar Data'!$A:$E,5,0)*1000</f>
        <v>10300</v>
      </c>
      <c r="H495" s="24">
        <f t="shared" si="24"/>
        <v>5831801.9499999955</v>
      </c>
      <c r="I495" s="25">
        <f t="shared" si="22"/>
        <v>20.854437499999378</v>
      </c>
      <c r="J495" s="25">
        <f t="shared" si="23"/>
        <v>8.6167286495271807</v>
      </c>
      <c r="K495" s="17" t="s">
        <v>11</v>
      </c>
    </row>
    <row r="496" spans="1:11" ht="15.75" customHeight="1" x14ac:dyDescent="0.2">
      <c r="A496" s="15">
        <v>45299</v>
      </c>
      <c r="B496" s="3">
        <f>VLOOKUP(A496,'[1]BADI SID DATA'!A:B,2,0)</f>
        <v>283</v>
      </c>
      <c r="C496" s="4">
        <v>14298.69999999553</v>
      </c>
      <c r="D496" s="5">
        <v>1.08</v>
      </c>
      <c r="E496" s="23">
        <v>100</v>
      </c>
      <c r="F496" s="23">
        <v>100</v>
      </c>
      <c r="G496" s="16">
        <f>VLOOKUP(A496,'[1]DRDO Kolar Data'!$A:$E,5,0)*1000</f>
        <v>2100</v>
      </c>
      <c r="H496" s="24">
        <f t="shared" si="24"/>
        <v>5846100.6499999911</v>
      </c>
      <c r="I496" s="25">
        <f t="shared" si="22"/>
        <v>5.9577916666648036</v>
      </c>
      <c r="J496" s="25">
        <f t="shared" si="23"/>
        <v>8.6073331124852626</v>
      </c>
      <c r="K496" s="17" t="s">
        <v>10</v>
      </c>
    </row>
    <row r="497" spans="1:11" ht="15.75" customHeight="1" x14ac:dyDescent="0.2">
      <c r="A497" s="15">
        <v>45300</v>
      </c>
      <c r="B497" s="3">
        <f>VLOOKUP(A497,'[1]BADI SID DATA'!A:B,2,0)</f>
        <v>284</v>
      </c>
      <c r="C497" s="4">
        <v>42251.30000000447</v>
      </c>
      <c r="D497" s="5">
        <v>3.93</v>
      </c>
      <c r="E497" s="23">
        <v>100</v>
      </c>
      <c r="F497" s="23">
        <v>100</v>
      </c>
      <c r="G497" s="16">
        <f>VLOOKUP(A497,'[1]DRDO Kolar Data'!$A:$E,5,0)*1000</f>
        <v>11000</v>
      </c>
      <c r="H497" s="24">
        <f t="shared" si="24"/>
        <v>5888351.9499999955</v>
      </c>
      <c r="I497" s="25">
        <f t="shared" si="22"/>
        <v>17.604708333335196</v>
      </c>
      <c r="J497" s="25">
        <f t="shared" si="23"/>
        <v>8.6390140111502287</v>
      </c>
      <c r="K497" s="17" t="s">
        <v>11</v>
      </c>
    </row>
    <row r="498" spans="1:11" ht="15.75" customHeight="1" x14ac:dyDescent="0.2">
      <c r="A498" s="15">
        <v>45301</v>
      </c>
      <c r="B498" s="3">
        <f>VLOOKUP(A498,'[1]BADI SID DATA'!A:B,2,0)</f>
        <v>285</v>
      </c>
      <c r="C498" s="4">
        <v>50701.95000000298</v>
      </c>
      <c r="D498" s="6">
        <v>4.57</v>
      </c>
      <c r="E498" s="23">
        <v>100</v>
      </c>
      <c r="F498" s="23">
        <v>100</v>
      </c>
      <c r="G498" s="16">
        <f>VLOOKUP(A498,'[1]DRDO Kolar Data'!$A:$E,5,0)*1000</f>
        <v>11000</v>
      </c>
      <c r="H498" s="24">
        <f t="shared" si="24"/>
        <v>5939053.8999999985</v>
      </c>
      <c r="I498" s="25">
        <f t="shared" si="22"/>
        <v>21.125812500001242</v>
      </c>
      <c r="J498" s="25">
        <f t="shared" si="23"/>
        <v>8.6828273391812836</v>
      </c>
      <c r="K498" s="17" t="s">
        <v>11</v>
      </c>
    </row>
    <row r="499" spans="1:11" ht="15.75" customHeight="1" x14ac:dyDescent="0.2">
      <c r="A499" s="15">
        <v>45302</v>
      </c>
      <c r="B499" s="3">
        <f>VLOOKUP(A499,'[1]BADI SID DATA'!A:B,2,0)</f>
        <v>286</v>
      </c>
      <c r="C499" s="4">
        <v>62397.39999999851</v>
      </c>
      <c r="D499" s="7">
        <v>5.79</v>
      </c>
      <c r="E499" s="23">
        <v>100</v>
      </c>
      <c r="F499" s="23">
        <v>100</v>
      </c>
      <c r="G499" s="16">
        <f>VLOOKUP(A499,'[1]DRDO Kolar Data'!$A:$E,5,0)*1000</f>
        <v>9900</v>
      </c>
      <c r="H499" s="24">
        <f t="shared" si="24"/>
        <v>6001451.299999997</v>
      </c>
      <c r="I499" s="25">
        <f t="shared" si="22"/>
        <v>25.998916666666045</v>
      </c>
      <c r="J499" s="25">
        <f t="shared" si="23"/>
        <v>8.7433731060606021</v>
      </c>
      <c r="K499" s="17" t="s">
        <v>13</v>
      </c>
    </row>
    <row r="500" spans="1:11" ht="15.75" customHeight="1" x14ac:dyDescent="0.2">
      <c r="A500" s="15">
        <v>45303</v>
      </c>
      <c r="B500" s="3">
        <f>VLOOKUP(A500,'[1]BADI SID DATA'!A:B,2,0)</f>
        <v>287</v>
      </c>
      <c r="C500" s="4">
        <v>62401.29999999702</v>
      </c>
      <c r="D500" s="6">
        <v>5.86</v>
      </c>
      <c r="E500" s="23">
        <v>100</v>
      </c>
      <c r="F500" s="23">
        <v>98.75</v>
      </c>
      <c r="G500" s="16">
        <f>VLOOKUP(A500,'[1]DRDO Kolar Data'!$A:$E,5,0)*1000</f>
        <v>9800</v>
      </c>
      <c r="H500" s="24">
        <f t="shared" si="24"/>
        <v>6063852.599999994</v>
      </c>
      <c r="I500" s="25">
        <f t="shared" si="22"/>
        <v>26.000541666665427</v>
      </c>
      <c r="J500" s="25">
        <f t="shared" si="23"/>
        <v>8.8035026132404095</v>
      </c>
      <c r="K500" s="17" t="s">
        <v>13</v>
      </c>
    </row>
    <row r="501" spans="1:11" ht="15.75" customHeight="1" x14ac:dyDescent="0.2">
      <c r="A501" s="15">
        <v>45304</v>
      </c>
      <c r="B501" s="3">
        <f>VLOOKUP(A501,'[1]BADI SID DATA'!A:B,2,0)</f>
        <v>288</v>
      </c>
      <c r="C501" s="4">
        <v>46792.85000000149</v>
      </c>
      <c r="D501" s="6">
        <v>4.59</v>
      </c>
      <c r="E501" s="23">
        <v>100</v>
      </c>
      <c r="F501" s="23">
        <v>100</v>
      </c>
      <c r="G501" s="16">
        <f>VLOOKUP(A501,'[1]DRDO Kolar Data'!$A:$E,5,0)*1000</f>
        <v>10500</v>
      </c>
      <c r="H501" s="24">
        <f t="shared" si="24"/>
        <v>6110645.4499999955</v>
      </c>
      <c r="I501" s="25">
        <f t="shared" si="22"/>
        <v>19.497020833333952</v>
      </c>
      <c r="J501" s="25">
        <f t="shared" si="23"/>
        <v>8.840632884837957</v>
      </c>
      <c r="K501" s="17" t="s">
        <v>11</v>
      </c>
    </row>
    <row r="502" spans="1:11" ht="15.75" customHeight="1" x14ac:dyDescent="0.2">
      <c r="A502" s="15">
        <v>45305</v>
      </c>
      <c r="B502" s="3">
        <f>VLOOKUP(A502,'[1]BADI SID DATA'!A:B,2,0)</f>
        <v>289</v>
      </c>
      <c r="C502" s="4">
        <v>57851.29999999702</v>
      </c>
      <c r="D502" s="6">
        <v>5.49</v>
      </c>
      <c r="E502" s="23">
        <v>100</v>
      </c>
      <c r="F502" s="23">
        <v>100</v>
      </c>
      <c r="G502" s="16">
        <f>VLOOKUP(A502,'[1]DRDO Kolar Data'!$A:$E,5,0)*1000</f>
        <v>10800</v>
      </c>
      <c r="H502" s="24">
        <f t="shared" si="24"/>
        <v>6168496.7499999925</v>
      </c>
      <c r="I502" s="25">
        <f t="shared" si="22"/>
        <v>24.104708333332091</v>
      </c>
      <c r="J502" s="25">
        <f t="shared" si="23"/>
        <v>8.8934497549019493</v>
      </c>
      <c r="K502" s="17" t="s">
        <v>13</v>
      </c>
    </row>
    <row r="503" spans="1:11" ht="15.75" customHeight="1" x14ac:dyDescent="0.2">
      <c r="A503" s="15">
        <v>45306</v>
      </c>
      <c r="B503" s="3">
        <f>VLOOKUP(A503,'[1]BADI SID DATA'!A:B,2,0)</f>
        <v>290</v>
      </c>
      <c r="C503" s="4">
        <v>62401.30000000447</v>
      </c>
      <c r="D503" s="6">
        <v>5.93</v>
      </c>
      <c r="E503" s="23">
        <v>100</v>
      </c>
      <c r="F503" s="23">
        <v>100</v>
      </c>
      <c r="G503" s="16">
        <f>VLOOKUP(A503,'[1]DRDO Kolar Data'!$A:$E,5,0)*1000</f>
        <v>10900</v>
      </c>
      <c r="H503" s="24">
        <f t="shared" si="24"/>
        <v>6230898.049999997</v>
      </c>
      <c r="I503" s="25">
        <f t="shared" si="22"/>
        <v>26.000541666668532</v>
      </c>
      <c r="J503" s="25">
        <f t="shared" si="23"/>
        <v>8.9524397270114893</v>
      </c>
      <c r="K503" s="17" t="s">
        <v>13</v>
      </c>
    </row>
    <row r="504" spans="1:11" ht="15.75" customHeight="1" x14ac:dyDescent="0.2">
      <c r="A504" s="15">
        <v>45307</v>
      </c>
      <c r="B504" s="3">
        <f>VLOOKUP(A504,'[1]BADI SID DATA'!A:B,2,0)</f>
        <v>291</v>
      </c>
      <c r="C504" s="4">
        <v>59148.04999999702</v>
      </c>
      <c r="D504" s="6">
        <v>5.7</v>
      </c>
      <c r="E504" s="23">
        <v>100</v>
      </c>
      <c r="F504" s="23">
        <v>47.777777777777779</v>
      </c>
      <c r="G504" s="16">
        <f>VLOOKUP(A504,'[1]DRDO Kolar Data'!$A:$E,5,0)*1000</f>
        <v>9900</v>
      </c>
      <c r="H504" s="24">
        <f t="shared" si="24"/>
        <v>6290046.099999994</v>
      </c>
      <c r="I504" s="25">
        <f t="shared" si="22"/>
        <v>24.64502083333209</v>
      </c>
      <c r="J504" s="25">
        <f t="shared" si="23"/>
        <v>9.006366122565856</v>
      </c>
      <c r="K504" s="17" t="s">
        <v>13</v>
      </c>
    </row>
    <row r="505" spans="1:11" ht="15.75" customHeight="1" x14ac:dyDescent="0.2">
      <c r="A505" s="15">
        <v>45308</v>
      </c>
      <c r="B505" s="3">
        <f>VLOOKUP(A505,'[1]BADI SID DATA'!A:B,2,0)</f>
        <v>292</v>
      </c>
      <c r="C505" s="4">
        <v>60450</v>
      </c>
      <c r="D505" s="6">
        <v>5.87</v>
      </c>
      <c r="E505" s="23">
        <v>100</v>
      </c>
      <c r="F505" s="23">
        <v>100</v>
      </c>
      <c r="G505" s="16">
        <f>VLOOKUP(A505,'[1]DRDO Kolar Data'!$A:$E,5,0)*1000</f>
        <v>10000</v>
      </c>
      <c r="H505" s="24">
        <f t="shared" si="24"/>
        <v>6350496.099999994</v>
      </c>
      <c r="I505" s="25">
        <f t="shared" si="22"/>
        <v>25.1875</v>
      </c>
      <c r="J505" s="25">
        <f t="shared" si="23"/>
        <v>9.061780964611863</v>
      </c>
      <c r="K505" s="17" t="s">
        <v>13</v>
      </c>
    </row>
    <row r="506" spans="1:11" ht="15.75" customHeight="1" x14ac:dyDescent="0.2">
      <c r="A506" s="15">
        <v>45309</v>
      </c>
      <c r="B506" s="3">
        <f>VLOOKUP(A506,'[1]BADI SID DATA'!A:B,2,0)</f>
        <v>293</v>
      </c>
      <c r="C506" s="4">
        <v>56549.34999999404</v>
      </c>
      <c r="D506" s="6">
        <v>5.55</v>
      </c>
      <c r="E506" s="23">
        <v>100</v>
      </c>
      <c r="F506" s="23">
        <v>100</v>
      </c>
      <c r="G506" s="16">
        <f>VLOOKUP(A506,'[1]DRDO Kolar Data'!$A:$E,5,0)*1000</f>
        <v>9900</v>
      </c>
      <c r="H506" s="24">
        <f t="shared" si="24"/>
        <v>6407045.4499999881</v>
      </c>
      <c r="I506" s="25">
        <f t="shared" si="22"/>
        <v>23.562229166664185</v>
      </c>
      <c r="J506" s="25">
        <f t="shared" si="23"/>
        <v>9.1112705489192098</v>
      </c>
      <c r="K506" s="17" t="s">
        <v>13</v>
      </c>
    </row>
    <row r="507" spans="1:11" ht="15.75" customHeight="1" x14ac:dyDescent="0.2">
      <c r="A507" s="15">
        <v>45310</v>
      </c>
      <c r="B507" s="3">
        <f>VLOOKUP(A507,'[1]BADI SID DATA'!A:B,2,0)</f>
        <v>294</v>
      </c>
      <c r="C507" s="4">
        <v>52003.250000007451</v>
      </c>
      <c r="D507" s="6">
        <v>4.9800000000000004</v>
      </c>
      <c r="E507" s="23">
        <v>100</v>
      </c>
      <c r="F507" s="23">
        <v>100</v>
      </c>
      <c r="G507" s="16">
        <f>VLOOKUP(A507,'[1]DRDO Kolar Data'!$A:$E,5,0)*1000</f>
        <v>10000</v>
      </c>
      <c r="H507" s="24">
        <f t="shared" si="24"/>
        <v>6459048.6999999955</v>
      </c>
      <c r="I507" s="25">
        <f t="shared" si="22"/>
        <v>21.668020833336438</v>
      </c>
      <c r="J507" s="25">
        <f t="shared" si="23"/>
        <v>9.1539805839002195</v>
      </c>
      <c r="K507" s="17" t="s">
        <v>11</v>
      </c>
    </row>
    <row r="508" spans="1:11" ht="15.75" customHeight="1" x14ac:dyDescent="0.2">
      <c r="A508" s="15">
        <v>45311</v>
      </c>
      <c r="B508" s="3">
        <f>VLOOKUP(A508,'[1]BADI SID DATA'!A:B,2,0)</f>
        <v>295</v>
      </c>
      <c r="C508" s="4">
        <v>57846.75</v>
      </c>
      <c r="D508" s="6">
        <v>5.68</v>
      </c>
      <c r="E508" s="23">
        <v>100</v>
      </c>
      <c r="F508" s="23">
        <v>100</v>
      </c>
      <c r="G508" s="16">
        <f>VLOOKUP(A508,'[1]DRDO Kolar Data'!$A:$E,5,0)*1000</f>
        <v>9800</v>
      </c>
      <c r="H508" s="24">
        <f t="shared" si="24"/>
        <v>6516895.4499999955</v>
      </c>
      <c r="I508" s="25">
        <f t="shared" si="22"/>
        <v>24.102812500000002</v>
      </c>
      <c r="J508" s="25">
        <f t="shared" si="23"/>
        <v>9.2046545903954744</v>
      </c>
      <c r="K508" s="17" t="s">
        <v>24</v>
      </c>
    </row>
    <row r="509" spans="1:11" ht="15.75" customHeight="1" x14ac:dyDescent="0.2">
      <c r="A509" s="15">
        <v>45312</v>
      </c>
      <c r="B509" s="3">
        <f>VLOOKUP(A509,'[1]BADI SID DATA'!A:B,2,0)</f>
        <v>296</v>
      </c>
      <c r="C509" s="4">
        <v>61751.29999999702</v>
      </c>
      <c r="D509" s="6">
        <v>6</v>
      </c>
      <c r="E509" s="23">
        <v>100</v>
      </c>
      <c r="F509" s="23">
        <v>100</v>
      </c>
      <c r="G509" s="16">
        <f>VLOOKUP(A509,'[1]DRDO Kolar Data'!$A:$E,5,0)*1000</f>
        <v>9900</v>
      </c>
      <c r="H509" s="24">
        <f t="shared" si="24"/>
        <v>6578646.7499999925</v>
      </c>
      <c r="I509" s="25">
        <f t="shared" si="22"/>
        <v>25.729708333332091</v>
      </c>
      <c r="J509" s="25">
        <f t="shared" si="23"/>
        <v>9.260482474662151</v>
      </c>
      <c r="K509" s="17" t="s">
        <v>24</v>
      </c>
    </row>
    <row r="510" spans="1:11" ht="15.75" customHeight="1" x14ac:dyDescent="0.2">
      <c r="A510" s="15">
        <v>45313</v>
      </c>
      <c r="B510" s="3">
        <f>VLOOKUP(A510,'[1]BADI SID DATA'!A:B,2,0)</f>
        <v>297</v>
      </c>
      <c r="C510" s="4">
        <v>62401.29999999702</v>
      </c>
      <c r="D510" s="6">
        <v>6.02</v>
      </c>
      <c r="E510" s="23">
        <v>100</v>
      </c>
      <c r="F510" s="23">
        <v>100</v>
      </c>
      <c r="G510" s="16">
        <f>VLOOKUP(A510,'[1]DRDO Kolar Data'!$A:$E,5,0)*1000</f>
        <v>10000</v>
      </c>
      <c r="H510" s="24">
        <f t="shared" si="24"/>
        <v>6641048.0499999896</v>
      </c>
      <c r="I510" s="25">
        <f t="shared" si="22"/>
        <v>26.000541666665427</v>
      </c>
      <c r="J510" s="25">
        <f t="shared" si="23"/>
        <v>9.3168463103254613</v>
      </c>
      <c r="K510" s="17" t="s">
        <v>24</v>
      </c>
    </row>
    <row r="511" spans="1:11" ht="15.75" customHeight="1" x14ac:dyDescent="0.2">
      <c r="A511" s="15">
        <v>45314</v>
      </c>
      <c r="B511" s="3">
        <f>VLOOKUP(A511,'[1]BADI SID DATA'!A:B,2,0)</f>
        <v>298</v>
      </c>
      <c r="C511" s="4">
        <v>63048.05000000447</v>
      </c>
      <c r="D511" s="6">
        <v>6.07</v>
      </c>
      <c r="E511" s="23">
        <v>100</v>
      </c>
      <c r="F511" s="23">
        <v>86.805555555555557</v>
      </c>
      <c r="G511" s="16">
        <f>VLOOKUP(A511,'[1]DRDO Kolar Data'!$A:$E,5,0)*1000</f>
        <v>10000</v>
      </c>
      <c r="H511" s="24">
        <f t="shared" si="24"/>
        <v>6704096.099999994</v>
      </c>
      <c r="I511" s="25">
        <f t="shared" si="22"/>
        <v>26.270020833335195</v>
      </c>
      <c r="J511" s="25">
        <f t="shared" si="23"/>
        <v>9.3737361577181133</v>
      </c>
      <c r="K511" s="17" t="s">
        <v>24</v>
      </c>
    </row>
    <row r="512" spans="1:11" ht="15.75" customHeight="1" x14ac:dyDescent="0.2">
      <c r="A512" s="15">
        <v>45315</v>
      </c>
      <c r="B512" s="3">
        <f>VLOOKUP(A512,'[1]BADI SID DATA'!A:B,2,0)</f>
        <v>299</v>
      </c>
      <c r="C512" s="4">
        <v>53300.64999999851</v>
      </c>
      <c r="D512" s="6">
        <v>5.0199999999999996</v>
      </c>
      <c r="E512" s="23">
        <v>100</v>
      </c>
      <c r="F512" s="23">
        <v>90.625</v>
      </c>
      <c r="G512" s="16">
        <f>VLOOKUP(A512,'[1]DRDO Kolar Data'!$A:$E,5,0)*1000</f>
        <v>10200</v>
      </c>
      <c r="H512" s="24">
        <f t="shared" si="24"/>
        <v>6757396.7499999925</v>
      </c>
      <c r="I512" s="25">
        <f t="shared" si="22"/>
        <v>22.208604166666046</v>
      </c>
      <c r="J512" s="25">
        <f t="shared" si="23"/>
        <v>9.4166621376811488</v>
      </c>
      <c r="K512" s="17" t="s">
        <v>11</v>
      </c>
    </row>
    <row r="513" spans="1:11" ht="15.75" customHeight="1" x14ac:dyDescent="0.2">
      <c r="A513" s="15">
        <v>45316</v>
      </c>
      <c r="B513" s="3">
        <f>VLOOKUP(A513,'[1]BADI SID DATA'!A:B,2,0)</f>
        <v>300</v>
      </c>
      <c r="C513" s="4">
        <v>59798.70000000298</v>
      </c>
      <c r="D513" s="6">
        <v>5.86</v>
      </c>
      <c r="E513" s="23">
        <v>100</v>
      </c>
      <c r="F513" s="23">
        <v>100</v>
      </c>
      <c r="G513" s="16">
        <f>VLOOKUP(A513,'[1]DRDO Kolar Data'!$A:$E,5,0)*1000</f>
        <v>10100</v>
      </c>
      <c r="H513" s="24">
        <f t="shared" si="24"/>
        <v>6817195.4499999955</v>
      </c>
      <c r="I513" s="25">
        <f t="shared" si="22"/>
        <v>24.916125000001241</v>
      </c>
      <c r="J513" s="25">
        <f t="shared" si="23"/>
        <v>9.4683270138888833</v>
      </c>
      <c r="K513" s="17" t="s">
        <v>13</v>
      </c>
    </row>
    <row r="514" spans="1:11" ht="15.75" customHeight="1" x14ac:dyDescent="0.2">
      <c r="A514" s="15">
        <v>45317</v>
      </c>
      <c r="B514" s="3">
        <f>VLOOKUP(A514,'[1]BADI SID DATA'!A:B,2,0)</f>
        <v>301</v>
      </c>
      <c r="C514" s="4">
        <v>65650.64999999851</v>
      </c>
      <c r="D514" s="6">
        <v>6.26</v>
      </c>
      <c r="E514" s="23">
        <v>100</v>
      </c>
      <c r="F514" s="23">
        <v>89.236111111111114</v>
      </c>
      <c r="G514" s="16">
        <f>VLOOKUP(A514,'[1]DRDO Kolar Data'!$A:$E,5,0)*1000</f>
        <v>9900</v>
      </c>
      <c r="H514" s="24">
        <f t="shared" si="24"/>
        <v>6882846.099999994</v>
      </c>
      <c r="I514" s="25">
        <f t="shared" si="22"/>
        <v>27.354437499999378</v>
      </c>
      <c r="J514" s="25">
        <f t="shared" si="23"/>
        <v>9.5277493078626723</v>
      </c>
      <c r="K514" s="17" t="s">
        <v>24</v>
      </c>
    </row>
    <row r="515" spans="1:11" ht="15.75" customHeight="1" x14ac:dyDescent="0.2">
      <c r="A515" s="15">
        <v>45318</v>
      </c>
      <c r="B515" s="3">
        <f>VLOOKUP(A515,'[1]BADI SID DATA'!A:B,2,0)</f>
        <v>302</v>
      </c>
      <c r="C515" s="4">
        <v>65000</v>
      </c>
      <c r="D515" s="7">
        <v>6.29</v>
      </c>
      <c r="E515" s="23">
        <v>100</v>
      </c>
      <c r="F515" s="23">
        <v>100</v>
      </c>
      <c r="G515" s="16">
        <f>VLOOKUP(A515,'[1]DRDO Kolar Data'!$A:$E,5,0)*1000</f>
        <v>10300</v>
      </c>
      <c r="H515" s="24">
        <f t="shared" si="24"/>
        <v>6947846.099999994</v>
      </c>
      <c r="I515" s="25">
        <f t="shared" ref="I515:I578" si="25">(C515/(10*24*1000))*100</f>
        <v>27.083333333333332</v>
      </c>
      <c r="J515" s="25">
        <f t="shared" ref="J515:J578" si="26">(H515/(24*B515*10*1000))*100</f>
        <v>9.5858803807946931</v>
      </c>
      <c r="K515" s="17" t="s">
        <v>24</v>
      </c>
    </row>
    <row r="516" spans="1:11" ht="15.75" customHeight="1" x14ac:dyDescent="0.2">
      <c r="A516" s="15">
        <v>45319</v>
      </c>
      <c r="B516" s="3">
        <f>VLOOKUP(A516,'[1]BADI SID DATA'!A:B,2,0)</f>
        <v>303</v>
      </c>
      <c r="C516" s="4">
        <v>52650</v>
      </c>
      <c r="D516" s="6">
        <v>5.12</v>
      </c>
      <c r="E516" s="23">
        <v>100</v>
      </c>
      <c r="F516" s="23">
        <v>100</v>
      </c>
      <c r="G516" s="16">
        <f>VLOOKUP(A516,'[1]DRDO Kolar Data'!$A:$E,5,0)*1000</f>
        <v>10500</v>
      </c>
      <c r="H516" s="24">
        <f t="shared" si="24"/>
        <v>7000496.099999994</v>
      </c>
      <c r="I516" s="25">
        <f t="shared" si="25"/>
        <v>21.9375</v>
      </c>
      <c r="J516" s="25">
        <f t="shared" si="26"/>
        <v>9.6266448019801896</v>
      </c>
      <c r="K516" s="17" t="s">
        <v>11</v>
      </c>
    </row>
    <row r="517" spans="1:11" ht="15.75" customHeight="1" x14ac:dyDescent="0.2">
      <c r="A517" s="15">
        <v>45320</v>
      </c>
      <c r="B517" s="3">
        <f>VLOOKUP(A517,'[1]BADI SID DATA'!A:B,2,0)</f>
        <v>304</v>
      </c>
      <c r="C517" s="4">
        <v>61100</v>
      </c>
      <c r="D517" s="6">
        <v>6.03</v>
      </c>
      <c r="E517" s="23">
        <v>100</v>
      </c>
      <c r="F517" s="23">
        <v>91.388888888888886</v>
      </c>
      <c r="G517" s="16">
        <f>VLOOKUP(A517,'[1]DRDO Kolar Data'!$A:$E,5,0)*1000</f>
        <v>10200</v>
      </c>
      <c r="H517" s="24">
        <f t="shared" si="24"/>
        <v>7061596.099999994</v>
      </c>
      <c r="I517" s="25">
        <f t="shared" si="25"/>
        <v>25.458333333333332</v>
      </c>
      <c r="J517" s="25">
        <f t="shared" si="26"/>
        <v>9.6787227247806928</v>
      </c>
      <c r="K517" s="17" t="s">
        <v>13</v>
      </c>
    </row>
    <row r="518" spans="1:11" ht="15.75" customHeight="1" x14ac:dyDescent="0.2">
      <c r="A518" s="15">
        <v>45321</v>
      </c>
      <c r="B518" s="3">
        <f>VLOOKUP(A518,'[1]BADI SID DATA'!A:B,2,0)</f>
        <v>305</v>
      </c>
      <c r="C518" s="4">
        <v>63051.95000000298</v>
      </c>
      <c r="D518" s="6">
        <v>6.15</v>
      </c>
      <c r="E518" s="23">
        <v>100</v>
      </c>
      <c r="F518" s="23">
        <v>100</v>
      </c>
      <c r="G518" s="16">
        <f>VLOOKUP(A518,'[1]DRDO Kolar Data'!$A:$E,5,0)*1000</f>
        <v>10500</v>
      </c>
      <c r="H518" s="24">
        <f t="shared" si="24"/>
        <v>7124648.049999997</v>
      </c>
      <c r="I518" s="25">
        <f t="shared" si="25"/>
        <v>26.271645833334574</v>
      </c>
      <c r="J518" s="25">
        <f t="shared" si="26"/>
        <v>9.7331257513661154</v>
      </c>
      <c r="K518" s="17" t="s">
        <v>24</v>
      </c>
    </row>
    <row r="519" spans="1:11" ht="15.75" customHeight="1" x14ac:dyDescent="0.2">
      <c r="A519" s="15">
        <v>45322</v>
      </c>
      <c r="B519" s="3">
        <f>VLOOKUP(A519,'[1]BADI SID DATA'!A:B,2,0)</f>
        <v>306</v>
      </c>
      <c r="C519" s="4">
        <v>54598.04999999702</v>
      </c>
      <c r="D519" s="10">
        <v>5.5</v>
      </c>
      <c r="E519" s="23">
        <v>100</v>
      </c>
      <c r="F519" s="23">
        <v>100</v>
      </c>
      <c r="G519" s="16">
        <f>VLOOKUP(A519,'[1]DRDO Kolar Data'!$A:$E,5,0)*1000</f>
        <v>10400</v>
      </c>
      <c r="H519" s="24">
        <f t="shared" si="24"/>
        <v>7179246.099999994</v>
      </c>
      <c r="I519" s="25">
        <f t="shared" si="25"/>
        <v>22.749187499998758</v>
      </c>
      <c r="J519" s="25">
        <f t="shared" si="26"/>
        <v>9.7756619008714516</v>
      </c>
      <c r="K519" s="17" t="s">
        <v>13</v>
      </c>
    </row>
    <row r="520" spans="1:11" ht="15.75" customHeight="1" x14ac:dyDescent="0.2">
      <c r="A520" s="15">
        <v>45323</v>
      </c>
      <c r="B520" s="3">
        <f>VLOOKUP(A520,'[1]BADI SID DATA'!A:B,2,0)</f>
        <v>307</v>
      </c>
      <c r="C520" s="4">
        <v>54601.29999999702</v>
      </c>
      <c r="D520" s="8">
        <v>5.44</v>
      </c>
      <c r="E520" s="23">
        <v>100</v>
      </c>
      <c r="F520" s="23">
        <v>100</v>
      </c>
      <c r="G520" s="16">
        <f>VLOOKUP(A520,'[1]DRDO Kolar Data'!$A:$E,5,0)*1000</f>
        <v>10500</v>
      </c>
      <c r="H520" s="24">
        <f t="shared" si="24"/>
        <v>7233847.3999999911</v>
      </c>
      <c r="I520" s="25">
        <f t="shared" si="25"/>
        <v>22.750541666665423</v>
      </c>
      <c r="J520" s="25">
        <f t="shared" si="26"/>
        <v>9.8179253528772943</v>
      </c>
      <c r="K520" s="17" t="s">
        <v>13</v>
      </c>
    </row>
    <row r="521" spans="1:11" ht="15.75" customHeight="1" x14ac:dyDescent="0.2">
      <c r="A521" s="15">
        <v>45324</v>
      </c>
      <c r="B521" s="3">
        <f>VLOOKUP(A521,'[1]BADI SID DATA'!A:B,2,0)</f>
        <v>308</v>
      </c>
      <c r="C521" s="4">
        <v>50047.39999999851</v>
      </c>
      <c r="D521" s="5">
        <v>5.08</v>
      </c>
      <c r="E521" s="23">
        <v>100</v>
      </c>
      <c r="F521" s="23">
        <v>100</v>
      </c>
      <c r="G521" s="16">
        <f>VLOOKUP(A521,'[1]DRDO Kolar Data'!$A:$E,5,0)*1000</f>
        <v>10500</v>
      </c>
      <c r="H521" s="24">
        <f t="shared" si="24"/>
        <v>7283894.7999999896</v>
      </c>
      <c r="I521" s="25">
        <f t="shared" si="25"/>
        <v>20.853083333332712</v>
      </c>
      <c r="J521" s="25">
        <f t="shared" si="26"/>
        <v>9.8537537878787731</v>
      </c>
      <c r="K521" s="17" t="s">
        <v>11</v>
      </c>
    </row>
    <row r="522" spans="1:11" ht="15.75" customHeight="1" x14ac:dyDescent="0.2">
      <c r="A522" s="15">
        <v>45325</v>
      </c>
      <c r="B522" s="3">
        <f>VLOOKUP(A522,'[1]BADI SID DATA'!A:B,2,0)</f>
        <v>309</v>
      </c>
      <c r="C522" s="4">
        <v>48103.25</v>
      </c>
      <c r="D522" s="5">
        <v>4.7300000000000004</v>
      </c>
      <c r="E522" s="23">
        <v>100</v>
      </c>
      <c r="F522" s="23">
        <v>100</v>
      </c>
      <c r="G522" s="16">
        <f>VLOOKUP(A522,'[1]DRDO Kolar Data'!$A:$E,5,0)*1000</f>
        <v>10100</v>
      </c>
      <c r="H522" s="24">
        <f t="shared" si="24"/>
        <v>7331998.0499999896</v>
      </c>
      <c r="I522" s="25">
        <f t="shared" si="25"/>
        <v>20.043020833333333</v>
      </c>
      <c r="J522" s="25">
        <f t="shared" si="26"/>
        <v>9.8867287621359079</v>
      </c>
      <c r="K522" s="17" t="s">
        <v>11</v>
      </c>
    </row>
    <row r="523" spans="1:11" ht="15.75" customHeight="1" x14ac:dyDescent="0.2">
      <c r="A523" s="15">
        <v>45326</v>
      </c>
      <c r="B523" s="3">
        <f>VLOOKUP(A523,'[1]BADI SID DATA'!A:B,2,0)</f>
        <v>310</v>
      </c>
      <c r="C523" s="4">
        <v>64349.35000000149</v>
      </c>
      <c r="D523" s="8">
        <v>6.3</v>
      </c>
      <c r="E523" s="23">
        <v>100</v>
      </c>
      <c r="F523" s="23">
        <v>100</v>
      </c>
      <c r="G523" s="16">
        <f>VLOOKUP(A523,'[1]DRDO Kolar Data'!$A:$E,5,0)*1000</f>
        <v>10300</v>
      </c>
      <c r="H523" s="24">
        <f t="shared" si="24"/>
        <v>7396347.3999999911</v>
      </c>
      <c r="I523" s="25">
        <f t="shared" si="25"/>
        <v>26.81222916666729</v>
      </c>
      <c r="J523" s="25">
        <f t="shared" si="26"/>
        <v>9.9413271505376226</v>
      </c>
      <c r="K523" s="17" t="s">
        <v>24</v>
      </c>
    </row>
    <row r="524" spans="1:11" ht="15.75" customHeight="1" x14ac:dyDescent="0.2">
      <c r="A524" s="15">
        <v>45327</v>
      </c>
      <c r="B524" s="3">
        <f>VLOOKUP(A524,'[1]BADI SID DATA'!A:B,2,0)</f>
        <v>311</v>
      </c>
      <c r="C524" s="4">
        <v>66297.39999999851</v>
      </c>
      <c r="D524" s="8">
        <v>6.46</v>
      </c>
      <c r="E524" s="23">
        <v>100</v>
      </c>
      <c r="F524" s="23">
        <v>100</v>
      </c>
      <c r="G524" s="16">
        <f>VLOOKUP(A524,'[1]DRDO Kolar Data'!$A:$E,5,0)*1000</f>
        <v>10000</v>
      </c>
      <c r="H524" s="24">
        <f t="shared" si="24"/>
        <v>7462644.7999999896</v>
      </c>
      <c r="I524" s="25">
        <f t="shared" si="25"/>
        <v>27.623916666666048</v>
      </c>
      <c r="J524" s="25">
        <f t="shared" si="26"/>
        <v>9.9981843515541122</v>
      </c>
      <c r="K524" s="17" t="s">
        <v>24</v>
      </c>
    </row>
    <row r="525" spans="1:11" ht="15.75" customHeight="1" x14ac:dyDescent="0.2">
      <c r="A525" s="15">
        <v>45328</v>
      </c>
      <c r="B525" s="3">
        <f>VLOOKUP(A525,'[1]BADI SID DATA'!A:B,2,0)</f>
        <v>312</v>
      </c>
      <c r="C525" s="4">
        <v>63702.60000000149</v>
      </c>
      <c r="D525" s="5">
        <v>6.36</v>
      </c>
      <c r="E525" s="23">
        <v>100</v>
      </c>
      <c r="F525" s="23">
        <v>100</v>
      </c>
      <c r="G525" s="16">
        <f>VLOOKUP(A525,'[1]DRDO Kolar Data'!$A:$E,5,0)*1000</f>
        <v>10000</v>
      </c>
      <c r="H525" s="24">
        <f t="shared" si="24"/>
        <v>7526347.3999999911</v>
      </c>
      <c r="I525" s="25">
        <f t="shared" si="25"/>
        <v>26.54275000000062</v>
      </c>
      <c r="J525" s="25">
        <f t="shared" si="26"/>
        <v>10.051211805555543</v>
      </c>
      <c r="K525" s="17" t="s">
        <v>24</v>
      </c>
    </row>
    <row r="526" spans="1:11" ht="15.75" customHeight="1" x14ac:dyDescent="0.2">
      <c r="A526" s="15">
        <v>45329</v>
      </c>
      <c r="B526" s="3">
        <f>VLOOKUP(A526,'[1]BADI SID DATA'!A:B,2,0)</f>
        <v>313</v>
      </c>
      <c r="C526" s="4">
        <v>66948.04999999702</v>
      </c>
      <c r="D526" s="5">
        <v>6.58</v>
      </c>
      <c r="E526" s="23">
        <v>100</v>
      </c>
      <c r="F526" s="23">
        <v>100</v>
      </c>
      <c r="G526" s="16">
        <f>VLOOKUP(A526,'[1]DRDO Kolar Data'!$A:$E,5,0)*1000</f>
        <v>9900</v>
      </c>
      <c r="H526" s="24">
        <f t="shared" si="24"/>
        <v>7593295.4499999881</v>
      </c>
      <c r="I526" s="25">
        <f t="shared" si="25"/>
        <v>27.89502083333209</v>
      </c>
      <c r="J526" s="25">
        <f t="shared" si="26"/>
        <v>10.108220780085182</v>
      </c>
      <c r="K526" s="17" t="s">
        <v>24</v>
      </c>
    </row>
    <row r="527" spans="1:11" ht="15.75" customHeight="1" x14ac:dyDescent="0.2">
      <c r="A527" s="15">
        <v>45330</v>
      </c>
      <c r="B527" s="3">
        <f>VLOOKUP(A527,'[1]BADI SID DATA'!A:B,2,0)</f>
        <v>314</v>
      </c>
      <c r="C527" s="4">
        <v>63051.95000000298</v>
      </c>
      <c r="D527" s="8">
        <v>6.2</v>
      </c>
      <c r="E527" s="23">
        <v>100</v>
      </c>
      <c r="F527" s="23">
        <v>100</v>
      </c>
      <c r="G527" s="16">
        <f>VLOOKUP(A527,'[1]DRDO Kolar Data'!$A:$E,5,0)*1000</f>
        <v>10200</v>
      </c>
      <c r="H527" s="24">
        <f t="shared" si="24"/>
        <v>7656347.3999999911</v>
      </c>
      <c r="I527" s="25">
        <f t="shared" si="25"/>
        <v>26.271645833334574</v>
      </c>
      <c r="J527" s="25">
        <f t="shared" si="26"/>
        <v>10.159696656050944</v>
      </c>
      <c r="K527" s="17" t="s">
        <v>24</v>
      </c>
    </row>
    <row r="528" spans="1:11" ht="15.75" customHeight="1" x14ac:dyDescent="0.2">
      <c r="A528" s="15">
        <v>45331</v>
      </c>
      <c r="B528" s="3">
        <f>VLOOKUP(A528,'[1]BADI SID DATA'!A:B,2,0)</f>
        <v>315</v>
      </c>
      <c r="C528" s="4">
        <v>66948.04999999702</v>
      </c>
      <c r="D528" s="5">
        <v>6.59</v>
      </c>
      <c r="E528" s="23">
        <v>100</v>
      </c>
      <c r="F528" s="23">
        <v>100</v>
      </c>
      <c r="G528" s="16">
        <f>VLOOKUP(A528,'[1]DRDO Kolar Data'!$A:$E,5,0)*1000</f>
        <v>10000</v>
      </c>
      <c r="H528" s="24">
        <f t="shared" si="24"/>
        <v>7723295.4499999881</v>
      </c>
      <c r="I528" s="25">
        <f t="shared" si="25"/>
        <v>27.89502083333209</v>
      </c>
      <c r="J528" s="25">
        <f t="shared" si="26"/>
        <v>10.215999272486757</v>
      </c>
      <c r="K528" s="17" t="s">
        <v>24</v>
      </c>
    </row>
    <row r="529" spans="1:11" ht="15.75" customHeight="1" x14ac:dyDescent="0.2">
      <c r="A529" s="15">
        <v>45332</v>
      </c>
      <c r="B529" s="3">
        <f>VLOOKUP(A529,'[1]BADI SID DATA'!A:B,2,0)</f>
        <v>316</v>
      </c>
      <c r="C529" s="4">
        <v>63702.60000000149</v>
      </c>
      <c r="D529" s="6">
        <v>6.29</v>
      </c>
      <c r="E529" s="23">
        <v>100</v>
      </c>
      <c r="F529" s="23">
        <v>100</v>
      </c>
      <c r="G529" s="16">
        <f>VLOOKUP(A529,'[1]DRDO Kolar Data'!$A:$E,5,0)*1000</f>
        <v>10100</v>
      </c>
      <c r="H529" s="24">
        <f t="shared" si="24"/>
        <v>7786998.0499999896</v>
      </c>
      <c r="I529" s="25">
        <f t="shared" si="25"/>
        <v>26.54275000000062</v>
      </c>
      <c r="J529" s="25">
        <f t="shared" si="26"/>
        <v>10.267666205168762</v>
      </c>
      <c r="K529" s="17" t="s">
        <v>24</v>
      </c>
    </row>
    <row r="530" spans="1:11" ht="15.75" customHeight="1" x14ac:dyDescent="0.2">
      <c r="A530" s="15">
        <v>45333</v>
      </c>
      <c r="B530" s="3">
        <f>VLOOKUP(A530,'[1]BADI SID DATA'!A:B,2,0)</f>
        <v>317</v>
      </c>
      <c r="C530" s="4">
        <v>65000</v>
      </c>
      <c r="D530" s="7">
        <v>6.42</v>
      </c>
      <c r="E530" s="23">
        <v>100</v>
      </c>
      <c r="F530" s="23">
        <v>100</v>
      </c>
      <c r="G530" s="16">
        <f>VLOOKUP(A530,'[1]DRDO Kolar Data'!$A:$E,5,0)*1000</f>
        <v>10200</v>
      </c>
      <c r="H530" s="24">
        <f t="shared" si="24"/>
        <v>7851998.0499999896</v>
      </c>
      <c r="I530" s="25">
        <f t="shared" si="25"/>
        <v>27.083333333333332</v>
      </c>
      <c r="J530" s="25">
        <f t="shared" si="26"/>
        <v>10.320712473711868</v>
      </c>
      <c r="K530" s="17" t="s">
        <v>24</v>
      </c>
    </row>
    <row r="531" spans="1:11" ht="15.75" customHeight="1" x14ac:dyDescent="0.2">
      <c r="A531" s="15">
        <v>45334</v>
      </c>
      <c r="B531" s="3">
        <f>VLOOKUP(A531,'[1]BADI SID DATA'!A:B,2,0)</f>
        <v>318</v>
      </c>
      <c r="C531" s="4">
        <v>68900.000000007451</v>
      </c>
      <c r="D531" s="6">
        <v>6.8</v>
      </c>
      <c r="E531" s="23">
        <v>100</v>
      </c>
      <c r="F531" s="23">
        <v>87.361111111111114</v>
      </c>
      <c r="G531" s="16">
        <f>VLOOKUP(A531,'[1]DRDO Kolar Data'!$A:$E,5,0)*1000</f>
        <v>10000</v>
      </c>
      <c r="H531" s="24">
        <f t="shared" si="24"/>
        <v>7920898.049999997</v>
      </c>
      <c r="I531" s="25">
        <f t="shared" si="25"/>
        <v>28.708333333336437</v>
      </c>
      <c r="J531" s="25">
        <f t="shared" si="26"/>
        <v>10.378535180817607</v>
      </c>
      <c r="K531" s="17" t="s">
        <v>24</v>
      </c>
    </row>
    <row r="532" spans="1:11" ht="15.75" customHeight="1" x14ac:dyDescent="0.2">
      <c r="A532" s="15">
        <v>45335</v>
      </c>
      <c r="B532" s="3">
        <f>VLOOKUP(A532,'[1]BADI SID DATA'!A:B,2,0)</f>
        <v>319</v>
      </c>
      <c r="C532" s="4">
        <v>64349.34999999404</v>
      </c>
      <c r="D532" s="6">
        <v>6.42</v>
      </c>
      <c r="E532" s="23">
        <v>100</v>
      </c>
      <c r="F532" s="23">
        <v>100</v>
      </c>
      <c r="G532" s="16">
        <f>VLOOKUP(A532,'[1]DRDO Kolar Data'!$A:$E,5,0)*1000</f>
        <v>10100</v>
      </c>
      <c r="H532" s="24">
        <f t="shared" si="24"/>
        <v>7985247.3999999911</v>
      </c>
      <c r="I532" s="25">
        <f t="shared" si="25"/>
        <v>26.812229166664181</v>
      </c>
      <c r="J532" s="25">
        <f t="shared" si="26"/>
        <v>10.430051462904899</v>
      </c>
      <c r="K532" s="17" t="s">
        <v>13</v>
      </c>
    </row>
    <row r="533" spans="1:11" ht="15.75" customHeight="1" x14ac:dyDescent="0.2">
      <c r="A533" s="15">
        <v>45336</v>
      </c>
      <c r="B533" s="3">
        <f>VLOOKUP(A533,'[1]BADI SID DATA'!A:B,2,0)</f>
        <v>320</v>
      </c>
      <c r="C533" s="4">
        <v>59798.70000000298</v>
      </c>
      <c r="D533" s="6">
        <v>5.99</v>
      </c>
      <c r="E533" s="23">
        <v>100</v>
      </c>
      <c r="F533" s="23">
        <v>100</v>
      </c>
      <c r="G533" s="16">
        <f>VLOOKUP(A533,'[1]DRDO Kolar Data'!$A:$E,5,0)*1000</f>
        <v>10200</v>
      </c>
      <c r="H533" s="24">
        <f t="shared" si="24"/>
        <v>8045046.099999994</v>
      </c>
      <c r="I533" s="25">
        <f t="shared" si="25"/>
        <v>24.916125000001241</v>
      </c>
      <c r="J533" s="25">
        <f t="shared" si="26"/>
        <v>10.475320442708327</v>
      </c>
      <c r="K533" s="17" t="s">
        <v>13</v>
      </c>
    </row>
    <row r="534" spans="1:11" ht="15.75" customHeight="1" x14ac:dyDescent="0.2">
      <c r="A534" s="15">
        <v>45337</v>
      </c>
      <c r="B534" s="3">
        <f>VLOOKUP(A534,'[1]BADI SID DATA'!A:B,2,0)</f>
        <v>321</v>
      </c>
      <c r="C534" s="4">
        <v>67598.69999999553</v>
      </c>
      <c r="D534" s="6">
        <v>6.6</v>
      </c>
      <c r="E534" s="23">
        <v>100</v>
      </c>
      <c r="F534" s="23">
        <v>100</v>
      </c>
      <c r="G534" s="16">
        <f>VLOOKUP(A534,'[1]DRDO Kolar Data'!$A:$E,5,0)*1000</f>
        <v>10000</v>
      </c>
      <c r="H534" s="24">
        <f t="shared" si="24"/>
        <v>8112644.7999999896</v>
      </c>
      <c r="I534" s="25">
        <f t="shared" si="25"/>
        <v>28.166124999998139</v>
      </c>
      <c r="J534" s="25">
        <f t="shared" si="26"/>
        <v>10.530431983385242</v>
      </c>
      <c r="K534" s="17" t="s">
        <v>24</v>
      </c>
    </row>
    <row r="535" spans="1:11" ht="15.75" customHeight="1" x14ac:dyDescent="0.2">
      <c r="A535" s="15">
        <v>45338</v>
      </c>
      <c r="B535" s="3">
        <f>VLOOKUP(A535,'[1]BADI SID DATA'!A:B,2,0)</f>
        <v>322</v>
      </c>
      <c r="C535" s="4">
        <v>67602.60000000149</v>
      </c>
      <c r="D535" s="6">
        <v>6.56</v>
      </c>
      <c r="E535" s="23">
        <v>100</v>
      </c>
      <c r="F535" s="23">
        <v>100</v>
      </c>
      <c r="G535" s="16">
        <f>VLOOKUP(A535,'[1]DRDO Kolar Data'!$A:$E,5,0)*1000</f>
        <v>9800</v>
      </c>
      <c r="H535" s="24">
        <f t="shared" ref="H535:H579" si="27">C535+H534</f>
        <v>8180247.3999999911</v>
      </c>
      <c r="I535" s="25">
        <f t="shared" si="25"/>
        <v>28.16775000000062</v>
      </c>
      <c r="J535" s="25">
        <f t="shared" si="26"/>
        <v>10.585206262939947</v>
      </c>
      <c r="K535" s="17" t="s">
        <v>24</v>
      </c>
    </row>
    <row r="536" spans="1:11" ht="15.75" customHeight="1" x14ac:dyDescent="0.2">
      <c r="A536" s="15">
        <v>45339</v>
      </c>
      <c r="B536" s="3">
        <f>VLOOKUP(A536,'[1]BADI SID DATA'!A:B,2,0)</f>
        <v>323</v>
      </c>
      <c r="C536" s="4">
        <v>68249.35000000149</v>
      </c>
      <c r="D536" s="6">
        <v>6.78</v>
      </c>
      <c r="E536" s="23">
        <v>100</v>
      </c>
      <c r="F536" s="23">
        <v>53.402777777777779</v>
      </c>
      <c r="G536" s="16">
        <f>VLOOKUP(A536,'[1]DRDO Kolar Data'!$A:$E,5,0)*1000</f>
        <v>10100</v>
      </c>
      <c r="H536" s="24">
        <f t="shared" si="27"/>
        <v>8248496.7499999925</v>
      </c>
      <c r="I536" s="25">
        <f t="shared" si="25"/>
        <v>28.437229166667287</v>
      </c>
      <c r="J536" s="25">
        <f t="shared" si="26"/>
        <v>10.640475683694522</v>
      </c>
      <c r="K536" s="17" t="s">
        <v>24</v>
      </c>
    </row>
    <row r="537" spans="1:11" ht="15.75" customHeight="1" x14ac:dyDescent="0.2">
      <c r="A537" s="15">
        <v>45340</v>
      </c>
      <c r="B537" s="3">
        <f>VLOOKUP(A537,'[1]BADI SID DATA'!A:B,2,0)</f>
        <v>324</v>
      </c>
      <c r="C537" s="4">
        <v>66301.29999999702</v>
      </c>
      <c r="D537" s="6">
        <v>6.64</v>
      </c>
      <c r="E537" s="23">
        <v>100</v>
      </c>
      <c r="F537" s="23">
        <v>100</v>
      </c>
      <c r="G537" s="16">
        <f>VLOOKUP(A537,'[1]DRDO Kolar Data'!$A:$E,5,0)*1000</f>
        <v>10000</v>
      </c>
      <c r="H537" s="24">
        <f t="shared" si="27"/>
        <v>8314798.0499999896</v>
      </c>
      <c r="I537" s="25">
        <f t="shared" si="25"/>
        <v>27.625541666665427</v>
      </c>
      <c r="J537" s="25">
        <f t="shared" si="26"/>
        <v>10.692898726851839</v>
      </c>
      <c r="K537" s="17" t="s">
        <v>24</v>
      </c>
    </row>
    <row r="538" spans="1:11" ht="15.75" customHeight="1" x14ac:dyDescent="0.2">
      <c r="A538" s="15">
        <v>45341</v>
      </c>
      <c r="B538" s="3">
        <f>VLOOKUP(A538,'[1]BADI SID DATA'!A:B,2,0)</f>
        <v>325</v>
      </c>
      <c r="C538" s="4">
        <v>67598.70000000298</v>
      </c>
      <c r="D538" s="6">
        <v>6.78</v>
      </c>
      <c r="E538" s="23">
        <v>100</v>
      </c>
      <c r="F538" s="23">
        <v>100</v>
      </c>
      <c r="G538" s="16">
        <f>VLOOKUP(A538,'[1]DRDO Kolar Data'!$A:$E,5,0)*1000</f>
        <v>10200</v>
      </c>
      <c r="H538" s="24">
        <f t="shared" si="27"/>
        <v>8382396.7499999925</v>
      </c>
      <c r="I538" s="25">
        <f t="shared" si="25"/>
        <v>28.166125000001241</v>
      </c>
      <c r="J538" s="25">
        <f t="shared" si="26"/>
        <v>10.74666249999999</v>
      </c>
      <c r="K538" s="17" t="s">
        <v>24</v>
      </c>
    </row>
    <row r="539" spans="1:11" ht="15.75" customHeight="1" x14ac:dyDescent="0.2">
      <c r="A539" s="15">
        <v>45342</v>
      </c>
      <c r="B539" s="3">
        <f>VLOOKUP(A539,'[1]BADI SID DATA'!A:B,2,0)</f>
        <v>326</v>
      </c>
      <c r="C539" s="4">
        <v>63698.69999999553</v>
      </c>
      <c r="D539" s="6">
        <v>6.43</v>
      </c>
      <c r="E539" s="23">
        <v>100</v>
      </c>
      <c r="F539" s="23">
        <v>91.111111111111114</v>
      </c>
      <c r="G539" s="16">
        <f>VLOOKUP(A539,'[1]DRDO Kolar Data'!$A:$E,5,0)*1000</f>
        <v>10100</v>
      </c>
      <c r="H539" s="24">
        <f t="shared" si="27"/>
        <v>8446095.4499999881</v>
      </c>
      <c r="I539" s="25">
        <f t="shared" si="25"/>
        <v>26.541124999998139</v>
      </c>
      <c r="J539" s="25">
        <f t="shared" si="26"/>
        <v>10.795111771472378</v>
      </c>
      <c r="K539" s="17" t="s">
        <v>13</v>
      </c>
    </row>
    <row r="540" spans="1:11" ht="15.75" customHeight="1" x14ac:dyDescent="0.2">
      <c r="A540" s="15">
        <v>45343</v>
      </c>
      <c r="B540" s="3">
        <f>VLOOKUP(A540,'[1]BADI SID DATA'!A:B,2,0)</f>
        <v>327</v>
      </c>
      <c r="C540" s="4">
        <v>46151.30000000447</v>
      </c>
      <c r="D540" s="6">
        <v>4.43</v>
      </c>
      <c r="E540" s="23">
        <v>100</v>
      </c>
      <c r="F540" s="23">
        <v>100</v>
      </c>
      <c r="G540" s="16">
        <f>VLOOKUP(A540,'[1]DRDO Kolar Data'!$A:$E,5,0)*1000</f>
        <v>10500</v>
      </c>
      <c r="H540" s="24">
        <f t="shared" si="27"/>
        <v>8492246.7499999925</v>
      </c>
      <c r="I540" s="25">
        <f t="shared" si="25"/>
        <v>19.229708333335196</v>
      </c>
      <c r="J540" s="25">
        <f t="shared" si="26"/>
        <v>10.820905644750244</v>
      </c>
      <c r="K540" s="17" t="s">
        <v>11</v>
      </c>
    </row>
    <row r="541" spans="1:11" ht="15.75" customHeight="1" x14ac:dyDescent="0.2">
      <c r="A541" s="15">
        <v>45344</v>
      </c>
      <c r="B541" s="3">
        <f>VLOOKUP(A541,'[1]BADI SID DATA'!A:B,2,0)</f>
        <v>328</v>
      </c>
      <c r="C541" s="4">
        <v>55898.70000000298</v>
      </c>
      <c r="D541" s="6">
        <v>5.73</v>
      </c>
      <c r="E541" s="23">
        <v>100</v>
      </c>
      <c r="F541" s="23">
        <v>100</v>
      </c>
      <c r="G541" s="16">
        <f>VLOOKUP(A541,'[1]DRDO Kolar Data'!$A:$E,5,0)*1000</f>
        <v>10000</v>
      </c>
      <c r="H541" s="24">
        <f t="shared" si="27"/>
        <v>8548145.4499999955</v>
      </c>
      <c r="I541" s="25">
        <f t="shared" si="25"/>
        <v>23.291125000001241</v>
      </c>
      <c r="J541" s="25">
        <f t="shared" si="26"/>
        <v>10.858924606199182</v>
      </c>
      <c r="K541" s="17" t="s">
        <v>13</v>
      </c>
    </row>
    <row r="542" spans="1:11" ht="15.75" customHeight="1" x14ac:dyDescent="0.2">
      <c r="A542" s="15">
        <v>45345</v>
      </c>
      <c r="B542" s="3">
        <f>VLOOKUP(A542,'[1]BADI SID DATA'!A:B,2,0)</f>
        <v>329</v>
      </c>
      <c r="C542" s="4">
        <v>62401.29999999702</v>
      </c>
      <c r="D542" s="6">
        <v>6.38</v>
      </c>
      <c r="E542" s="23">
        <v>100</v>
      </c>
      <c r="F542" s="23">
        <v>100</v>
      </c>
      <c r="G542" s="16">
        <f>VLOOKUP(A542,'[1]DRDO Kolar Data'!$A:$E,5,0)*1000</f>
        <v>10500</v>
      </c>
      <c r="H542" s="24">
        <f t="shared" si="27"/>
        <v>8610546.7499999925</v>
      </c>
      <c r="I542" s="25">
        <f t="shared" si="25"/>
        <v>26.000541666665427</v>
      </c>
      <c r="J542" s="25">
        <f t="shared" si="26"/>
        <v>10.904947758358654</v>
      </c>
      <c r="K542" s="17" t="s">
        <v>13</v>
      </c>
    </row>
    <row r="543" spans="1:11" ht="15.75" customHeight="1" x14ac:dyDescent="0.2">
      <c r="A543" s="15">
        <v>45346</v>
      </c>
      <c r="B543" s="3">
        <f>VLOOKUP(A543,'[1]BADI SID DATA'!A:B,2,0)</f>
        <v>330</v>
      </c>
      <c r="C543" s="4">
        <v>45501.29999999702</v>
      </c>
      <c r="D543" s="6">
        <v>4.74</v>
      </c>
      <c r="E543" s="23">
        <v>100</v>
      </c>
      <c r="F543" s="23">
        <v>100</v>
      </c>
      <c r="G543" s="16">
        <f>VLOOKUP(A543,'[1]DRDO Kolar Data'!$A:$E,5,0)*1000</f>
        <v>10100</v>
      </c>
      <c r="H543" s="24">
        <f t="shared" si="27"/>
        <v>8656048.0499999896</v>
      </c>
      <c r="I543" s="25">
        <f t="shared" si="25"/>
        <v>18.958874999998759</v>
      </c>
      <c r="J543" s="25">
        <f t="shared" si="26"/>
        <v>10.929353598484836</v>
      </c>
      <c r="K543" s="17" t="s">
        <v>11</v>
      </c>
    </row>
    <row r="544" spans="1:11" ht="15.75" customHeight="1" x14ac:dyDescent="0.2">
      <c r="A544" s="15">
        <v>45347</v>
      </c>
      <c r="B544" s="3">
        <f>VLOOKUP(A544,'[1]BADI SID DATA'!A:B,2,0)</f>
        <v>331</v>
      </c>
      <c r="C544" s="4">
        <v>56549.35000000149</v>
      </c>
      <c r="D544" s="7">
        <v>5.71</v>
      </c>
      <c r="E544" s="23">
        <v>100</v>
      </c>
      <c r="F544" s="23">
        <v>100</v>
      </c>
      <c r="G544" s="16">
        <f>VLOOKUP(A544,'[1]DRDO Kolar Data'!$A:$E,5,0)*1000</f>
        <v>9800</v>
      </c>
      <c r="H544" s="24">
        <f t="shared" si="27"/>
        <v>8712597.3999999911</v>
      </c>
      <c r="I544" s="25">
        <f t="shared" si="25"/>
        <v>23.562229166667287</v>
      </c>
      <c r="J544" s="25">
        <f t="shared" si="26"/>
        <v>10.967519385699887</v>
      </c>
      <c r="K544" s="17" t="s">
        <v>13</v>
      </c>
    </row>
    <row r="545" spans="1:11" ht="15.75" customHeight="1" x14ac:dyDescent="0.2">
      <c r="A545" s="15">
        <v>45348</v>
      </c>
      <c r="B545" s="3">
        <f>VLOOKUP(A545,'[1]BADI SID DATA'!A:B,2,0)</f>
        <v>332</v>
      </c>
      <c r="C545" s="4">
        <v>59799.35000000149</v>
      </c>
      <c r="D545" s="6">
        <v>6.12</v>
      </c>
      <c r="E545" s="23">
        <v>100</v>
      </c>
      <c r="F545" s="23">
        <v>100</v>
      </c>
      <c r="G545" s="16">
        <f>VLOOKUP(A545,'[1]DRDO Kolar Data'!$A:$E,5,0)*1000</f>
        <v>10000</v>
      </c>
      <c r="H545" s="24">
        <f t="shared" si="27"/>
        <v>8772396.7499999925</v>
      </c>
      <c r="I545" s="25">
        <f t="shared" si="25"/>
        <v>24.916395833333954</v>
      </c>
      <c r="J545" s="25">
        <f t="shared" si="26"/>
        <v>11.009534073795171</v>
      </c>
      <c r="K545" s="17" t="s">
        <v>13</v>
      </c>
    </row>
    <row r="546" spans="1:11" ht="15.75" customHeight="1" x14ac:dyDescent="0.2">
      <c r="A546" s="15">
        <v>45349</v>
      </c>
      <c r="B546" s="3">
        <f>VLOOKUP(A546,'[1]BADI SID DATA'!A:B,2,0)</f>
        <v>333</v>
      </c>
      <c r="C546" s="4">
        <v>61100</v>
      </c>
      <c r="D546" s="6">
        <v>6.3</v>
      </c>
      <c r="E546" s="23">
        <v>100</v>
      </c>
      <c r="F546" s="23">
        <v>100</v>
      </c>
      <c r="G546" s="16">
        <f>VLOOKUP(A546,'[1]DRDO Kolar Data'!$A:$E,5,0)*1000</f>
        <v>9900</v>
      </c>
      <c r="H546" s="24">
        <f t="shared" si="27"/>
        <v>8833496.7499999925</v>
      </c>
      <c r="I546" s="25">
        <f t="shared" si="25"/>
        <v>25.458333333333332</v>
      </c>
      <c r="J546" s="25">
        <f t="shared" si="26"/>
        <v>11.052923861361352</v>
      </c>
      <c r="K546" s="17" t="s">
        <v>13</v>
      </c>
    </row>
    <row r="547" spans="1:11" ht="15.75" customHeight="1" x14ac:dyDescent="0.2">
      <c r="A547" s="15">
        <v>45350</v>
      </c>
      <c r="B547" s="3">
        <f>VLOOKUP(A547,'[1]BADI SID DATA'!A:B,2,0)</f>
        <v>334</v>
      </c>
      <c r="C547" s="4">
        <v>68249.35000000149</v>
      </c>
      <c r="D547" s="6">
        <v>7</v>
      </c>
      <c r="E547" s="23">
        <v>100</v>
      </c>
      <c r="F547" s="23">
        <v>100</v>
      </c>
      <c r="G547" s="16">
        <f>VLOOKUP(A547,'[1]DRDO Kolar Data'!$A:$E,5,0)*1000</f>
        <v>10800</v>
      </c>
      <c r="H547" s="24">
        <f t="shared" si="27"/>
        <v>8901746.099999994</v>
      </c>
      <c r="I547" s="25">
        <f t="shared" si="25"/>
        <v>28.437229166667287</v>
      </c>
      <c r="J547" s="25">
        <f t="shared" si="26"/>
        <v>11.10497267964071</v>
      </c>
      <c r="K547" s="17" t="s">
        <v>24</v>
      </c>
    </row>
    <row r="548" spans="1:11" ht="15.75" customHeight="1" x14ac:dyDescent="0.2">
      <c r="A548" s="15">
        <v>45351</v>
      </c>
      <c r="B548" s="3">
        <f>VLOOKUP(A548,'[1]BADI SID DATA'!A:B,2,0)</f>
        <v>335</v>
      </c>
      <c r="C548" s="4">
        <v>70200.64999999851</v>
      </c>
      <c r="D548" s="10">
        <v>7.17</v>
      </c>
      <c r="E548" s="23">
        <v>100</v>
      </c>
      <c r="F548" s="23">
        <v>100</v>
      </c>
      <c r="G548" s="16">
        <f>VLOOKUP(A548,'[1]DRDO Kolar Data'!$A:$E,5,0)*1000</f>
        <v>10900</v>
      </c>
      <c r="H548" s="24">
        <f t="shared" si="27"/>
        <v>8971946.7499999925</v>
      </c>
      <c r="I548" s="25">
        <f t="shared" si="25"/>
        <v>29.250270833332713</v>
      </c>
      <c r="J548" s="25">
        <f t="shared" si="26"/>
        <v>11.159137748756208</v>
      </c>
      <c r="K548" s="17" t="s">
        <v>24</v>
      </c>
    </row>
    <row r="549" spans="1:11" ht="15.75" customHeight="1" x14ac:dyDescent="0.2">
      <c r="A549" s="15">
        <v>45352</v>
      </c>
      <c r="B549" s="3">
        <f>VLOOKUP(A549,'[1]BADI SID DATA'!A:B,2,0)</f>
        <v>336</v>
      </c>
      <c r="C549" s="4">
        <v>67598.69999999553</v>
      </c>
      <c r="D549" s="8">
        <v>6.86</v>
      </c>
      <c r="E549" s="23">
        <v>100</v>
      </c>
      <c r="F549" s="23">
        <v>100</v>
      </c>
      <c r="G549" s="16">
        <f>VLOOKUP(A549,'[1]DRDO Kolar Data'!$A:$E,5,0)*1000</f>
        <v>10600</v>
      </c>
      <c r="H549" s="24">
        <f t="shared" si="27"/>
        <v>9039545.4499999881</v>
      </c>
      <c r="I549" s="25">
        <f t="shared" si="25"/>
        <v>28.166124999998139</v>
      </c>
      <c r="J549" s="25">
        <f t="shared" si="26"/>
        <v>11.20975378224205</v>
      </c>
      <c r="K549" s="17" t="s">
        <v>24</v>
      </c>
    </row>
    <row r="550" spans="1:11" ht="15.75" customHeight="1" x14ac:dyDescent="0.2">
      <c r="A550" s="15">
        <v>45353</v>
      </c>
      <c r="B550" s="3">
        <f>VLOOKUP(A550,'[1]BADI SID DATA'!A:B,2,0)</f>
        <v>337</v>
      </c>
      <c r="C550" s="4">
        <v>61100.000000007451</v>
      </c>
      <c r="D550" s="5">
        <v>6.17</v>
      </c>
      <c r="E550" s="23">
        <v>100</v>
      </c>
      <c r="F550" s="23">
        <v>93.680555555555557</v>
      </c>
      <c r="G550" s="16">
        <f>VLOOKUP(A550,'[1]DRDO Kolar Data'!$A:$E,5,0)*1000</f>
        <v>10800</v>
      </c>
      <c r="H550" s="24">
        <f t="shared" si="27"/>
        <v>9100645.4499999955</v>
      </c>
      <c r="I550" s="25">
        <f t="shared" si="25"/>
        <v>25.458333333336437</v>
      </c>
      <c r="J550" s="25">
        <f t="shared" si="26"/>
        <v>11.252034433728976</v>
      </c>
      <c r="K550" s="17" t="s">
        <v>13</v>
      </c>
    </row>
    <row r="551" spans="1:11" ht="15.75" customHeight="1" x14ac:dyDescent="0.2">
      <c r="A551" s="15">
        <v>45354</v>
      </c>
      <c r="B551" s="3">
        <f>VLOOKUP(A551,'[1]BADI SID DATA'!A:B,2,0)</f>
        <v>338</v>
      </c>
      <c r="C551" s="4">
        <v>63702.60000000149</v>
      </c>
      <c r="D551" s="5">
        <v>6.59</v>
      </c>
      <c r="E551" s="23">
        <v>100</v>
      </c>
      <c r="F551" s="23">
        <v>100</v>
      </c>
      <c r="G551" s="16">
        <f>VLOOKUP(A551,'[1]DRDO Kolar Data'!$A:$E,5,0)*1000</f>
        <v>10100</v>
      </c>
      <c r="H551" s="24">
        <f t="shared" si="27"/>
        <v>9164348.049999997</v>
      </c>
      <c r="I551" s="25">
        <f t="shared" si="25"/>
        <v>26.54275000000062</v>
      </c>
      <c r="J551" s="25">
        <f t="shared" si="26"/>
        <v>11.297273237179484</v>
      </c>
      <c r="K551" s="17" t="s">
        <v>13</v>
      </c>
    </row>
    <row r="552" spans="1:11" ht="15.75" customHeight="1" x14ac:dyDescent="0.2">
      <c r="A552" s="15">
        <v>45355</v>
      </c>
      <c r="B552" s="3">
        <f>VLOOKUP(A552,'[1]BADI SID DATA'!A:B,2,0)</f>
        <v>339</v>
      </c>
      <c r="C552" s="4">
        <v>62398.04999999702</v>
      </c>
      <c r="D552" s="8">
        <v>6.57</v>
      </c>
      <c r="E552" s="23">
        <v>100</v>
      </c>
      <c r="F552" s="23">
        <v>100</v>
      </c>
      <c r="G552" s="16">
        <f>VLOOKUP(A552,'[1]DRDO Kolar Data'!$A:$E,5,0)*1000</f>
        <v>10000</v>
      </c>
      <c r="H552" s="24">
        <f t="shared" si="27"/>
        <v>9226746.099999994</v>
      </c>
      <c r="I552" s="25">
        <f t="shared" si="25"/>
        <v>25.999187499998762</v>
      </c>
      <c r="J552" s="25">
        <f t="shared" si="26"/>
        <v>11.340641715830868</v>
      </c>
      <c r="K552" s="17" t="s">
        <v>13</v>
      </c>
    </row>
    <row r="553" spans="1:11" ht="15.75" customHeight="1" x14ac:dyDescent="0.2">
      <c r="A553" s="15">
        <v>45356</v>
      </c>
      <c r="B553" s="3">
        <f>VLOOKUP(A553,'[1]BADI SID DATA'!A:B,2,0)</f>
        <v>340</v>
      </c>
      <c r="C553" s="4">
        <v>65000</v>
      </c>
      <c r="D553" s="8">
        <v>6.86</v>
      </c>
      <c r="E553" s="23">
        <v>100</v>
      </c>
      <c r="F553" s="23">
        <v>100</v>
      </c>
      <c r="G553" s="16">
        <f>VLOOKUP(A553,'[1]DRDO Kolar Data'!$A:$E,5,0)*1000</f>
        <v>10000</v>
      </c>
      <c r="H553" s="24">
        <f t="shared" si="27"/>
        <v>9291746.099999994</v>
      </c>
      <c r="I553" s="25">
        <f t="shared" si="25"/>
        <v>27.083333333333332</v>
      </c>
      <c r="J553" s="25">
        <f t="shared" si="26"/>
        <v>11.386943749999991</v>
      </c>
      <c r="K553" s="17" t="s">
        <v>24</v>
      </c>
    </row>
    <row r="554" spans="1:11" ht="15.75" customHeight="1" x14ac:dyDescent="0.2">
      <c r="A554" s="15">
        <v>45357</v>
      </c>
      <c r="B554" s="3">
        <f>VLOOKUP(A554,'[1]BADI SID DATA'!A:B,2,0)</f>
        <v>341</v>
      </c>
      <c r="C554" s="4">
        <v>62401.29999999702</v>
      </c>
      <c r="D554" s="5">
        <v>6.56</v>
      </c>
      <c r="E554" s="23">
        <v>100</v>
      </c>
      <c r="F554" s="23">
        <v>100</v>
      </c>
      <c r="G554" s="16">
        <f>VLOOKUP(A554,'[1]DRDO Kolar Data'!$A:$E,5,0)*1000</f>
        <v>10200</v>
      </c>
      <c r="H554" s="24">
        <f t="shared" si="27"/>
        <v>9354147.3999999911</v>
      </c>
      <c r="I554" s="25">
        <f t="shared" si="25"/>
        <v>26.000541666665427</v>
      </c>
      <c r="J554" s="25">
        <f t="shared" si="26"/>
        <v>11.429798875855317</v>
      </c>
      <c r="K554" s="17" t="s">
        <v>13</v>
      </c>
    </row>
    <row r="555" spans="1:11" ht="15.75" customHeight="1" x14ac:dyDescent="0.2">
      <c r="A555" s="15">
        <v>45358</v>
      </c>
      <c r="B555" s="3">
        <f>VLOOKUP(A555,'[1]BADI SID DATA'!A:B,2,0)</f>
        <v>342</v>
      </c>
      <c r="C555" s="4">
        <v>61750.65000000596</v>
      </c>
      <c r="D555" s="5">
        <v>6.63</v>
      </c>
      <c r="E555" s="23">
        <v>100</v>
      </c>
      <c r="F555" s="23">
        <v>98.472222222222229</v>
      </c>
      <c r="G555" s="16">
        <f>VLOOKUP(A555,'[1]DRDO Kolar Data'!$A:$E,5,0)*1000</f>
        <v>10100</v>
      </c>
      <c r="H555" s="24">
        <f t="shared" si="27"/>
        <v>9415898.049999997</v>
      </c>
      <c r="I555" s="25">
        <f t="shared" si="25"/>
        <v>25.729437500002483</v>
      </c>
      <c r="J555" s="25">
        <f t="shared" si="26"/>
        <v>11.471610684697852</v>
      </c>
      <c r="K555" s="17" t="s">
        <v>13</v>
      </c>
    </row>
    <row r="556" spans="1:11" ht="15.75" customHeight="1" x14ac:dyDescent="0.2">
      <c r="A556" s="15">
        <v>45359</v>
      </c>
      <c r="B556" s="3">
        <f>VLOOKUP(A556,'[1]BADI SID DATA'!A:B,2,0)</f>
        <v>343</v>
      </c>
      <c r="C556" s="4">
        <v>61099.999999992549</v>
      </c>
      <c r="D556" s="8">
        <v>6.51</v>
      </c>
      <c r="E556" s="23">
        <v>100</v>
      </c>
      <c r="F556" s="23">
        <v>100</v>
      </c>
      <c r="G556" s="16">
        <f>VLOOKUP(A556,'[1]DRDO Kolar Data'!$A:$E,5,0)*1000</f>
        <v>10000</v>
      </c>
      <c r="H556" s="24">
        <f t="shared" si="27"/>
        <v>9476998.0499999896</v>
      </c>
      <c r="I556" s="25">
        <f t="shared" si="25"/>
        <v>25.458333333330231</v>
      </c>
      <c r="J556" s="25">
        <f t="shared" si="26"/>
        <v>11.512388301749258</v>
      </c>
      <c r="K556" s="17" t="s">
        <v>13</v>
      </c>
    </row>
    <row r="557" spans="1:11" ht="15.75" customHeight="1" x14ac:dyDescent="0.2">
      <c r="A557" s="15">
        <v>45360</v>
      </c>
      <c r="B557" s="3">
        <f>VLOOKUP(A557,'[1]BADI SID DATA'!A:B,2,0)</f>
        <v>344</v>
      </c>
      <c r="C557" s="4">
        <v>59798.70000000298</v>
      </c>
      <c r="D557" s="5">
        <v>6.25</v>
      </c>
      <c r="E557" s="23">
        <v>100</v>
      </c>
      <c r="F557" s="23">
        <v>100</v>
      </c>
      <c r="G557" s="16">
        <f>VLOOKUP(A557,'[1]DRDO Kolar Data'!$A:$E,5,0)*1000</f>
        <v>9800</v>
      </c>
      <c r="H557" s="24">
        <f t="shared" si="27"/>
        <v>9536796.7499999925</v>
      </c>
      <c r="I557" s="25">
        <f t="shared" si="25"/>
        <v>24.916125000001241</v>
      </c>
      <c r="J557" s="25">
        <f t="shared" si="26"/>
        <v>11.55135265261627</v>
      </c>
      <c r="K557" s="17" t="s">
        <v>13</v>
      </c>
    </row>
    <row r="558" spans="1:11" ht="15.75" customHeight="1" x14ac:dyDescent="0.2">
      <c r="A558" s="15">
        <v>45361</v>
      </c>
      <c r="B558" s="3">
        <f>VLOOKUP(A558,'[1]BADI SID DATA'!A:B,2,0)</f>
        <v>345</v>
      </c>
      <c r="C558" s="4">
        <v>54598.04999999702</v>
      </c>
      <c r="D558" s="6">
        <v>5.66</v>
      </c>
      <c r="E558" s="23">
        <v>100</v>
      </c>
      <c r="F558" s="23">
        <v>100</v>
      </c>
      <c r="G558" s="16">
        <f>VLOOKUP(A558,'[1]DRDO Kolar Data'!$A:$E,5,0)*1000</f>
        <v>10000</v>
      </c>
      <c r="H558" s="24">
        <f t="shared" si="27"/>
        <v>9591394.7999999896</v>
      </c>
      <c r="I558" s="25">
        <f t="shared" si="25"/>
        <v>22.749187499998758</v>
      </c>
      <c r="J558" s="25">
        <f t="shared" si="26"/>
        <v>11.583810144927524</v>
      </c>
      <c r="K558" s="17" t="s">
        <v>11</v>
      </c>
    </row>
    <row r="559" spans="1:11" ht="15.75" customHeight="1" x14ac:dyDescent="0.2">
      <c r="A559" s="15">
        <v>45362</v>
      </c>
      <c r="B559" s="3">
        <f>VLOOKUP(A559,'[1]BADI SID DATA'!A:B,2,0)</f>
        <v>346</v>
      </c>
      <c r="C559" s="4">
        <v>56553.89999999851</v>
      </c>
      <c r="D559" s="7">
        <v>5.88</v>
      </c>
      <c r="E559" s="23">
        <v>100</v>
      </c>
      <c r="F559" s="23">
        <v>100</v>
      </c>
      <c r="G559" s="16">
        <f>VLOOKUP(A559,'[1]DRDO Kolar Data'!$A:$E,5,0)*1000</f>
        <v>10200</v>
      </c>
      <c r="H559" s="24">
        <f t="shared" si="27"/>
        <v>9647948.6999999881</v>
      </c>
      <c r="I559" s="25">
        <f t="shared" si="25"/>
        <v>23.564124999999379</v>
      </c>
      <c r="J559" s="25">
        <f t="shared" si="26"/>
        <v>11.618435332369929</v>
      </c>
      <c r="K559" s="17" t="s">
        <v>11</v>
      </c>
    </row>
    <row r="560" spans="1:11" ht="15.75" customHeight="1" x14ac:dyDescent="0.2">
      <c r="A560" s="15">
        <v>45363</v>
      </c>
      <c r="B560" s="3">
        <f>VLOOKUP(A560,'[1]BADI SID DATA'!A:B,2,0)</f>
        <v>347</v>
      </c>
      <c r="C560" s="4">
        <v>59798.70000000298</v>
      </c>
      <c r="D560" s="6">
        <v>6.27</v>
      </c>
      <c r="E560" s="23">
        <v>100</v>
      </c>
      <c r="F560" s="23">
        <v>76.388888888888886</v>
      </c>
      <c r="G560" s="16">
        <f>VLOOKUP(A560,'[1]DRDO Kolar Data'!$A:$E,5,0)*1000</f>
        <v>10100</v>
      </c>
      <c r="H560" s="24">
        <f t="shared" si="27"/>
        <v>9707747.3999999911</v>
      </c>
      <c r="I560" s="25">
        <f t="shared" si="25"/>
        <v>24.916125000001241</v>
      </c>
      <c r="J560" s="25">
        <f t="shared" si="26"/>
        <v>11.65675720461094</v>
      </c>
      <c r="K560" s="17" t="s">
        <v>13</v>
      </c>
    </row>
    <row r="561" spans="1:11" ht="15.75" customHeight="1" x14ac:dyDescent="0.2">
      <c r="A561" s="15">
        <v>45364</v>
      </c>
      <c r="B561" s="3">
        <f>VLOOKUP(A561,'[1]BADI SID DATA'!A:B,2,0)</f>
        <v>348</v>
      </c>
      <c r="C561" s="4">
        <v>55248.70000000298</v>
      </c>
      <c r="D561" s="6">
        <v>5.7</v>
      </c>
      <c r="E561" s="23">
        <v>100</v>
      </c>
      <c r="F561" s="23">
        <v>64.930555555555557</v>
      </c>
      <c r="G561" s="16">
        <f>VLOOKUP(A561,'[1]DRDO Kolar Data'!$A:$E,5,0)*1000</f>
        <v>9900</v>
      </c>
      <c r="H561" s="24">
        <f t="shared" si="27"/>
        <v>9762996.099999994</v>
      </c>
      <c r="I561" s="25">
        <f t="shared" si="25"/>
        <v>23.020291666667909</v>
      </c>
      <c r="J561" s="25">
        <f t="shared" si="26"/>
        <v>11.689411039272024</v>
      </c>
      <c r="K561" s="17" t="s">
        <v>13</v>
      </c>
    </row>
    <row r="562" spans="1:11" ht="15.75" customHeight="1" x14ac:dyDescent="0.2">
      <c r="A562" s="15">
        <v>45365</v>
      </c>
      <c r="B562" s="3">
        <f>VLOOKUP(A562,'[1]BADI SID DATA'!A:B,2,0)</f>
        <v>349</v>
      </c>
      <c r="C562" s="4">
        <v>46801.94999999553</v>
      </c>
      <c r="D562" s="6">
        <v>4.91</v>
      </c>
      <c r="E562" s="23">
        <v>100</v>
      </c>
      <c r="F562" s="23">
        <v>100</v>
      </c>
      <c r="G562" s="16">
        <f>VLOOKUP(A562,'[1]DRDO Kolar Data'!$A:$E,5,0)*1000</f>
        <v>10000</v>
      </c>
      <c r="H562" s="24">
        <f t="shared" si="27"/>
        <v>9809798.0499999896</v>
      </c>
      <c r="I562" s="25">
        <f t="shared" si="25"/>
        <v>19.500812499998137</v>
      </c>
      <c r="J562" s="25">
        <f t="shared" si="26"/>
        <v>11.711793278414504</v>
      </c>
      <c r="K562" s="17" t="s">
        <v>11</v>
      </c>
    </row>
    <row r="563" spans="1:11" ht="15.75" customHeight="1" x14ac:dyDescent="0.2">
      <c r="A563" s="15">
        <v>45366</v>
      </c>
      <c r="B563" s="3">
        <f>VLOOKUP(A563,'[1]BADI SID DATA'!A:B,2,0)</f>
        <v>350</v>
      </c>
      <c r="C563" s="4">
        <v>52649.35000000149</v>
      </c>
      <c r="D563" s="6">
        <v>5.55</v>
      </c>
      <c r="E563" s="23">
        <v>100</v>
      </c>
      <c r="F563" s="23">
        <v>100</v>
      </c>
      <c r="G563" s="16">
        <f>VLOOKUP(A563,'[1]DRDO Kolar Data'!$A:$E,5,0)*1000</f>
        <v>9900</v>
      </c>
      <c r="H563" s="24">
        <f t="shared" si="27"/>
        <v>9862447.3999999911</v>
      </c>
      <c r="I563" s="25">
        <f t="shared" si="25"/>
        <v>21.937229166667287</v>
      </c>
      <c r="J563" s="25">
        <f t="shared" si="26"/>
        <v>11.7410088095238</v>
      </c>
      <c r="K563" s="17" t="s">
        <v>11</v>
      </c>
    </row>
    <row r="564" spans="1:11" ht="15.75" customHeight="1" x14ac:dyDescent="0.2">
      <c r="A564" s="15">
        <v>45367</v>
      </c>
      <c r="B564" s="3">
        <f>VLOOKUP(A564,'[1]BADI SID DATA'!A:B,2,0)</f>
        <v>351</v>
      </c>
      <c r="C564" s="4">
        <v>58498.05000000447</v>
      </c>
      <c r="D564" s="6">
        <v>6.1</v>
      </c>
      <c r="E564" s="23">
        <v>100</v>
      </c>
      <c r="F564" s="23">
        <v>100</v>
      </c>
      <c r="G564" s="16">
        <f>VLOOKUP(A564,'[1]DRDO Kolar Data'!$A:$E,5,0)*1000</f>
        <v>9900</v>
      </c>
      <c r="H564" s="24">
        <f t="shared" si="27"/>
        <v>9920945.4499999955</v>
      </c>
      <c r="I564" s="25">
        <f t="shared" si="25"/>
        <v>24.374187500001863</v>
      </c>
      <c r="J564" s="25">
        <f t="shared" si="26"/>
        <v>11.777000771604932</v>
      </c>
      <c r="K564" s="17" t="s">
        <v>13</v>
      </c>
    </row>
    <row r="565" spans="1:11" ht="15.75" customHeight="1" x14ac:dyDescent="0.2">
      <c r="A565" s="15">
        <v>45368</v>
      </c>
      <c r="B565" s="3">
        <f>VLOOKUP(A565,'[1]BADI SID DATA'!A:B,2,0)</f>
        <v>352</v>
      </c>
      <c r="C565" s="4">
        <v>59802.59999999404</v>
      </c>
      <c r="D565" s="6">
        <v>6.33</v>
      </c>
      <c r="E565" s="23">
        <v>100</v>
      </c>
      <c r="F565" s="23">
        <v>100</v>
      </c>
      <c r="G565" s="16">
        <f>VLOOKUP(A565,'[1]DRDO Kolar Data'!$A:$E,5,0)*1000</f>
        <v>10000</v>
      </c>
      <c r="H565" s="24">
        <f t="shared" si="27"/>
        <v>9980748.0499999896</v>
      </c>
      <c r="I565" s="25">
        <f t="shared" si="25"/>
        <v>24.917749999997515</v>
      </c>
      <c r="J565" s="25">
        <f t="shared" si="26"/>
        <v>11.81433244554923</v>
      </c>
      <c r="K565" s="17" t="s">
        <v>13</v>
      </c>
    </row>
    <row r="566" spans="1:11" ht="15.75" customHeight="1" x14ac:dyDescent="0.2">
      <c r="A566" s="15">
        <v>45369</v>
      </c>
      <c r="B566" s="3">
        <f>VLOOKUP(A566,'[1]BADI SID DATA'!A:B,2,0)</f>
        <v>353</v>
      </c>
      <c r="C566" s="4">
        <v>60449.35000000149</v>
      </c>
      <c r="D566" s="6">
        <v>6.35</v>
      </c>
      <c r="E566" s="23">
        <v>100</v>
      </c>
      <c r="F566" s="23">
        <v>100</v>
      </c>
      <c r="G566" s="16">
        <f>VLOOKUP(A566,'[1]DRDO Kolar Data'!$A:$E,5,0)*1000</f>
        <v>10300</v>
      </c>
      <c r="H566" s="24">
        <f t="shared" si="27"/>
        <v>10041197.399999991</v>
      </c>
      <c r="I566" s="25">
        <f t="shared" si="25"/>
        <v>25.187229166667287</v>
      </c>
      <c r="J566" s="25">
        <f t="shared" si="26"/>
        <v>11.852216005665712</v>
      </c>
      <c r="K566" s="17" t="s">
        <v>13</v>
      </c>
    </row>
    <row r="567" spans="1:11" ht="15.75" customHeight="1" x14ac:dyDescent="0.2">
      <c r="A567" s="15">
        <v>45370</v>
      </c>
      <c r="B567" s="3">
        <f>VLOOKUP(A567,'[1]BADI SID DATA'!A:B,2,0)</f>
        <v>354</v>
      </c>
      <c r="C567" s="4">
        <v>60450</v>
      </c>
      <c r="D567" s="6">
        <v>6.39</v>
      </c>
      <c r="E567" s="23">
        <v>100</v>
      </c>
      <c r="F567" s="23">
        <v>100</v>
      </c>
      <c r="G567" s="16">
        <f>VLOOKUP(A567,'[1]DRDO Kolar Data'!$A:$E,5,0)*1000</f>
        <v>9900</v>
      </c>
      <c r="H567" s="24">
        <f t="shared" si="27"/>
        <v>10101647.399999991</v>
      </c>
      <c r="I567" s="25">
        <f t="shared" si="25"/>
        <v>25.1875</v>
      </c>
      <c r="J567" s="25">
        <f t="shared" si="26"/>
        <v>11.889886299435018</v>
      </c>
      <c r="K567" s="17" t="s">
        <v>13</v>
      </c>
    </row>
    <row r="568" spans="1:11" ht="15.75" customHeight="1" x14ac:dyDescent="0.2">
      <c r="A568" s="15">
        <v>45371</v>
      </c>
      <c r="B568" s="3">
        <f>VLOOKUP(A568,'[1]BADI SID DATA'!A:B,2,0)</f>
        <v>355</v>
      </c>
      <c r="C568" s="4">
        <v>61750.65000000596</v>
      </c>
      <c r="D568" s="6">
        <v>6.46</v>
      </c>
      <c r="E568" s="23">
        <v>100</v>
      </c>
      <c r="F568" s="23">
        <v>100</v>
      </c>
      <c r="G568" s="16">
        <f>VLOOKUP(A568,'[1]DRDO Kolar Data'!$A:$E,5,0)*1000</f>
        <v>10100</v>
      </c>
      <c r="H568" s="24">
        <f t="shared" si="27"/>
        <v>10163398.049999997</v>
      </c>
      <c r="I568" s="25">
        <f t="shared" si="25"/>
        <v>25.729437500002483</v>
      </c>
      <c r="J568" s="25">
        <f t="shared" si="26"/>
        <v>11.928870950704223</v>
      </c>
      <c r="K568" s="17" t="s">
        <v>13</v>
      </c>
    </row>
    <row r="569" spans="1:11" ht="15.75" customHeight="1" x14ac:dyDescent="0.2">
      <c r="A569" s="15">
        <v>45372</v>
      </c>
      <c r="B569" s="3">
        <f>VLOOKUP(A569,'[1]BADI SID DATA'!A:B,2,0)</f>
        <v>356</v>
      </c>
      <c r="C569" s="4">
        <v>51999.34999999404</v>
      </c>
      <c r="D569" s="6">
        <v>5.33</v>
      </c>
      <c r="E569" s="23">
        <v>100</v>
      </c>
      <c r="F569" s="23">
        <v>100</v>
      </c>
      <c r="G569" s="16">
        <f>VLOOKUP(A569,'[1]DRDO Kolar Data'!$A:$E,5,0)*1000</f>
        <v>10300</v>
      </c>
      <c r="H569" s="24">
        <f t="shared" si="27"/>
        <v>10215397.399999991</v>
      </c>
      <c r="I569" s="25">
        <f t="shared" si="25"/>
        <v>21.666395833330849</v>
      </c>
      <c r="J569" s="25">
        <f t="shared" si="26"/>
        <v>11.956223548689128</v>
      </c>
      <c r="K569" s="17" t="s">
        <v>11</v>
      </c>
    </row>
    <row r="570" spans="1:11" ht="15.75" customHeight="1" x14ac:dyDescent="0.2">
      <c r="A570" s="15">
        <v>45373</v>
      </c>
      <c r="B570" s="3">
        <f>VLOOKUP(A570,'[1]BADI SID DATA'!A:B,2,0)</f>
        <v>357</v>
      </c>
      <c r="C570" s="4">
        <v>54597.40000000596</v>
      </c>
      <c r="D570" s="6">
        <v>5.91</v>
      </c>
      <c r="E570" s="23">
        <v>100</v>
      </c>
      <c r="F570" s="23">
        <v>98.263888888888886</v>
      </c>
      <c r="G570" s="16">
        <f>VLOOKUP(A570,'[1]DRDO Kolar Data'!$A:$E,5,0)*1000</f>
        <v>10400</v>
      </c>
      <c r="H570" s="24">
        <f t="shared" si="27"/>
        <v>10269994.799999997</v>
      </c>
      <c r="I570" s="25">
        <f t="shared" si="25"/>
        <v>22.74891666666915</v>
      </c>
      <c r="J570" s="25">
        <f t="shared" si="26"/>
        <v>11.986455182072826</v>
      </c>
      <c r="K570" s="17" t="s">
        <v>13</v>
      </c>
    </row>
    <row r="571" spans="1:11" ht="15.75" customHeight="1" x14ac:dyDescent="0.2">
      <c r="A571" s="15">
        <v>45374</v>
      </c>
      <c r="B571" s="3">
        <f>VLOOKUP(A571,'[1]BADI SID DATA'!A:B,2,0)</f>
        <v>358</v>
      </c>
      <c r="C571" s="4">
        <v>61100.649999991059</v>
      </c>
      <c r="D571" s="6">
        <v>6.32</v>
      </c>
      <c r="E571" s="23">
        <v>100</v>
      </c>
      <c r="F571" s="23">
        <v>100</v>
      </c>
      <c r="G571" s="16">
        <f>VLOOKUP(A571,'[1]DRDO Kolar Data'!$A:$E,5,0)*1000</f>
        <v>10100</v>
      </c>
      <c r="H571" s="24">
        <f t="shared" si="27"/>
        <v>10331095.449999988</v>
      </c>
      <c r="I571" s="25">
        <f t="shared" si="25"/>
        <v>25.458604166662941</v>
      </c>
      <c r="J571" s="25">
        <f t="shared" si="26"/>
        <v>12.024086883147101</v>
      </c>
      <c r="K571" s="17" t="s">
        <v>13</v>
      </c>
    </row>
    <row r="572" spans="1:11" ht="15.75" customHeight="1" x14ac:dyDescent="0.2">
      <c r="A572" s="15">
        <v>45375</v>
      </c>
      <c r="B572" s="3">
        <f>VLOOKUP(A572,'[1]BADI SID DATA'!A:B,2,0)</f>
        <v>359</v>
      </c>
      <c r="C572" s="4">
        <v>64353.25</v>
      </c>
      <c r="D572" s="6">
        <v>6.84</v>
      </c>
      <c r="E572" s="23">
        <v>100</v>
      </c>
      <c r="F572" s="23">
        <v>100</v>
      </c>
      <c r="G572" s="16">
        <f>VLOOKUP(A572,'[1]DRDO Kolar Data'!$A:$E,5,0)*1000</f>
        <v>10200</v>
      </c>
      <c r="H572" s="24">
        <f t="shared" si="27"/>
        <v>10395448.699999988</v>
      </c>
      <c r="I572" s="25">
        <f t="shared" si="25"/>
        <v>26.813854166666669</v>
      </c>
      <c r="J572" s="25">
        <f t="shared" si="26"/>
        <v>12.065284006499521</v>
      </c>
      <c r="K572" s="17" t="s">
        <v>13</v>
      </c>
    </row>
    <row r="573" spans="1:11" ht="15.75" customHeight="1" x14ac:dyDescent="0.2">
      <c r="A573" s="15">
        <v>45376</v>
      </c>
      <c r="B573" s="3">
        <f>VLOOKUP(A573,'[1]BADI SID DATA'!A:B,2,0)</f>
        <v>360</v>
      </c>
      <c r="C573" s="4">
        <v>61100.000000007451</v>
      </c>
      <c r="D573" s="7">
        <v>6.39</v>
      </c>
      <c r="E573" s="23">
        <v>100</v>
      </c>
      <c r="F573" s="23">
        <v>100</v>
      </c>
      <c r="G573" s="16">
        <f>VLOOKUP(A573,'[1]DRDO Kolar Data'!$A:$E,5,0)*1000</f>
        <v>10100</v>
      </c>
      <c r="H573" s="24">
        <f t="shared" si="27"/>
        <v>10456548.699999996</v>
      </c>
      <c r="I573" s="25">
        <f t="shared" si="25"/>
        <v>25.458333333336437</v>
      </c>
      <c r="J573" s="25">
        <f t="shared" si="26"/>
        <v>12.10248692129629</v>
      </c>
      <c r="K573" s="17" t="s">
        <v>13</v>
      </c>
    </row>
    <row r="574" spans="1:11" ht="15.75" customHeight="1" x14ac:dyDescent="0.2">
      <c r="A574" s="15">
        <v>45377</v>
      </c>
      <c r="B574" s="3">
        <f>VLOOKUP(A574,'[1]BADI SID DATA'!A:B,2,0)</f>
        <v>361</v>
      </c>
      <c r="C574" s="4">
        <v>62397.39999999851</v>
      </c>
      <c r="D574" s="7">
        <v>6.61</v>
      </c>
      <c r="E574" s="23">
        <v>100</v>
      </c>
      <c r="F574" s="23">
        <v>100</v>
      </c>
      <c r="G574" s="16">
        <f>VLOOKUP(A574,'[1]DRDO Kolar Data'!$A:$E,5,0)*1000</f>
        <v>10000</v>
      </c>
      <c r="H574" s="24">
        <f t="shared" si="27"/>
        <v>10518946.099999994</v>
      </c>
      <c r="I574" s="25">
        <f t="shared" si="25"/>
        <v>25.998916666666045</v>
      </c>
      <c r="J574" s="25">
        <f t="shared" si="26"/>
        <v>12.140981186518921</v>
      </c>
      <c r="K574" s="17" t="s">
        <v>13</v>
      </c>
    </row>
    <row r="575" spans="1:11" ht="15.75" customHeight="1" x14ac:dyDescent="0.2">
      <c r="A575" s="15">
        <v>45378</v>
      </c>
      <c r="B575" s="3">
        <f>VLOOKUP(A575,'[1]BADI SID DATA'!A:B,2,0)</f>
        <v>362</v>
      </c>
      <c r="C575" s="4">
        <v>66301.29999999702</v>
      </c>
      <c r="D575" s="7">
        <v>7.08</v>
      </c>
      <c r="E575" s="23">
        <v>100</v>
      </c>
      <c r="F575" s="23">
        <v>93.75</v>
      </c>
      <c r="G575" s="16">
        <f>VLOOKUP(A575,'[1]DRDO Kolar Data'!$A:$E,5,0)*1000</f>
        <v>10000</v>
      </c>
      <c r="H575" s="24">
        <f t="shared" si="27"/>
        <v>10585247.399999991</v>
      </c>
      <c r="I575" s="25">
        <f t="shared" si="25"/>
        <v>27.625541666665427</v>
      </c>
      <c r="J575" s="25">
        <f t="shared" si="26"/>
        <v>12.183756215469604</v>
      </c>
      <c r="K575" s="17" t="s">
        <v>24</v>
      </c>
    </row>
    <row r="576" spans="1:11" ht="15.75" customHeight="1" x14ac:dyDescent="0.2">
      <c r="A576" s="15">
        <v>45379</v>
      </c>
      <c r="B576" s="3">
        <f>VLOOKUP(A576,'[1]BADI SID DATA'!A:B,2,0)</f>
        <v>363</v>
      </c>
      <c r="C576" s="4">
        <v>64349.35000000149</v>
      </c>
      <c r="D576" s="7">
        <v>6.98</v>
      </c>
      <c r="E576" s="23">
        <v>100</v>
      </c>
      <c r="F576" s="23">
        <v>100</v>
      </c>
      <c r="G576" s="16">
        <f>VLOOKUP(A576,'[1]DRDO Kolar Data'!$A:$E,5,0)*1000</f>
        <v>10200</v>
      </c>
      <c r="H576" s="24">
        <f t="shared" si="27"/>
        <v>10649596.749999993</v>
      </c>
      <c r="I576" s="25">
        <f t="shared" si="25"/>
        <v>26.81222916666729</v>
      </c>
      <c r="J576" s="25">
        <f t="shared" si="26"/>
        <v>12.224055039026622</v>
      </c>
      <c r="K576" s="17" t="s">
        <v>13</v>
      </c>
    </row>
    <row r="577" spans="1:11" ht="15.75" customHeight="1" x14ac:dyDescent="0.2">
      <c r="A577" s="15">
        <v>45380</v>
      </c>
      <c r="B577" s="3">
        <f>VLOOKUP(A577,'[1]BADI SID DATA'!A:B,2,0)</f>
        <v>364</v>
      </c>
      <c r="C577" s="4">
        <v>59148.05000000447</v>
      </c>
      <c r="D577" s="6">
        <v>6.4</v>
      </c>
      <c r="E577" s="23">
        <v>100</v>
      </c>
      <c r="F577" s="23">
        <v>100</v>
      </c>
      <c r="G577" s="16">
        <f>VLOOKUP(A577,'[1]DRDO Kolar Data'!$A:$E,5,0)*1000</f>
        <v>9900</v>
      </c>
      <c r="H577" s="24">
        <f t="shared" si="27"/>
        <v>10708744.799999997</v>
      </c>
      <c r="I577" s="25">
        <f t="shared" si="25"/>
        <v>24.645020833335195</v>
      </c>
      <c r="J577" s="25">
        <f t="shared" si="26"/>
        <v>12.258178571428569</v>
      </c>
      <c r="K577" s="17" t="s">
        <v>13</v>
      </c>
    </row>
    <row r="578" spans="1:11" ht="15.75" customHeight="1" x14ac:dyDescent="0.2">
      <c r="A578" s="15">
        <v>45381</v>
      </c>
      <c r="B578" s="3">
        <f>VLOOKUP(A578,'[1]BADI SID DATA'!A:B,2,0)</f>
        <v>365</v>
      </c>
      <c r="C578" s="4">
        <v>63702.59999999404</v>
      </c>
      <c r="D578" s="7">
        <v>6.92</v>
      </c>
      <c r="E578" s="23">
        <v>100</v>
      </c>
      <c r="F578" s="23">
        <v>100</v>
      </c>
      <c r="G578" s="16">
        <f>VLOOKUP(A578,'[1]DRDO Kolar Data'!$A:$E,5,0)*1000</f>
        <v>10100</v>
      </c>
      <c r="H578" s="24">
        <f t="shared" si="27"/>
        <v>10772447.399999991</v>
      </c>
      <c r="I578" s="25">
        <f t="shared" si="25"/>
        <v>26.542749999997518</v>
      </c>
      <c r="J578" s="25">
        <f t="shared" si="26"/>
        <v>12.297314383561634</v>
      </c>
      <c r="K578" s="17" t="s">
        <v>13</v>
      </c>
    </row>
    <row r="579" spans="1:11" ht="15.75" customHeight="1" x14ac:dyDescent="0.2">
      <c r="A579" s="15">
        <v>45382</v>
      </c>
      <c r="B579" s="3">
        <f>VLOOKUP(A579,'[1]BADI SID DATA'!A:B,2,0)</f>
        <v>366</v>
      </c>
      <c r="C579" s="4">
        <v>63048.70000000298</v>
      </c>
      <c r="D579" s="10">
        <v>6.92</v>
      </c>
      <c r="E579" s="23">
        <v>100</v>
      </c>
      <c r="F579" s="23">
        <v>54.166666666666664</v>
      </c>
      <c r="G579" s="16">
        <f>VLOOKUP(A579,'[1]DRDO Kolar Data'!$A:$E,5,0)*1000</f>
        <v>10200</v>
      </c>
      <c r="H579" s="24">
        <f t="shared" si="27"/>
        <v>10835496.099999994</v>
      </c>
      <c r="I579" s="25">
        <f t="shared" ref="I579:I642" si="28">(C579/(10*24*1000))*100</f>
        <v>26.270291666667912</v>
      </c>
      <c r="J579" s="25">
        <f t="shared" ref="J579:J642" si="29">(H579/(24*B579*10*1000))*100</f>
        <v>12.335491917122035</v>
      </c>
      <c r="K579" s="17" t="s">
        <v>13</v>
      </c>
    </row>
    <row r="580" spans="1:11" ht="15.75" customHeight="1" x14ac:dyDescent="0.2">
      <c r="A580" s="15">
        <v>45383</v>
      </c>
      <c r="B580" s="3">
        <f>VLOOKUP(A580,'[1]BADI SID DATA'!A:B,2,0)</f>
        <v>1</v>
      </c>
      <c r="C580" s="11">
        <v>59802.60000000149</v>
      </c>
      <c r="D580" s="8">
        <v>6.53</v>
      </c>
      <c r="E580" s="23">
        <v>100</v>
      </c>
      <c r="F580" s="23">
        <v>100</v>
      </c>
      <c r="G580" s="16">
        <f>VLOOKUP(A580,'[1]DRDO Kolar Data'!$A:$E,5,0)*1000</f>
        <v>10000</v>
      </c>
      <c r="H580" s="24">
        <f>C580</f>
        <v>59802.60000000149</v>
      </c>
      <c r="I580" s="25">
        <f t="shared" si="28"/>
        <v>24.91775000000062</v>
      </c>
      <c r="J580" s="25">
        <f t="shared" si="29"/>
        <v>24.91775000000062</v>
      </c>
      <c r="K580" s="17" t="s">
        <v>13</v>
      </c>
    </row>
    <row r="581" spans="1:11" ht="15.75" customHeight="1" x14ac:dyDescent="0.2">
      <c r="A581" s="15">
        <v>45384</v>
      </c>
      <c r="B581" s="3">
        <f>VLOOKUP(A581,'[1]BADI SID DATA'!A:B,2,0)</f>
        <v>2</v>
      </c>
      <c r="C581" s="11">
        <v>63698.69999999553</v>
      </c>
      <c r="D581" s="5">
        <v>6.97</v>
      </c>
      <c r="E581" s="23">
        <v>100</v>
      </c>
      <c r="F581" s="23">
        <v>100</v>
      </c>
      <c r="G581" s="16">
        <f>VLOOKUP(A581,'[1]DRDO Kolar Data'!$A:$E,5,0)*1000</f>
        <v>10100</v>
      </c>
      <c r="H581" s="24">
        <f t="shared" ref="H581:H644" si="30">C581+H580</f>
        <v>123501.29999999702</v>
      </c>
      <c r="I581" s="25">
        <f t="shared" si="28"/>
        <v>26.541124999998139</v>
      </c>
      <c r="J581" s="25">
        <f t="shared" si="29"/>
        <v>25.729437499999381</v>
      </c>
      <c r="K581" s="17" t="s">
        <v>24</v>
      </c>
    </row>
    <row r="582" spans="1:11" ht="15.75" customHeight="1" x14ac:dyDescent="0.2">
      <c r="A582" s="15">
        <v>45385</v>
      </c>
      <c r="B582" s="3">
        <f>VLOOKUP(A582,'[1]BADI SID DATA'!A:B,2,0)</f>
        <v>3</v>
      </c>
      <c r="C582" s="11">
        <v>61100</v>
      </c>
      <c r="D582" s="5">
        <v>6.72</v>
      </c>
      <c r="E582" s="23">
        <v>100</v>
      </c>
      <c r="F582" s="23">
        <v>90.138888888888886</v>
      </c>
      <c r="G582" s="16">
        <f>VLOOKUP(A582,'[1]DRDO Kolar Data'!$A:$E,5,0)*1000</f>
        <v>9900</v>
      </c>
      <c r="H582" s="24">
        <f t="shared" si="30"/>
        <v>184601.29999999702</v>
      </c>
      <c r="I582" s="25">
        <f t="shared" si="28"/>
        <v>25.458333333333332</v>
      </c>
      <c r="J582" s="25">
        <f t="shared" si="29"/>
        <v>25.639069444444029</v>
      </c>
      <c r="K582" s="17" t="s">
        <v>13</v>
      </c>
    </row>
    <row r="583" spans="1:11" ht="15.75" customHeight="1" x14ac:dyDescent="0.2">
      <c r="A583" s="15">
        <v>45386</v>
      </c>
      <c r="B583" s="3">
        <f>VLOOKUP(A583,'[1]BADI SID DATA'!A:B,2,0)</f>
        <v>4</v>
      </c>
      <c r="C583" s="11">
        <v>64349.35000000149</v>
      </c>
      <c r="D583" s="8">
        <v>7.17</v>
      </c>
      <c r="E583" s="23">
        <v>100</v>
      </c>
      <c r="F583" s="23">
        <v>100</v>
      </c>
      <c r="G583" s="16">
        <f>VLOOKUP(A583,'[1]DRDO Kolar Data'!$A:$E,5,0)*1000</f>
        <v>10200</v>
      </c>
      <c r="H583" s="24">
        <f t="shared" si="30"/>
        <v>248950.64999999851</v>
      </c>
      <c r="I583" s="25">
        <f t="shared" si="28"/>
        <v>26.81222916666729</v>
      </c>
      <c r="J583" s="25">
        <f t="shared" si="29"/>
        <v>25.932359374999848</v>
      </c>
      <c r="K583" s="17" t="s">
        <v>24</v>
      </c>
    </row>
    <row r="584" spans="1:11" ht="15.75" customHeight="1" x14ac:dyDescent="0.2">
      <c r="A584" s="15">
        <v>45387</v>
      </c>
      <c r="B584" s="3">
        <f>VLOOKUP(A584,'[1]BADI SID DATA'!A:B,2,0)</f>
        <v>5</v>
      </c>
      <c r="C584" s="11">
        <v>58501.94999999553</v>
      </c>
      <c r="D584" s="8">
        <v>6.53</v>
      </c>
      <c r="E584" s="23">
        <v>100</v>
      </c>
      <c r="F584" s="23">
        <v>98.194444444444443</v>
      </c>
      <c r="G584" s="16">
        <f>VLOOKUP(A584,'[1]DRDO Kolar Data'!$A:$E,5,0)*1000</f>
        <v>10100</v>
      </c>
      <c r="H584" s="24">
        <f t="shared" si="30"/>
        <v>307452.59999999404</v>
      </c>
      <c r="I584" s="25">
        <f t="shared" si="28"/>
        <v>24.375812499998137</v>
      </c>
      <c r="J584" s="25">
        <f t="shared" si="29"/>
        <v>25.621049999999499</v>
      </c>
      <c r="K584" s="17" t="s">
        <v>13</v>
      </c>
    </row>
    <row r="585" spans="1:11" ht="15.75" customHeight="1" x14ac:dyDescent="0.2">
      <c r="A585" s="15">
        <v>45388</v>
      </c>
      <c r="B585" s="3">
        <f>VLOOKUP(A585,'[1]BADI SID DATA'!A:B,2,0)</f>
        <v>6</v>
      </c>
      <c r="C585" s="11">
        <v>57196.10000000149</v>
      </c>
      <c r="D585" s="5">
        <v>6.44</v>
      </c>
      <c r="E585" s="23">
        <v>100</v>
      </c>
      <c r="F585" s="23">
        <v>98.680555555555557</v>
      </c>
      <c r="G585" s="16">
        <f>VLOOKUP(A585,'[1]DRDO Kolar Data'!$A:$E,5,0)*1000</f>
        <v>10000</v>
      </c>
      <c r="H585" s="24">
        <f t="shared" si="30"/>
        <v>364648.69999999553</v>
      </c>
      <c r="I585" s="25">
        <f t="shared" si="28"/>
        <v>23.831708333333953</v>
      </c>
      <c r="J585" s="25">
        <f t="shared" si="29"/>
        <v>25.322826388888579</v>
      </c>
      <c r="K585" s="17" t="s">
        <v>13</v>
      </c>
    </row>
    <row r="586" spans="1:11" ht="15.75" customHeight="1" x14ac:dyDescent="0.2">
      <c r="A586" s="15">
        <v>45389</v>
      </c>
      <c r="B586" s="3">
        <f>VLOOKUP(A586,'[1]BADI SID DATA'!A:B,2,0)</f>
        <v>7</v>
      </c>
      <c r="C586" s="11">
        <v>61100.000000007451</v>
      </c>
      <c r="D586" s="5">
        <v>6.75</v>
      </c>
      <c r="E586" s="23">
        <v>100</v>
      </c>
      <c r="F586" s="23">
        <v>100</v>
      </c>
      <c r="G586" s="16">
        <f>VLOOKUP(A586,'[1]DRDO Kolar Data'!$A:$E,5,0)*1000</f>
        <v>10100</v>
      </c>
      <c r="H586" s="24">
        <f t="shared" si="30"/>
        <v>425748.70000000298</v>
      </c>
      <c r="I586" s="25">
        <f t="shared" si="28"/>
        <v>25.458333333336437</v>
      </c>
      <c r="J586" s="25">
        <f t="shared" si="29"/>
        <v>25.342184523809703</v>
      </c>
      <c r="K586" s="17" t="s">
        <v>24</v>
      </c>
    </row>
    <row r="587" spans="1:11" ht="15.75" customHeight="1" x14ac:dyDescent="0.2">
      <c r="A587" s="15">
        <v>45390</v>
      </c>
      <c r="B587" s="3">
        <f>VLOOKUP(A587,'[1]BADI SID DATA'!A:B,2,0)</f>
        <v>8</v>
      </c>
      <c r="C587" s="11">
        <v>61751.29999999702</v>
      </c>
      <c r="D587" s="8">
        <v>6.86</v>
      </c>
      <c r="E587" s="23">
        <v>100</v>
      </c>
      <c r="F587" s="23">
        <v>100</v>
      </c>
      <c r="G587" s="16">
        <f>VLOOKUP(A587,'[1]DRDO Kolar Data'!$A:$E,5,0)*1000</f>
        <v>10100</v>
      </c>
      <c r="H587" s="24">
        <f t="shared" si="30"/>
        <v>487500</v>
      </c>
      <c r="I587" s="25">
        <f t="shared" si="28"/>
        <v>25.729708333332091</v>
      </c>
      <c r="J587" s="25">
        <f t="shared" si="29"/>
        <v>25.390625</v>
      </c>
      <c r="K587" s="17" t="s">
        <v>24</v>
      </c>
    </row>
    <row r="588" spans="1:11" ht="15.75" customHeight="1" x14ac:dyDescent="0.2">
      <c r="A588" s="15">
        <v>45391</v>
      </c>
      <c r="B588" s="3">
        <f>VLOOKUP(A588,'[1]BADI SID DATA'!A:B,2,0)</f>
        <v>9</v>
      </c>
      <c r="C588" s="11">
        <v>62401.29999999702</v>
      </c>
      <c r="D588" s="5">
        <v>6.82</v>
      </c>
      <c r="E588" s="23">
        <v>100</v>
      </c>
      <c r="F588" s="23">
        <v>100</v>
      </c>
      <c r="G588" s="16">
        <f>VLOOKUP(A588,'[1]DRDO Kolar Data'!$A:$E,5,0)*1000</f>
        <v>10000</v>
      </c>
      <c r="H588" s="24">
        <f t="shared" si="30"/>
        <v>549901.29999999702</v>
      </c>
      <c r="I588" s="25">
        <f t="shared" si="28"/>
        <v>26.000541666665427</v>
      </c>
      <c r="J588" s="25">
        <f t="shared" si="29"/>
        <v>25.458393518518381</v>
      </c>
      <c r="K588" s="17" t="s">
        <v>24</v>
      </c>
    </row>
    <row r="589" spans="1:11" ht="15.75" customHeight="1" x14ac:dyDescent="0.2">
      <c r="A589" s="15">
        <v>45392</v>
      </c>
      <c r="B589" s="3">
        <f>VLOOKUP(A589,'[1]BADI SID DATA'!A:B,2,0)</f>
        <v>10</v>
      </c>
      <c r="C589" s="11">
        <v>63048.05000000447</v>
      </c>
      <c r="D589" s="6">
        <v>6.84</v>
      </c>
      <c r="E589" s="23">
        <v>100</v>
      </c>
      <c r="F589" s="23">
        <v>100</v>
      </c>
      <c r="G589" s="16">
        <f>VLOOKUP(A589,'[1]DRDO Kolar Data'!$A:$E,5,0)*1000</f>
        <v>10000</v>
      </c>
      <c r="H589" s="24">
        <f t="shared" si="30"/>
        <v>612949.35000000149</v>
      </c>
      <c r="I589" s="25">
        <f t="shared" si="28"/>
        <v>26.270020833335195</v>
      </c>
      <c r="J589" s="25">
        <f t="shared" si="29"/>
        <v>25.539556250000061</v>
      </c>
      <c r="K589" s="17" t="s">
        <v>24</v>
      </c>
    </row>
    <row r="590" spans="1:11" ht="15.75" customHeight="1" x14ac:dyDescent="0.2">
      <c r="A590" s="15">
        <v>45393</v>
      </c>
      <c r="B590" s="3">
        <f>VLOOKUP(A590,'[1]BADI SID DATA'!A:B,2,0)</f>
        <v>11</v>
      </c>
      <c r="C590" s="11">
        <v>63051.94999999553</v>
      </c>
      <c r="D590" s="7">
        <v>6.99</v>
      </c>
      <c r="E590" s="23">
        <v>100</v>
      </c>
      <c r="F590" s="23">
        <v>100</v>
      </c>
      <c r="G590" s="16">
        <f>VLOOKUP(A590,'[1]DRDO Kolar Data'!$A:$E,5,0)*1000</f>
        <v>10100</v>
      </c>
      <c r="H590" s="24">
        <f t="shared" si="30"/>
        <v>676001.29999999702</v>
      </c>
      <c r="I590" s="25">
        <f t="shared" si="28"/>
        <v>26.271645833331469</v>
      </c>
      <c r="J590" s="25">
        <f t="shared" si="29"/>
        <v>25.606109848484738</v>
      </c>
      <c r="K590" s="17" t="s">
        <v>24</v>
      </c>
    </row>
    <row r="591" spans="1:11" ht="15.75" customHeight="1" x14ac:dyDescent="0.2">
      <c r="A591" s="15">
        <v>45394</v>
      </c>
      <c r="B591" s="3">
        <f>VLOOKUP(A591,'[1]BADI SID DATA'!A:B,2,0)</f>
        <v>12</v>
      </c>
      <c r="C591" s="11">
        <v>54598.04999999702</v>
      </c>
      <c r="D591" s="6">
        <v>6.18</v>
      </c>
      <c r="E591" s="23">
        <v>100</v>
      </c>
      <c r="F591" s="23">
        <v>100</v>
      </c>
      <c r="G591" s="16">
        <f>VLOOKUP(A591,'[1]DRDO Kolar Data'!$A:$E,5,0)*1000</f>
        <v>10400</v>
      </c>
      <c r="H591" s="24">
        <f t="shared" si="30"/>
        <v>730599.34999999404</v>
      </c>
      <c r="I591" s="25">
        <f t="shared" si="28"/>
        <v>22.749187499998758</v>
      </c>
      <c r="J591" s="25">
        <f t="shared" si="29"/>
        <v>25.368032986110904</v>
      </c>
      <c r="K591" s="17" t="s">
        <v>13</v>
      </c>
    </row>
    <row r="592" spans="1:11" ht="15.75" customHeight="1" x14ac:dyDescent="0.2">
      <c r="A592" s="15">
        <v>45395</v>
      </c>
      <c r="B592" s="3">
        <f>VLOOKUP(A592,'[1]BADI SID DATA'!A:B,2,0)</f>
        <v>13</v>
      </c>
      <c r="C592" s="11">
        <v>55251.95000000298</v>
      </c>
      <c r="D592" s="6">
        <v>5.91</v>
      </c>
      <c r="E592" s="23">
        <v>100</v>
      </c>
      <c r="F592" s="23">
        <v>100</v>
      </c>
      <c r="G592" s="16">
        <f>VLOOKUP(A592,'[1]DRDO Kolar Data'!$A:$E,5,0)*1000</f>
        <v>10500</v>
      </c>
      <c r="H592" s="24">
        <f t="shared" si="30"/>
        <v>785851.29999999702</v>
      </c>
      <c r="I592" s="25">
        <f t="shared" si="28"/>
        <v>23.021645833334574</v>
      </c>
      <c r="J592" s="25">
        <f t="shared" si="29"/>
        <v>25.187541666666569</v>
      </c>
      <c r="K592" s="17" t="s">
        <v>13</v>
      </c>
    </row>
    <row r="593" spans="1:11" ht="15.75" customHeight="1" x14ac:dyDescent="0.2">
      <c r="A593" s="15">
        <v>45396</v>
      </c>
      <c r="B593" s="3">
        <f>VLOOKUP(A593,'[1]BADI SID DATA'!A:B,2,0)</f>
        <v>14</v>
      </c>
      <c r="C593" s="11">
        <v>59148.70000000298</v>
      </c>
      <c r="D593" s="6">
        <v>6.38</v>
      </c>
      <c r="E593" s="23">
        <v>100</v>
      </c>
      <c r="F593" s="23">
        <v>100</v>
      </c>
      <c r="G593" s="16">
        <f>VLOOKUP(A593,'[1]DRDO Kolar Data'!$A:$E,5,0)*1000</f>
        <v>10100</v>
      </c>
      <c r="H593" s="24">
        <f t="shared" si="30"/>
        <v>845000</v>
      </c>
      <c r="I593" s="25">
        <f t="shared" si="28"/>
        <v>24.645291666667909</v>
      </c>
      <c r="J593" s="25">
        <f t="shared" si="29"/>
        <v>25.148809523809522</v>
      </c>
      <c r="K593" s="17" t="s">
        <v>13</v>
      </c>
    </row>
    <row r="594" spans="1:11" ht="15.75" customHeight="1" x14ac:dyDescent="0.2">
      <c r="A594" s="15">
        <v>45397</v>
      </c>
      <c r="B594" s="3">
        <f>VLOOKUP(A594,'[1]BADI SID DATA'!A:B,2,0)</f>
        <v>15</v>
      </c>
      <c r="C594" s="11">
        <v>63051.94999999553</v>
      </c>
      <c r="D594" s="6">
        <v>6.95</v>
      </c>
      <c r="E594" s="23">
        <v>100</v>
      </c>
      <c r="F594" s="23">
        <v>100</v>
      </c>
      <c r="G594" s="16">
        <f>VLOOKUP(A594,'[1]DRDO Kolar Data'!$A:$E,5,0)*1000</f>
        <v>10000</v>
      </c>
      <c r="H594" s="24">
        <f t="shared" si="30"/>
        <v>908051.94999999553</v>
      </c>
      <c r="I594" s="25">
        <f t="shared" si="28"/>
        <v>26.271645833331469</v>
      </c>
      <c r="J594" s="25">
        <f t="shared" si="29"/>
        <v>25.223665277777652</v>
      </c>
      <c r="K594" s="17" t="s">
        <v>24</v>
      </c>
    </row>
    <row r="595" spans="1:11" ht="15.75" customHeight="1" x14ac:dyDescent="0.2">
      <c r="A595" s="15">
        <v>45398</v>
      </c>
      <c r="B595" s="3">
        <f>VLOOKUP(A595,'[1]BADI SID DATA'!A:B,2,0)</f>
        <v>16</v>
      </c>
      <c r="C595" s="11">
        <v>61750.65000000596</v>
      </c>
      <c r="D595" s="6">
        <v>6.9</v>
      </c>
      <c r="E595" s="23">
        <v>100</v>
      </c>
      <c r="F595" s="23">
        <v>55.347222222222229</v>
      </c>
      <c r="G595" s="16">
        <f>VLOOKUP(A595,'[1]DRDO Kolar Data'!$A:$E,5,0)*1000</f>
        <v>10000</v>
      </c>
      <c r="H595" s="24">
        <f t="shared" si="30"/>
        <v>969802.60000000149</v>
      </c>
      <c r="I595" s="25">
        <f t="shared" si="28"/>
        <v>25.729437500002483</v>
      </c>
      <c r="J595" s="25">
        <f t="shared" si="29"/>
        <v>25.255276041666708</v>
      </c>
      <c r="K595" s="17" t="s">
        <v>24</v>
      </c>
    </row>
    <row r="596" spans="1:11" ht="15.75" customHeight="1" x14ac:dyDescent="0.2">
      <c r="A596" s="15">
        <v>45399</v>
      </c>
      <c r="B596" s="3">
        <f>VLOOKUP(A596,'[1]BADI SID DATA'!A:B,2,0)</f>
        <v>17</v>
      </c>
      <c r="C596" s="11">
        <v>51999.34999999404</v>
      </c>
      <c r="D596" s="6">
        <v>5.51</v>
      </c>
      <c r="E596" s="23">
        <v>100</v>
      </c>
      <c r="F596" s="23">
        <v>100</v>
      </c>
      <c r="G596" s="16">
        <f>VLOOKUP(A596,'[1]DRDO Kolar Data'!$A:$E,5,0)*1000</f>
        <v>9900</v>
      </c>
      <c r="H596" s="24">
        <f t="shared" si="30"/>
        <v>1021801.9499999955</v>
      </c>
      <c r="I596" s="25">
        <f t="shared" si="28"/>
        <v>21.666395833330849</v>
      </c>
      <c r="J596" s="25">
        <f t="shared" si="29"/>
        <v>25.044165441176364</v>
      </c>
      <c r="K596" s="17" t="s">
        <v>13</v>
      </c>
    </row>
    <row r="597" spans="1:11" ht="15.75" customHeight="1" x14ac:dyDescent="0.2">
      <c r="A597" s="15">
        <v>45400</v>
      </c>
      <c r="B597" s="3">
        <f>VLOOKUP(A597,'[1]BADI SID DATA'!A:B,2,0)</f>
        <v>18</v>
      </c>
      <c r="C597" s="11">
        <v>53300.000000007451</v>
      </c>
      <c r="D597" s="6">
        <v>5.76</v>
      </c>
      <c r="E597" s="23">
        <v>100</v>
      </c>
      <c r="F597" s="23">
        <v>100</v>
      </c>
      <c r="G597" s="16">
        <f>VLOOKUP(A597,'[1]DRDO Kolar Data'!$A:$E,5,0)*1000</f>
        <v>10200</v>
      </c>
      <c r="H597" s="24">
        <f t="shared" si="30"/>
        <v>1075101.950000003</v>
      </c>
      <c r="I597" s="25">
        <f t="shared" si="28"/>
        <v>22.208333333336437</v>
      </c>
      <c r="J597" s="25">
        <f t="shared" si="29"/>
        <v>24.886619212963033</v>
      </c>
      <c r="K597" s="17" t="s">
        <v>13</v>
      </c>
    </row>
    <row r="598" spans="1:11" ht="15.75" customHeight="1" x14ac:dyDescent="0.2">
      <c r="A598" s="15">
        <v>45401</v>
      </c>
      <c r="B598" s="3">
        <f>VLOOKUP(A598,'[1]BADI SID DATA'!A:B,2,0)</f>
        <v>19</v>
      </c>
      <c r="C598" s="11">
        <v>49396.75</v>
      </c>
      <c r="D598" s="6">
        <v>5.57</v>
      </c>
      <c r="E598" s="23">
        <v>100</v>
      </c>
      <c r="F598" s="23">
        <v>100</v>
      </c>
      <c r="G598" s="16">
        <f>VLOOKUP(A598,'[1]DRDO Kolar Data'!$A:$E,5,0)*1000</f>
        <v>10000</v>
      </c>
      <c r="H598" s="24">
        <f t="shared" si="30"/>
        <v>1124498.700000003</v>
      </c>
      <c r="I598" s="25">
        <f t="shared" si="28"/>
        <v>20.581979166666667</v>
      </c>
      <c r="J598" s="25">
        <f t="shared" si="29"/>
        <v>24.660059210526381</v>
      </c>
      <c r="K598" s="17" t="s">
        <v>13</v>
      </c>
    </row>
    <row r="599" spans="1:11" ht="15.75" customHeight="1" x14ac:dyDescent="0.2">
      <c r="A599" s="15">
        <v>45402</v>
      </c>
      <c r="B599" s="3">
        <f>VLOOKUP(A599,'[1]BADI SID DATA'!A:B,2,0)</f>
        <v>20</v>
      </c>
      <c r="C599" s="11">
        <v>42902.59999999404</v>
      </c>
      <c r="D599" s="6">
        <v>4.9800000000000004</v>
      </c>
      <c r="E599" s="23">
        <v>100</v>
      </c>
      <c r="F599" s="23">
        <v>96.736111111111114</v>
      </c>
      <c r="G599" s="16">
        <f>VLOOKUP(A599,'[1]DRDO Kolar Data'!$A:$E,5,0)*1000</f>
        <v>10100</v>
      </c>
      <c r="H599" s="24">
        <f t="shared" si="30"/>
        <v>1167401.299999997</v>
      </c>
      <c r="I599" s="25">
        <f t="shared" si="28"/>
        <v>17.87608333333085</v>
      </c>
      <c r="J599" s="25">
        <f t="shared" si="29"/>
        <v>24.320860416666605</v>
      </c>
      <c r="K599" s="17" t="s">
        <v>11</v>
      </c>
    </row>
    <row r="600" spans="1:11" ht="15.75" customHeight="1" x14ac:dyDescent="0.2">
      <c r="A600" s="15">
        <v>45403</v>
      </c>
      <c r="B600" s="3">
        <f>VLOOKUP(A600,'[1]BADI SID DATA'!A:B,2,0)</f>
        <v>21</v>
      </c>
      <c r="C600" s="11">
        <v>57850.64999999851</v>
      </c>
      <c r="D600" s="6">
        <v>6.7</v>
      </c>
      <c r="E600" s="23">
        <v>100</v>
      </c>
      <c r="F600" s="23">
        <v>97.569444444444443</v>
      </c>
      <c r="G600" s="16">
        <f>VLOOKUP(A600,'[1]DRDO Kolar Data'!$A:$E,5,0)*1000</f>
        <v>10100</v>
      </c>
      <c r="H600" s="24">
        <f t="shared" si="30"/>
        <v>1225251.9499999955</v>
      </c>
      <c r="I600" s="25">
        <f t="shared" si="28"/>
        <v>24.104437499999378</v>
      </c>
      <c r="J600" s="25">
        <f t="shared" si="29"/>
        <v>24.310554563491973</v>
      </c>
      <c r="K600" s="17" t="s">
        <v>13</v>
      </c>
    </row>
    <row r="601" spans="1:11" ht="15.75" customHeight="1" x14ac:dyDescent="0.2">
      <c r="A601" s="15">
        <v>45404</v>
      </c>
      <c r="B601" s="3">
        <f>VLOOKUP(A601,'[1]BADI SID DATA'!A:B,2,0)</f>
        <v>22</v>
      </c>
      <c r="C601" s="11">
        <v>59148.70000000298</v>
      </c>
      <c r="D601" s="6">
        <v>7.08</v>
      </c>
      <c r="E601" s="23">
        <v>100</v>
      </c>
      <c r="F601" s="23">
        <v>91.319444444444443</v>
      </c>
      <c r="G601" s="16">
        <f>VLOOKUP(A601,'[1]DRDO Kolar Data'!$A:$E,5,0)*1000</f>
        <v>10000</v>
      </c>
      <c r="H601" s="24">
        <f t="shared" si="30"/>
        <v>1284400.6499999985</v>
      </c>
      <c r="I601" s="25">
        <f t="shared" si="28"/>
        <v>24.645291666667909</v>
      </c>
      <c r="J601" s="25">
        <f t="shared" si="29"/>
        <v>24.325769886363606</v>
      </c>
      <c r="K601" s="17" t="s">
        <v>13</v>
      </c>
    </row>
    <row r="602" spans="1:11" ht="15.75" customHeight="1" x14ac:dyDescent="0.2">
      <c r="A602" s="15">
        <v>45405</v>
      </c>
      <c r="B602" s="3">
        <f>VLOOKUP(A602,'[1]BADI SID DATA'!A:B,2,0)</f>
        <v>23</v>
      </c>
      <c r="C602" s="11">
        <v>61100</v>
      </c>
      <c r="D602" s="6">
        <v>7.18</v>
      </c>
      <c r="E602" s="23">
        <v>100</v>
      </c>
      <c r="F602" s="23">
        <v>50.763888888888886</v>
      </c>
      <c r="G602" s="16">
        <f>VLOOKUP(A602,'[1]DRDO Kolar Data'!$A:$E,5,0)*1000</f>
        <v>10200</v>
      </c>
      <c r="H602" s="24">
        <f t="shared" si="30"/>
        <v>1345500.6499999985</v>
      </c>
      <c r="I602" s="25">
        <f t="shared" si="28"/>
        <v>25.458333333333332</v>
      </c>
      <c r="J602" s="25">
        <f t="shared" si="29"/>
        <v>24.375011775362292</v>
      </c>
      <c r="K602" s="17" t="s">
        <v>13</v>
      </c>
    </row>
    <row r="603" spans="1:11" ht="15.75" customHeight="1" x14ac:dyDescent="0.2">
      <c r="A603" s="15">
        <v>45406</v>
      </c>
      <c r="B603" s="3">
        <f>VLOOKUP(A603,'[1]BADI SID DATA'!A:B,2,0)</f>
        <v>24</v>
      </c>
      <c r="C603" s="11">
        <v>59148.04999999702</v>
      </c>
      <c r="D603" s="6">
        <v>6.81</v>
      </c>
      <c r="E603" s="23">
        <v>100</v>
      </c>
      <c r="F603" s="23">
        <v>100</v>
      </c>
      <c r="G603" s="16">
        <f>VLOOKUP(A603,'[1]DRDO Kolar Data'!$A:$E,5,0)*1000</f>
        <v>10000</v>
      </c>
      <c r="H603" s="24">
        <f t="shared" si="30"/>
        <v>1404648.6999999955</v>
      </c>
      <c r="I603" s="25">
        <f t="shared" si="28"/>
        <v>24.64502083333209</v>
      </c>
      <c r="J603" s="25">
        <f t="shared" si="29"/>
        <v>24.3862621527777</v>
      </c>
      <c r="K603" s="17" t="s">
        <v>13</v>
      </c>
    </row>
    <row r="604" spans="1:11" ht="15.75" customHeight="1" x14ac:dyDescent="0.2">
      <c r="A604" s="15">
        <v>45407</v>
      </c>
      <c r="B604" s="3">
        <f>VLOOKUP(A604,'[1]BADI SID DATA'!A:B,2,0)</f>
        <v>25</v>
      </c>
      <c r="C604" s="11">
        <v>55252.60000000149</v>
      </c>
      <c r="D604" s="7">
        <v>5.77</v>
      </c>
      <c r="E604" s="23">
        <v>100</v>
      </c>
      <c r="F604" s="23">
        <v>100</v>
      </c>
      <c r="G604" s="16">
        <f>VLOOKUP(A604,'[1]DRDO Kolar Data'!$A:$E,5,0)*1000</f>
        <v>9900</v>
      </c>
      <c r="H604" s="24">
        <f t="shared" si="30"/>
        <v>1459901.299999997</v>
      </c>
      <c r="I604" s="25">
        <f t="shared" si="28"/>
        <v>23.021916666667288</v>
      </c>
      <c r="J604" s="25">
        <f t="shared" si="29"/>
        <v>24.331688333333286</v>
      </c>
      <c r="K604" s="17" t="s">
        <v>13</v>
      </c>
    </row>
    <row r="605" spans="1:11" ht="15.75" customHeight="1" x14ac:dyDescent="0.2">
      <c r="A605" s="15">
        <v>45408</v>
      </c>
      <c r="B605" s="3">
        <f>VLOOKUP(A605,'[1]BADI SID DATA'!A:B,2,0)</f>
        <v>26</v>
      </c>
      <c r="C605" s="11">
        <v>58497.39999999851</v>
      </c>
      <c r="D605" s="6">
        <v>6.2</v>
      </c>
      <c r="E605" s="23">
        <v>100</v>
      </c>
      <c r="F605" s="23">
        <v>100</v>
      </c>
      <c r="G605" s="16">
        <f>VLOOKUP(A605,'[1]DRDO Kolar Data'!$A:$E,5,0)*1000</f>
        <v>10200</v>
      </c>
      <c r="H605" s="24">
        <f t="shared" si="30"/>
        <v>1518398.6999999955</v>
      </c>
      <c r="I605" s="25">
        <f t="shared" si="28"/>
        <v>24.373916666666045</v>
      </c>
      <c r="J605" s="25">
        <f t="shared" si="29"/>
        <v>24.333312499999931</v>
      </c>
      <c r="K605" s="17" t="s">
        <v>13</v>
      </c>
    </row>
    <row r="606" spans="1:11" ht="15.75" customHeight="1" x14ac:dyDescent="0.2">
      <c r="A606" s="15">
        <v>45409</v>
      </c>
      <c r="B606" s="3">
        <f>VLOOKUP(A606,'[1]BADI SID DATA'!A:B,2,0)</f>
        <v>27</v>
      </c>
      <c r="C606" s="11">
        <v>60453.250000007451</v>
      </c>
      <c r="D606" s="7">
        <v>6.42</v>
      </c>
      <c r="E606" s="23">
        <v>100</v>
      </c>
      <c r="F606" s="23">
        <v>100</v>
      </c>
      <c r="G606" s="16">
        <f>VLOOKUP(A606,'[1]DRDO Kolar Data'!$A:$E,5,0)*1000</f>
        <v>10100</v>
      </c>
      <c r="H606" s="24">
        <f t="shared" si="30"/>
        <v>1578851.950000003</v>
      </c>
      <c r="I606" s="25">
        <f t="shared" si="28"/>
        <v>25.188854166669771</v>
      </c>
      <c r="J606" s="25">
        <f t="shared" si="29"/>
        <v>24.364999228395106</v>
      </c>
      <c r="K606" s="17" t="s">
        <v>24</v>
      </c>
    </row>
    <row r="607" spans="1:11" ht="15.75" customHeight="1" x14ac:dyDescent="0.2">
      <c r="A607" s="15">
        <v>45410</v>
      </c>
      <c r="B607" s="3">
        <f>VLOOKUP(A607,'[1]BADI SID DATA'!A:B,2,0)</f>
        <v>28</v>
      </c>
      <c r="C607" s="11">
        <v>58498.04999999702</v>
      </c>
      <c r="D607" s="6">
        <v>6.3</v>
      </c>
      <c r="E607" s="23">
        <v>100</v>
      </c>
      <c r="F607" s="23">
        <v>100</v>
      </c>
      <c r="G607" s="16">
        <f>VLOOKUP(A607,'[1]DRDO Kolar Data'!$A:$E,5,0)*1000</f>
        <v>9900</v>
      </c>
      <c r="H607" s="24">
        <f t="shared" si="30"/>
        <v>1637350</v>
      </c>
      <c r="I607" s="25">
        <f t="shared" si="28"/>
        <v>24.374187499998758</v>
      </c>
      <c r="J607" s="25">
        <f t="shared" si="29"/>
        <v>24.36532738095238</v>
      </c>
      <c r="K607" s="17" t="s">
        <v>24</v>
      </c>
    </row>
    <row r="608" spans="1:11" ht="15.75" customHeight="1" x14ac:dyDescent="0.2">
      <c r="A608" s="15">
        <v>45411</v>
      </c>
      <c r="B608" s="3">
        <f>VLOOKUP(A608,'[1]BADI SID DATA'!A:B,2,0)</f>
        <v>29</v>
      </c>
      <c r="C608" s="11">
        <v>58501.29999999702</v>
      </c>
      <c r="D608" s="7">
        <v>6.25</v>
      </c>
      <c r="E608" s="23">
        <v>100</v>
      </c>
      <c r="F608" s="23">
        <v>86.805555555555557</v>
      </c>
      <c r="G608" s="16">
        <f>VLOOKUP(A608,'[1]DRDO Kolar Data'!$A:$E,5,0)*1000</f>
        <v>10000</v>
      </c>
      <c r="H608" s="24">
        <f t="shared" si="30"/>
        <v>1695851.299999997</v>
      </c>
      <c r="I608" s="25">
        <f t="shared" si="28"/>
        <v>24.375541666665427</v>
      </c>
      <c r="J608" s="25">
        <f t="shared" si="29"/>
        <v>24.365679597701106</v>
      </c>
      <c r="K608" s="17" t="s">
        <v>24</v>
      </c>
    </row>
    <row r="609" spans="1:11" ht="15.75" customHeight="1" x14ac:dyDescent="0.2">
      <c r="A609" s="15">
        <v>45412</v>
      </c>
      <c r="B609" s="3">
        <f>VLOOKUP(A609,'[1]BADI SID DATA'!A:B,2,0)</f>
        <v>30</v>
      </c>
      <c r="C609" s="11">
        <v>57851.29999999702</v>
      </c>
      <c r="D609" s="6">
        <v>6.23</v>
      </c>
      <c r="E609" s="23">
        <v>100</v>
      </c>
      <c r="F609" s="23">
        <v>100</v>
      </c>
      <c r="G609" s="16">
        <f>VLOOKUP(A609,'[1]DRDO Kolar Data'!$A:$E,5,0)*1000</f>
        <v>10100</v>
      </c>
      <c r="H609" s="24">
        <f t="shared" si="30"/>
        <v>1753702.599999994</v>
      </c>
      <c r="I609" s="25">
        <f t="shared" si="28"/>
        <v>24.104708333332091</v>
      </c>
      <c r="J609" s="25">
        <f t="shared" si="29"/>
        <v>24.356980555555474</v>
      </c>
      <c r="K609" s="17" t="s">
        <v>24</v>
      </c>
    </row>
    <row r="610" spans="1:11" ht="15.75" customHeight="1" x14ac:dyDescent="0.2">
      <c r="A610" s="15">
        <v>45413</v>
      </c>
      <c r="B610" s="3">
        <f>VLOOKUP(A610,'[1]BADI SID DATA'!A:B,2,0)</f>
        <v>31</v>
      </c>
      <c r="C610" s="11">
        <v>50698.05000000447</v>
      </c>
      <c r="D610" s="8">
        <v>5.59</v>
      </c>
      <c r="E610" s="23">
        <v>100</v>
      </c>
      <c r="F610" s="23">
        <v>98.263888888888886</v>
      </c>
      <c r="G610" s="16">
        <f>VLOOKUP(A610,'[1]DRDO Kolar Data'!$A:$E,5,0)*1000</f>
        <v>9800</v>
      </c>
      <c r="H610" s="24">
        <f t="shared" si="30"/>
        <v>1804400.6499999985</v>
      </c>
      <c r="I610" s="25">
        <f t="shared" si="28"/>
        <v>21.124187500001863</v>
      </c>
      <c r="J610" s="25">
        <f t="shared" si="29"/>
        <v>24.252696908602132</v>
      </c>
      <c r="K610" s="17" t="s">
        <v>11</v>
      </c>
    </row>
    <row r="611" spans="1:11" ht="15.75" customHeight="1" x14ac:dyDescent="0.2">
      <c r="A611" s="15">
        <v>45414</v>
      </c>
      <c r="B611" s="3">
        <f>VLOOKUP(A611,'[1]BADI SID DATA'!A:B,2,0)</f>
        <v>32</v>
      </c>
      <c r="C611" s="11">
        <v>49400</v>
      </c>
      <c r="D611" s="5">
        <v>5.25</v>
      </c>
      <c r="E611" s="23">
        <v>100</v>
      </c>
      <c r="F611" s="23">
        <v>100</v>
      </c>
      <c r="G611" s="16">
        <f>VLOOKUP(A611,'[1]DRDO Kolar Data'!$A:$E,5,0)*1000</f>
        <v>9900</v>
      </c>
      <c r="H611" s="24">
        <f t="shared" si="30"/>
        <v>1853800.6499999985</v>
      </c>
      <c r="I611" s="25">
        <f t="shared" si="28"/>
        <v>20.583333333333336</v>
      </c>
      <c r="J611" s="25">
        <f t="shared" si="29"/>
        <v>24.138029296874979</v>
      </c>
      <c r="K611" s="17" t="s">
        <v>11</v>
      </c>
    </row>
    <row r="612" spans="1:11" ht="15.75" customHeight="1" x14ac:dyDescent="0.2">
      <c r="A612" s="15">
        <v>45415</v>
      </c>
      <c r="B612" s="3">
        <f>VLOOKUP(A612,'[1]BADI SID DATA'!A:B,2,0)</f>
        <v>33</v>
      </c>
      <c r="C612" s="11">
        <v>31199.35000000149</v>
      </c>
      <c r="D612" s="5">
        <v>3.05</v>
      </c>
      <c r="E612" s="23">
        <v>100</v>
      </c>
      <c r="F612" s="23">
        <v>100</v>
      </c>
      <c r="G612" s="16">
        <f>VLOOKUP(A612,'[1]DRDO Kolar Data'!$A:$E,5,0)*1000</f>
        <v>10000</v>
      </c>
      <c r="H612" s="24">
        <f t="shared" si="30"/>
        <v>1885000</v>
      </c>
      <c r="I612" s="25">
        <f t="shared" si="28"/>
        <v>12.999729166667287</v>
      </c>
      <c r="J612" s="25">
        <f t="shared" si="29"/>
        <v>23.800505050505048</v>
      </c>
      <c r="K612" s="17" t="s">
        <v>12</v>
      </c>
    </row>
    <row r="613" spans="1:11" ht="15.75" customHeight="1" x14ac:dyDescent="0.2">
      <c r="A613" s="15">
        <v>45416</v>
      </c>
      <c r="B613" s="3">
        <f>VLOOKUP(A613,'[1]BADI SID DATA'!A:B,2,0)</f>
        <v>34</v>
      </c>
      <c r="C613" s="11">
        <v>53300</v>
      </c>
      <c r="D613" s="8">
        <v>5.78</v>
      </c>
      <c r="E613" s="23">
        <v>100</v>
      </c>
      <c r="F613" s="23">
        <v>98.611111111111114</v>
      </c>
      <c r="G613" s="16">
        <f>VLOOKUP(A613,'[1]DRDO Kolar Data'!$A:$E,5,0)*1000</f>
        <v>9800</v>
      </c>
      <c r="H613" s="24">
        <f t="shared" si="30"/>
        <v>1938300</v>
      </c>
      <c r="I613" s="25">
        <f t="shared" si="28"/>
        <v>22.208333333333332</v>
      </c>
      <c r="J613" s="25">
        <f t="shared" si="29"/>
        <v>23.753676470588236</v>
      </c>
      <c r="K613" s="17" t="s">
        <v>13</v>
      </c>
    </row>
    <row r="614" spans="1:11" ht="15.75" customHeight="1" x14ac:dyDescent="0.2">
      <c r="A614" s="15">
        <v>45417</v>
      </c>
      <c r="B614" s="3">
        <f>VLOOKUP(A614,'[1]BADI SID DATA'!A:B,2,0)</f>
        <v>35</v>
      </c>
      <c r="C614" s="11">
        <v>51999.34999999404</v>
      </c>
      <c r="D614" s="8">
        <v>5.86</v>
      </c>
      <c r="E614" s="23">
        <v>100</v>
      </c>
      <c r="F614" s="23">
        <v>93.333333333333329</v>
      </c>
      <c r="G614" s="16">
        <f>VLOOKUP(A614,'[1]DRDO Kolar Data'!$A:$E,5,0)*1000</f>
        <v>9500</v>
      </c>
      <c r="H614" s="24">
        <f t="shared" si="30"/>
        <v>1990299.349999994</v>
      </c>
      <c r="I614" s="25">
        <f t="shared" si="28"/>
        <v>21.666395833330849</v>
      </c>
      <c r="J614" s="25">
        <f t="shared" si="29"/>
        <v>23.69403988095231</v>
      </c>
      <c r="K614" s="17" t="s">
        <v>13</v>
      </c>
    </row>
    <row r="615" spans="1:11" ht="15.75" customHeight="1" x14ac:dyDescent="0.2">
      <c r="A615" s="15">
        <v>45418</v>
      </c>
      <c r="B615" s="3">
        <f>VLOOKUP(A615,'[1]BADI SID DATA'!A:B,2,0)</f>
        <v>36</v>
      </c>
      <c r="C615" s="11">
        <v>44199.350000008941</v>
      </c>
      <c r="D615" s="5">
        <v>4.6900000000000004</v>
      </c>
      <c r="E615" s="23">
        <v>100</v>
      </c>
      <c r="F615" s="23">
        <v>93.055555555555557</v>
      </c>
      <c r="G615" s="16">
        <f>VLOOKUP(A615,'[1]DRDO Kolar Data'!$A:$E,5,0)*1000</f>
        <v>9800</v>
      </c>
      <c r="H615" s="24">
        <f t="shared" si="30"/>
        <v>2034498.700000003</v>
      </c>
      <c r="I615" s="25">
        <f t="shared" si="28"/>
        <v>18.416395833337059</v>
      </c>
      <c r="J615" s="25">
        <f t="shared" si="29"/>
        <v>23.54743865740744</v>
      </c>
      <c r="K615" s="17" t="s">
        <v>11</v>
      </c>
    </row>
    <row r="616" spans="1:11" ht="15.75" customHeight="1" x14ac:dyDescent="0.2">
      <c r="A616" s="15">
        <v>45419</v>
      </c>
      <c r="B616" s="3">
        <f>VLOOKUP(A616,'[1]BADI SID DATA'!A:B,2,0)</f>
        <v>37</v>
      </c>
      <c r="C616" s="11">
        <v>57851.29999999702</v>
      </c>
      <c r="D616" s="5">
        <v>5.96</v>
      </c>
      <c r="E616" s="23">
        <v>100</v>
      </c>
      <c r="F616" s="23">
        <v>67.013888888888886</v>
      </c>
      <c r="G616" s="16">
        <f>VLOOKUP(A616,'[1]DRDO Kolar Data'!$A:$E,5,0)*1000</f>
        <v>10100</v>
      </c>
      <c r="H616" s="24">
        <f t="shared" si="30"/>
        <v>2092350</v>
      </c>
      <c r="I616" s="25">
        <f t="shared" si="28"/>
        <v>24.104708333332091</v>
      </c>
      <c r="J616" s="25">
        <f t="shared" si="29"/>
        <v>23.5625</v>
      </c>
      <c r="K616" s="17" t="s">
        <v>24</v>
      </c>
    </row>
    <row r="617" spans="1:11" ht="15.75" customHeight="1" x14ac:dyDescent="0.2">
      <c r="A617" s="15">
        <v>45420</v>
      </c>
      <c r="B617" s="3">
        <f>VLOOKUP(A617,'[1]BADI SID DATA'!A:B,2,0)</f>
        <v>38</v>
      </c>
      <c r="C617" s="11">
        <v>40299.35000000149</v>
      </c>
      <c r="D617" s="8">
        <v>3.95</v>
      </c>
      <c r="E617" s="23">
        <v>100</v>
      </c>
      <c r="F617" s="23">
        <v>100</v>
      </c>
      <c r="G617" s="16">
        <f>VLOOKUP(A617,'[1]DRDO Kolar Data'!$A:$E,5,0)*1000</f>
        <v>10000</v>
      </c>
      <c r="H617" s="24">
        <f t="shared" si="30"/>
        <v>2132649.3500000015</v>
      </c>
      <c r="I617" s="25">
        <f t="shared" si="28"/>
        <v>16.791395833333954</v>
      </c>
      <c r="J617" s="25">
        <f t="shared" si="29"/>
        <v>23.38431304824563</v>
      </c>
      <c r="K617" s="17" t="s">
        <v>11</v>
      </c>
    </row>
    <row r="618" spans="1:11" ht="15.75" customHeight="1" x14ac:dyDescent="0.2">
      <c r="A618" s="15">
        <v>45421</v>
      </c>
      <c r="B618" s="3">
        <f>VLOOKUP(A618,'[1]BADI SID DATA'!A:B,2,0)</f>
        <v>39</v>
      </c>
      <c r="C618" s="11">
        <v>50051.29999999702</v>
      </c>
      <c r="D618" s="5">
        <v>5.74</v>
      </c>
      <c r="E618" s="23">
        <v>100</v>
      </c>
      <c r="F618" s="23">
        <v>96.458333333333329</v>
      </c>
      <c r="G618" s="16">
        <f>VLOOKUP(A618,'[1]DRDO Kolar Data'!$A:$E,5,0)*1000</f>
        <v>9900</v>
      </c>
      <c r="H618" s="24">
        <f t="shared" si="30"/>
        <v>2182700.6499999985</v>
      </c>
      <c r="I618" s="25">
        <f t="shared" si="28"/>
        <v>20.854708333332091</v>
      </c>
      <c r="J618" s="25">
        <f t="shared" si="29"/>
        <v>23.319451388888872</v>
      </c>
      <c r="K618" s="17" t="s">
        <v>12</v>
      </c>
    </row>
    <row r="619" spans="1:11" ht="15.75" customHeight="1" x14ac:dyDescent="0.2">
      <c r="A619" s="15">
        <v>45422</v>
      </c>
      <c r="B619" s="3">
        <f>VLOOKUP(A619,'[1]BADI SID DATA'!A:B,2,0)</f>
        <v>40</v>
      </c>
      <c r="C619" s="11">
        <v>35098.69999999553</v>
      </c>
      <c r="D619" s="6">
        <v>3.61</v>
      </c>
      <c r="E619" s="23">
        <v>100</v>
      </c>
      <c r="F619" s="23">
        <v>100</v>
      </c>
      <c r="G619" s="16">
        <f>VLOOKUP(A619,'[1]DRDO Kolar Data'!$A:$E,5,0)*1000</f>
        <v>9900</v>
      </c>
      <c r="H619" s="24">
        <f t="shared" si="30"/>
        <v>2217799.349999994</v>
      </c>
      <c r="I619" s="25">
        <f t="shared" si="28"/>
        <v>14.624458333331471</v>
      </c>
      <c r="J619" s="25">
        <f t="shared" si="29"/>
        <v>23.102076562499938</v>
      </c>
      <c r="K619" s="17" t="s">
        <v>12</v>
      </c>
    </row>
    <row r="620" spans="1:11" ht="15.75" customHeight="1" x14ac:dyDescent="0.2">
      <c r="A620" s="15">
        <v>45423</v>
      </c>
      <c r="B620" s="3">
        <f>VLOOKUP(A620,'[1]BADI SID DATA'!A:B,2,0)</f>
        <v>41</v>
      </c>
      <c r="C620" s="11">
        <v>33150.65000000596</v>
      </c>
      <c r="D620" s="6">
        <v>4.67</v>
      </c>
      <c r="E620" s="23">
        <v>100</v>
      </c>
      <c r="F620" s="23">
        <v>91.875</v>
      </c>
      <c r="G620" s="16">
        <f>VLOOKUP(A620,'[1]DRDO Kolar Data'!$A:$E,5,0)*1000</f>
        <v>10100</v>
      </c>
      <c r="H620" s="24">
        <f t="shared" si="30"/>
        <v>2250950</v>
      </c>
      <c r="I620" s="25">
        <f t="shared" si="28"/>
        <v>13.812770833335817</v>
      </c>
      <c r="J620" s="25">
        <f t="shared" si="29"/>
        <v>22.8755081300813</v>
      </c>
      <c r="K620" s="17" t="s">
        <v>15</v>
      </c>
    </row>
    <row r="621" spans="1:11" ht="15.75" customHeight="1" x14ac:dyDescent="0.2">
      <c r="A621" s="15">
        <v>45424</v>
      </c>
      <c r="B621" s="3">
        <f>VLOOKUP(A621,'[1]BADI SID DATA'!A:B,2,0)</f>
        <v>42</v>
      </c>
      <c r="C621" s="11">
        <v>35102.60000000149</v>
      </c>
      <c r="D621" s="6">
        <v>3.5</v>
      </c>
      <c r="E621" s="23">
        <v>100</v>
      </c>
      <c r="F621" s="23">
        <v>100</v>
      </c>
      <c r="G621" s="16">
        <f>VLOOKUP(A621,'[1]DRDO Kolar Data'!$A:$E,5,0)*1000</f>
        <v>9900</v>
      </c>
      <c r="H621" s="24">
        <f t="shared" si="30"/>
        <v>2286052.6000000015</v>
      </c>
      <c r="I621" s="25">
        <f t="shared" si="28"/>
        <v>14.626083333333954</v>
      </c>
      <c r="J621" s="25">
        <f t="shared" si="29"/>
        <v>22.679093253968269</v>
      </c>
      <c r="K621" s="17" t="s">
        <v>15</v>
      </c>
    </row>
    <row r="622" spans="1:11" ht="15.75" customHeight="1" x14ac:dyDescent="0.2">
      <c r="A622" s="15">
        <v>45425</v>
      </c>
      <c r="B622" s="3">
        <f>VLOOKUP(A622,'[1]BADI SID DATA'!A:B,2,0)</f>
        <v>43</v>
      </c>
      <c r="C622" s="11">
        <v>50698.04999999702</v>
      </c>
      <c r="D622" s="6">
        <v>5.3</v>
      </c>
      <c r="E622" s="23">
        <v>100</v>
      </c>
      <c r="F622" s="23">
        <v>100</v>
      </c>
      <c r="G622" s="16">
        <f>VLOOKUP(A622,'[1]DRDO Kolar Data'!$A:$E,5,0)*1000</f>
        <v>10500</v>
      </c>
      <c r="H622" s="24">
        <f t="shared" si="30"/>
        <v>2336750.6499999985</v>
      </c>
      <c r="I622" s="25">
        <f t="shared" si="28"/>
        <v>21.124187499998758</v>
      </c>
      <c r="J622" s="25">
        <f t="shared" si="29"/>
        <v>22.642932655038745</v>
      </c>
      <c r="K622" s="17" t="s">
        <v>11</v>
      </c>
    </row>
    <row r="623" spans="1:11" ht="15.75" customHeight="1" x14ac:dyDescent="0.2">
      <c r="A623" s="15">
        <v>45426</v>
      </c>
      <c r="B623" s="3">
        <f>VLOOKUP(A623,'[1]BADI SID DATA'!A:B,2,0)</f>
        <v>44</v>
      </c>
      <c r="C623" s="11">
        <v>51999.35000000149</v>
      </c>
      <c r="D623" s="6">
        <v>5.3</v>
      </c>
      <c r="E623" s="23">
        <v>100</v>
      </c>
      <c r="F623" s="23">
        <v>100</v>
      </c>
      <c r="G623" s="16">
        <f>VLOOKUP(A623,'[1]DRDO Kolar Data'!$A:$E,5,0)*1000</f>
        <v>10700</v>
      </c>
      <c r="H623" s="24">
        <f t="shared" si="30"/>
        <v>2388750</v>
      </c>
      <c r="I623" s="25">
        <f t="shared" si="28"/>
        <v>21.666395833333954</v>
      </c>
      <c r="J623" s="25">
        <f t="shared" si="29"/>
        <v>22.620738636363637</v>
      </c>
      <c r="K623" s="17" t="s">
        <v>11</v>
      </c>
    </row>
    <row r="624" spans="1:11" ht="15.75" customHeight="1" x14ac:dyDescent="0.2">
      <c r="A624" s="15">
        <v>45427</v>
      </c>
      <c r="B624" s="3">
        <f>VLOOKUP(A624,'[1]BADI SID DATA'!A:B,2,0)</f>
        <v>45</v>
      </c>
      <c r="C624" s="11">
        <v>42251.29999999702</v>
      </c>
      <c r="D624" s="6">
        <v>4.1100000000000003</v>
      </c>
      <c r="E624" s="23">
        <v>100</v>
      </c>
      <c r="F624" s="23">
        <v>100</v>
      </c>
      <c r="G624" s="16">
        <f>VLOOKUP(A624,'[1]DRDO Kolar Data'!$A:$E,5,0)*1000</f>
        <v>10200</v>
      </c>
      <c r="H624" s="24">
        <f t="shared" si="30"/>
        <v>2431001.299999997</v>
      </c>
      <c r="I624" s="25">
        <f t="shared" si="28"/>
        <v>17.604708333332091</v>
      </c>
      <c r="J624" s="25">
        <f t="shared" si="29"/>
        <v>22.509271296296269</v>
      </c>
      <c r="K624" s="17" t="s">
        <v>15</v>
      </c>
    </row>
    <row r="625" spans="1:11" ht="15.75" customHeight="1" x14ac:dyDescent="0.2">
      <c r="A625" s="15">
        <v>45428</v>
      </c>
      <c r="B625" s="3">
        <f>VLOOKUP(A625,'[1]BADI SID DATA'!A:B,2,0)</f>
        <v>46</v>
      </c>
      <c r="C625" s="11">
        <v>41600.65000000596</v>
      </c>
      <c r="D625" s="6">
        <v>3.95</v>
      </c>
      <c r="E625" s="23">
        <v>100</v>
      </c>
      <c r="F625" s="23">
        <v>100</v>
      </c>
      <c r="G625" s="16">
        <f>VLOOKUP(A625,'[1]DRDO Kolar Data'!$A:$E,5,0)*1000</f>
        <v>8500</v>
      </c>
      <c r="H625" s="24">
        <f t="shared" si="30"/>
        <v>2472601.950000003</v>
      </c>
      <c r="I625" s="25">
        <f t="shared" si="28"/>
        <v>17.333604166669151</v>
      </c>
      <c r="J625" s="25">
        <f t="shared" si="29"/>
        <v>22.396756793478286</v>
      </c>
      <c r="K625" s="17" t="s">
        <v>15</v>
      </c>
    </row>
    <row r="626" spans="1:11" ht="15.75" customHeight="1" x14ac:dyDescent="0.2">
      <c r="A626" s="15">
        <v>45429</v>
      </c>
      <c r="B626" s="3">
        <f>VLOOKUP(A626,'[1]BADI SID DATA'!A:B,2,0)</f>
        <v>47</v>
      </c>
      <c r="C626" s="11">
        <v>18848.69999999553</v>
      </c>
      <c r="D626" s="6">
        <v>1.54</v>
      </c>
      <c r="E626" s="23">
        <v>100</v>
      </c>
      <c r="F626" s="23">
        <v>100</v>
      </c>
      <c r="G626" s="16">
        <f>VLOOKUP(A626,'[1]DRDO Kolar Data'!$A:$E,5,0)*1000</f>
        <v>4500</v>
      </c>
      <c r="H626" s="24">
        <f t="shared" si="30"/>
        <v>2491450.6499999985</v>
      </c>
      <c r="I626" s="25">
        <f t="shared" si="28"/>
        <v>7.8536249999981376</v>
      </c>
      <c r="J626" s="25">
        <f t="shared" si="29"/>
        <v>22.087328457446795</v>
      </c>
      <c r="K626" s="17" t="s">
        <v>10</v>
      </c>
    </row>
    <row r="627" spans="1:11" ht="15.75" customHeight="1" x14ac:dyDescent="0.2">
      <c r="A627" s="15">
        <v>45430</v>
      </c>
      <c r="B627" s="3">
        <f>VLOOKUP(A627,'[1]BADI SID DATA'!A:B,2,0)</f>
        <v>48</v>
      </c>
      <c r="C627" s="11">
        <v>42898.69999999553</v>
      </c>
      <c r="D627" s="6">
        <v>4.24</v>
      </c>
      <c r="E627" s="23">
        <v>100</v>
      </c>
      <c r="F627" s="23">
        <v>100</v>
      </c>
      <c r="G627" s="16">
        <f>VLOOKUP(A627,'[1]DRDO Kolar Data'!$A:$E,5,0)*1000</f>
        <v>10000</v>
      </c>
      <c r="H627" s="24">
        <f t="shared" si="30"/>
        <v>2534349.349999994</v>
      </c>
      <c r="I627" s="25">
        <f t="shared" si="28"/>
        <v>17.874458333331468</v>
      </c>
      <c r="J627" s="25">
        <f t="shared" si="29"/>
        <v>21.999560329861058</v>
      </c>
      <c r="K627" s="17" t="s">
        <v>11</v>
      </c>
    </row>
    <row r="628" spans="1:11" ht="15.75" customHeight="1" x14ac:dyDescent="0.2">
      <c r="A628" s="15">
        <v>45431</v>
      </c>
      <c r="B628" s="3">
        <f>VLOOKUP(A628,'[1]BADI SID DATA'!A:B,2,0)</f>
        <v>49</v>
      </c>
      <c r="C628" s="11">
        <v>39001.95000000298</v>
      </c>
      <c r="D628" s="6">
        <v>3.88</v>
      </c>
      <c r="E628" s="23">
        <v>100</v>
      </c>
      <c r="F628" s="23">
        <v>100</v>
      </c>
      <c r="G628" s="16">
        <f>VLOOKUP(A628,'[1]DRDO Kolar Data'!$A:$E,5,0)*1000</f>
        <v>10500</v>
      </c>
      <c r="H628" s="24">
        <f t="shared" si="30"/>
        <v>2573351.299999997</v>
      </c>
      <c r="I628" s="25">
        <f t="shared" si="28"/>
        <v>16.250812500001242</v>
      </c>
      <c r="J628" s="25">
        <f t="shared" si="29"/>
        <v>21.882238945578205</v>
      </c>
      <c r="K628" s="17" t="s">
        <v>10</v>
      </c>
    </row>
    <row r="629" spans="1:11" ht="15.75" customHeight="1" x14ac:dyDescent="0.2">
      <c r="A629" s="15">
        <v>45432</v>
      </c>
      <c r="B629" s="3">
        <f>VLOOKUP(A629,'[1]BADI SID DATA'!A:B,2,0)</f>
        <v>50</v>
      </c>
      <c r="C629" s="11">
        <v>38348.05000000447</v>
      </c>
      <c r="D629" s="6">
        <v>3.65</v>
      </c>
      <c r="E629" s="23">
        <v>100</v>
      </c>
      <c r="F629" s="23">
        <v>100</v>
      </c>
      <c r="G629" s="16">
        <f>VLOOKUP(A629,'[1]DRDO Kolar Data'!$A:$E,5,0)*1000</f>
        <v>10400</v>
      </c>
      <c r="H629" s="24">
        <f t="shared" si="30"/>
        <v>2611699.3500000015</v>
      </c>
      <c r="I629" s="25">
        <f t="shared" si="28"/>
        <v>15.978354166668529</v>
      </c>
      <c r="J629" s="25">
        <f t="shared" si="29"/>
        <v>21.764161250000015</v>
      </c>
      <c r="K629" s="17" t="s">
        <v>10</v>
      </c>
    </row>
    <row r="630" spans="1:11" ht="15.75" customHeight="1" x14ac:dyDescent="0.2">
      <c r="A630" s="15">
        <v>45433</v>
      </c>
      <c r="B630" s="3">
        <f>VLOOKUP(A630,'[1]BADI SID DATA'!A:B,2,0)</f>
        <v>51</v>
      </c>
      <c r="C630" s="11">
        <v>46801.94999999553</v>
      </c>
      <c r="D630" s="6">
        <v>4.66</v>
      </c>
      <c r="E630" s="23">
        <v>100</v>
      </c>
      <c r="F630" s="23">
        <v>100</v>
      </c>
      <c r="G630" s="16">
        <f>VLOOKUP(A630,'[1]DRDO Kolar Data'!$A:$E,5,0)*1000</f>
        <v>10800</v>
      </c>
      <c r="H630" s="24">
        <f t="shared" si="30"/>
        <v>2658501.299999997</v>
      </c>
      <c r="I630" s="25">
        <f t="shared" si="28"/>
        <v>19.500812499998137</v>
      </c>
      <c r="J630" s="25">
        <f t="shared" si="29"/>
        <v>21.719781862745073</v>
      </c>
      <c r="K630" s="17" t="s">
        <v>12</v>
      </c>
    </row>
    <row r="631" spans="1:11" ht="15.75" customHeight="1" x14ac:dyDescent="0.2">
      <c r="A631" s="15">
        <v>45434</v>
      </c>
      <c r="B631" s="3">
        <f>VLOOKUP(A631,'[1]BADI SID DATA'!A:B,2,0)</f>
        <v>52</v>
      </c>
      <c r="C631" s="11">
        <v>42247.40000000596</v>
      </c>
      <c r="D631" s="6">
        <v>4.0599999999999996</v>
      </c>
      <c r="E631" s="23">
        <v>100</v>
      </c>
      <c r="F631" s="23">
        <v>100</v>
      </c>
      <c r="G631" s="16">
        <f>VLOOKUP(A631,'[1]DRDO Kolar Data'!$A:$E,5,0)*1000</f>
        <v>10500</v>
      </c>
      <c r="H631" s="24">
        <f t="shared" si="30"/>
        <v>2700748.700000003</v>
      </c>
      <c r="I631" s="25">
        <f t="shared" si="28"/>
        <v>17.603083333335817</v>
      </c>
      <c r="J631" s="25">
        <f t="shared" si="29"/>
        <v>21.640614583333356</v>
      </c>
      <c r="K631" s="17" t="s">
        <v>11</v>
      </c>
    </row>
    <row r="632" spans="1:11" ht="15.75" customHeight="1" x14ac:dyDescent="0.2">
      <c r="A632" s="15">
        <v>45435</v>
      </c>
      <c r="B632" s="3">
        <f>VLOOKUP(A632,'[1]BADI SID DATA'!A:B,2,0)</f>
        <v>53</v>
      </c>
      <c r="C632" s="11">
        <v>52003.249999992549</v>
      </c>
      <c r="D632" s="6">
        <v>5.21</v>
      </c>
      <c r="E632" s="23">
        <v>100</v>
      </c>
      <c r="F632" s="23">
        <v>100</v>
      </c>
      <c r="G632" s="16">
        <f>VLOOKUP(A632,'[1]DRDO Kolar Data'!$A:$E,5,0)*1000</f>
        <v>10000</v>
      </c>
      <c r="H632" s="24">
        <f t="shared" si="30"/>
        <v>2752751.9499999955</v>
      </c>
      <c r="I632" s="25">
        <f t="shared" si="28"/>
        <v>21.668020833330228</v>
      </c>
      <c r="J632" s="25">
        <f t="shared" si="29"/>
        <v>21.641131682389904</v>
      </c>
      <c r="K632" s="17" t="s">
        <v>11</v>
      </c>
    </row>
    <row r="633" spans="1:11" ht="15.75" customHeight="1" x14ac:dyDescent="0.2">
      <c r="A633" s="15">
        <v>45436</v>
      </c>
      <c r="B633" s="3">
        <f>VLOOKUP(A633,'[1]BADI SID DATA'!A:B,2,0)</f>
        <v>54</v>
      </c>
      <c r="C633" s="11">
        <v>37697.40000000596</v>
      </c>
      <c r="D633" s="6">
        <v>3.49</v>
      </c>
      <c r="E633" s="23">
        <v>100</v>
      </c>
      <c r="F633" s="23">
        <v>100</v>
      </c>
      <c r="G633" s="16">
        <f>VLOOKUP(A633,'[1]DRDO Kolar Data'!$A:$E,5,0)*1000</f>
        <v>9200</v>
      </c>
      <c r="H633" s="24">
        <f t="shared" si="30"/>
        <v>2790449.3500000015</v>
      </c>
      <c r="I633" s="25">
        <f t="shared" si="28"/>
        <v>15.707250000002485</v>
      </c>
      <c r="J633" s="25">
        <f t="shared" si="29"/>
        <v>21.531244984567913</v>
      </c>
      <c r="K633" s="17" t="s">
        <v>15</v>
      </c>
    </row>
    <row r="634" spans="1:11" ht="15.75" customHeight="1" x14ac:dyDescent="0.2">
      <c r="A634" s="15">
        <v>45437</v>
      </c>
      <c r="B634" s="3">
        <f>VLOOKUP(A634,'[1]BADI SID DATA'!A:B,2,0)</f>
        <v>55</v>
      </c>
      <c r="C634" s="11">
        <v>35102.59999999404</v>
      </c>
      <c r="D634" s="6">
        <v>3.22</v>
      </c>
      <c r="E634" s="23">
        <v>100</v>
      </c>
      <c r="F634" s="23">
        <v>100</v>
      </c>
      <c r="G634" s="16">
        <f>VLOOKUP(A634,'[1]DRDO Kolar Data'!$A:$E,5,0)*1000</f>
        <v>9500</v>
      </c>
      <c r="H634" s="24">
        <f t="shared" si="30"/>
        <v>2825551.9499999955</v>
      </c>
      <c r="I634" s="25">
        <f t="shared" si="28"/>
        <v>14.62608333333085</v>
      </c>
      <c r="J634" s="25">
        <f t="shared" si="29"/>
        <v>21.405696590909056</v>
      </c>
      <c r="K634" s="17" t="s">
        <v>15</v>
      </c>
    </row>
    <row r="635" spans="1:11" ht="15.75" customHeight="1" x14ac:dyDescent="0.2">
      <c r="A635" s="15">
        <v>45438</v>
      </c>
      <c r="B635" s="3">
        <f>VLOOKUP(A635,'[1]BADI SID DATA'!A:B,2,0)</f>
        <v>56</v>
      </c>
      <c r="C635" s="11">
        <v>48750</v>
      </c>
      <c r="D635" s="7">
        <v>4.6500000000000004</v>
      </c>
      <c r="E635" s="23">
        <v>100</v>
      </c>
      <c r="F635" s="23">
        <v>100</v>
      </c>
      <c r="G635" s="16">
        <f>VLOOKUP(A635,'[1]DRDO Kolar Data'!$A:$E,5,0)*1000</f>
        <v>8200</v>
      </c>
      <c r="H635" s="24">
        <f t="shared" si="30"/>
        <v>2874301.9499999955</v>
      </c>
      <c r="I635" s="25">
        <f t="shared" si="28"/>
        <v>20.3125</v>
      </c>
      <c r="J635" s="25">
        <f t="shared" si="29"/>
        <v>21.386175223214252</v>
      </c>
      <c r="K635" s="17" t="s">
        <v>11</v>
      </c>
    </row>
    <row r="636" spans="1:11" ht="15.75" customHeight="1" x14ac:dyDescent="0.2">
      <c r="A636" s="15">
        <v>45439</v>
      </c>
      <c r="B636" s="3">
        <f>VLOOKUP(A636,'[1]BADI SID DATA'!A:B,2,0)</f>
        <v>57</v>
      </c>
      <c r="C636" s="11">
        <v>48750</v>
      </c>
      <c r="D636" s="6">
        <v>4.7</v>
      </c>
      <c r="E636" s="23">
        <v>100</v>
      </c>
      <c r="F636" s="23">
        <v>100</v>
      </c>
      <c r="G636" s="16">
        <f>VLOOKUP(A636,'[1]DRDO Kolar Data'!$A:$E,5,0)*1000</f>
        <v>7200</v>
      </c>
      <c r="H636" s="24">
        <f t="shared" si="30"/>
        <v>2923051.9499999955</v>
      </c>
      <c r="I636" s="25">
        <f t="shared" si="28"/>
        <v>20.3125</v>
      </c>
      <c r="J636" s="25">
        <f t="shared" si="29"/>
        <v>21.367338815789441</v>
      </c>
      <c r="K636" s="17" t="s">
        <v>11</v>
      </c>
    </row>
    <row r="637" spans="1:11" ht="15.75" customHeight="1" x14ac:dyDescent="0.2">
      <c r="A637" s="15">
        <v>45440</v>
      </c>
      <c r="B637" s="3">
        <f>VLOOKUP(A637,'[1]BADI SID DATA'!A:B,2,0)</f>
        <v>58</v>
      </c>
      <c r="C637" s="11">
        <v>51348.70000000298</v>
      </c>
      <c r="D637" s="7">
        <v>4.8899999999999997</v>
      </c>
      <c r="E637" s="23">
        <v>100</v>
      </c>
      <c r="F637" s="23">
        <v>92.361111111111114</v>
      </c>
      <c r="G637" s="16">
        <f>VLOOKUP(A637,'[1]DRDO Kolar Data'!$A:$E,5,0)*1000</f>
        <v>8600</v>
      </c>
      <c r="H637" s="24">
        <f t="shared" si="30"/>
        <v>2974400.6499999985</v>
      </c>
      <c r="I637" s="25">
        <f t="shared" si="28"/>
        <v>21.395291666667909</v>
      </c>
      <c r="J637" s="25">
        <f t="shared" si="29"/>
        <v>21.36782076149424</v>
      </c>
      <c r="K637" s="17" t="s">
        <v>11</v>
      </c>
    </row>
    <row r="638" spans="1:11" ht="15.75" customHeight="1" x14ac:dyDescent="0.2">
      <c r="A638" s="15">
        <v>45441</v>
      </c>
      <c r="B638" s="3">
        <f>VLOOKUP(A638,'[1]BADI SID DATA'!A:B,2,0)</f>
        <v>59</v>
      </c>
      <c r="C638" s="11">
        <v>46801.94999999553</v>
      </c>
      <c r="D638" s="6">
        <v>4.46</v>
      </c>
      <c r="E638" s="23">
        <v>100</v>
      </c>
      <c r="F638" s="23">
        <v>100</v>
      </c>
      <c r="G638" s="16">
        <f>VLOOKUP(A638,'[1]DRDO Kolar Data'!$A:$E,5,0)*1000</f>
        <v>8900</v>
      </c>
      <c r="H638" s="24">
        <f t="shared" si="30"/>
        <v>3021202.599999994</v>
      </c>
      <c r="I638" s="25">
        <f t="shared" si="28"/>
        <v>19.500812499998137</v>
      </c>
      <c r="J638" s="25">
        <f t="shared" si="29"/>
        <v>21.336176553672274</v>
      </c>
      <c r="K638" s="17" t="s">
        <v>11</v>
      </c>
    </row>
    <row r="639" spans="1:11" ht="15.75" customHeight="1" x14ac:dyDescent="0.2">
      <c r="A639" s="15">
        <v>45442</v>
      </c>
      <c r="B639" s="3">
        <f>VLOOKUP(A639,'[1]BADI SID DATA'!A:B,2,0)</f>
        <v>60</v>
      </c>
      <c r="C639" s="11">
        <v>52649.350000008941</v>
      </c>
      <c r="D639" s="7">
        <v>5.33</v>
      </c>
      <c r="E639" s="23">
        <v>100</v>
      </c>
      <c r="F639" s="23">
        <v>90</v>
      </c>
      <c r="G639" s="16">
        <f>VLOOKUP(A639,'[1]DRDO Kolar Data'!$A:$E,5,0)*1000</f>
        <v>9900</v>
      </c>
      <c r="H639" s="24">
        <f t="shared" si="30"/>
        <v>3073851.950000003</v>
      </c>
      <c r="I639" s="25">
        <f t="shared" si="28"/>
        <v>21.937229166670392</v>
      </c>
      <c r="J639" s="25">
        <f t="shared" si="29"/>
        <v>21.346194097222241</v>
      </c>
      <c r="K639" s="17" t="s">
        <v>11</v>
      </c>
    </row>
    <row r="640" spans="1:11" ht="15.75" customHeight="1" x14ac:dyDescent="0.2">
      <c r="A640" s="15">
        <v>45443</v>
      </c>
      <c r="B640" s="3">
        <f>VLOOKUP(A640,'[1]BADI SID DATA'!A:B,2,0)</f>
        <v>61</v>
      </c>
      <c r="C640" s="11">
        <v>52649.999999992549</v>
      </c>
      <c r="D640" s="6">
        <v>5.21</v>
      </c>
      <c r="E640" s="23">
        <v>100</v>
      </c>
      <c r="F640" s="23">
        <v>100</v>
      </c>
      <c r="G640" s="16">
        <f>VLOOKUP(A640,'[1]DRDO Kolar Data'!$A:$E,5,0)*1000</f>
        <v>10100</v>
      </c>
      <c r="H640" s="24">
        <f t="shared" si="30"/>
        <v>3126501.9499999955</v>
      </c>
      <c r="I640" s="25">
        <f t="shared" si="28"/>
        <v>21.937499999996895</v>
      </c>
      <c r="J640" s="25">
        <f t="shared" si="29"/>
        <v>21.355887636611993</v>
      </c>
      <c r="K640" s="17" t="s">
        <v>11</v>
      </c>
    </row>
    <row r="641" spans="1:11" ht="15.75" customHeight="1" x14ac:dyDescent="0.2">
      <c r="A641" s="15">
        <v>45444</v>
      </c>
      <c r="B641" s="3">
        <f>VLOOKUP(A641,'[1]BADI SID DATA'!A:B,2,0)</f>
        <v>62</v>
      </c>
      <c r="C641" s="11">
        <v>46147.40000000596</v>
      </c>
      <c r="D641" s="8">
        <v>4.5199999999999996</v>
      </c>
      <c r="E641" s="23">
        <v>100</v>
      </c>
      <c r="F641" s="23">
        <v>100</v>
      </c>
      <c r="G641" s="16">
        <f>VLOOKUP(A641,'[1]DRDO Kolar Data'!$A:$E,5,0)*1000</f>
        <v>10200</v>
      </c>
      <c r="H641" s="24">
        <f t="shared" si="30"/>
        <v>3172649.3500000015</v>
      </c>
      <c r="I641" s="25">
        <f t="shared" si="28"/>
        <v>19.228083333335817</v>
      </c>
      <c r="J641" s="25">
        <f t="shared" si="29"/>
        <v>21.321568212365602</v>
      </c>
      <c r="K641" s="17" t="s">
        <v>11</v>
      </c>
    </row>
    <row r="642" spans="1:11" ht="15.75" customHeight="1" x14ac:dyDescent="0.2">
      <c r="A642" s="15">
        <v>45445</v>
      </c>
      <c r="B642" s="3">
        <f>VLOOKUP(A642,'[1]BADI SID DATA'!A:B,2,0)</f>
        <v>63</v>
      </c>
      <c r="C642" s="11">
        <v>44199.999999992549</v>
      </c>
      <c r="D642" s="8">
        <v>4.4000000000000004</v>
      </c>
      <c r="E642" s="23">
        <v>100</v>
      </c>
      <c r="F642" s="23">
        <v>100</v>
      </c>
      <c r="G642" s="16">
        <f>VLOOKUP(A642,'[1]DRDO Kolar Data'!$A:$E,5,0)*1000</f>
        <v>10000</v>
      </c>
      <c r="H642" s="24">
        <f t="shared" si="30"/>
        <v>3216849.349999994</v>
      </c>
      <c r="I642" s="25">
        <f t="shared" si="28"/>
        <v>18.416666666663563</v>
      </c>
      <c r="J642" s="25">
        <f t="shared" si="29"/>
        <v>21.275458664021123</v>
      </c>
      <c r="K642" s="17" t="s">
        <v>11</v>
      </c>
    </row>
    <row r="643" spans="1:11" ht="15.75" customHeight="1" x14ac:dyDescent="0.2">
      <c r="A643" s="15">
        <v>45446</v>
      </c>
      <c r="B643" s="3">
        <f>VLOOKUP(A643,'[1]BADI SID DATA'!A:B,2,0)</f>
        <v>64</v>
      </c>
      <c r="C643" s="11">
        <v>43552.600000008941</v>
      </c>
      <c r="D643" s="5">
        <v>4.1399999999999997</v>
      </c>
      <c r="E643" s="23">
        <v>100</v>
      </c>
      <c r="F643" s="23">
        <v>100</v>
      </c>
      <c r="G643" s="16">
        <f>VLOOKUP(A643,'[1]DRDO Kolar Data'!$A:$E,5,0)*1000</f>
        <v>10200</v>
      </c>
      <c r="H643" s="24">
        <f t="shared" si="30"/>
        <v>3260401.950000003</v>
      </c>
      <c r="I643" s="25">
        <f t="shared" ref="I643:I706" si="31">(C643/(10*24*1000))*100</f>
        <v>18.146916666670393</v>
      </c>
      <c r="J643" s="25">
        <f t="shared" ref="J643:J706" si="32">(H643/(24*B643*10*1000))*100</f>
        <v>21.22657519531252</v>
      </c>
      <c r="K643" s="17" t="s">
        <v>11</v>
      </c>
    </row>
    <row r="644" spans="1:11" ht="15.75" customHeight="1" x14ac:dyDescent="0.2">
      <c r="A644" s="15">
        <v>45447</v>
      </c>
      <c r="B644" s="3">
        <f>VLOOKUP(A644,'[1]BADI SID DATA'!A:B,2,0)</f>
        <v>65</v>
      </c>
      <c r="C644" s="11">
        <v>40950</v>
      </c>
      <c r="D644" s="8">
        <v>3.92</v>
      </c>
      <c r="E644" s="23">
        <v>100</v>
      </c>
      <c r="F644" s="23">
        <v>100</v>
      </c>
      <c r="G644" s="16">
        <f>VLOOKUP(A644,'[1]DRDO Kolar Data'!$A:$E,5,0)*1000</f>
        <v>10100</v>
      </c>
      <c r="H644" s="24">
        <f t="shared" si="30"/>
        <v>3301351.950000003</v>
      </c>
      <c r="I644" s="25">
        <f t="shared" si="31"/>
        <v>17.0625</v>
      </c>
      <c r="J644" s="25">
        <f t="shared" si="32"/>
        <v>21.16251250000002</v>
      </c>
      <c r="K644" s="17" t="s">
        <v>11</v>
      </c>
    </row>
    <row r="645" spans="1:11" ht="15.75" customHeight="1" x14ac:dyDescent="0.2">
      <c r="A645" s="15">
        <v>45448</v>
      </c>
      <c r="B645" s="3">
        <f>VLOOKUP(A645,'[1]BADI SID DATA'!A:B,2,0)</f>
        <v>66</v>
      </c>
      <c r="C645" s="11">
        <v>25998.04999999702</v>
      </c>
      <c r="D645" s="8">
        <v>2.39</v>
      </c>
      <c r="E645" s="23">
        <v>100</v>
      </c>
      <c r="F645" s="23">
        <v>97.986111111111114</v>
      </c>
      <c r="G645" s="16">
        <f>VLOOKUP(A645,'[1]DRDO Kolar Data'!$A:$E,5,0)*1000</f>
        <v>10500</v>
      </c>
      <c r="H645" s="24">
        <f t="shared" ref="H645:H708" si="33">C645+H644</f>
        <v>3327350</v>
      </c>
      <c r="I645" s="25">
        <f t="shared" si="31"/>
        <v>10.832520833332092</v>
      </c>
      <c r="J645" s="25">
        <f t="shared" si="32"/>
        <v>21.005997474747478</v>
      </c>
      <c r="K645" s="17" t="s">
        <v>10</v>
      </c>
    </row>
    <row r="646" spans="1:11" ht="15.75" customHeight="1" x14ac:dyDescent="0.2">
      <c r="A646" s="15">
        <v>45449</v>
      </c>
      <c r="B646" s="3">
        <f>VLOOKUP(A646,'[1]BADI SID DATA'!A:B,2,0)</f>
        <v>67</v>
      </c>
      <c r="C646" s="11">
        <v>40299.35000000149</v>
      </c>
      <c r="D646" s="5">
        <v>3.93</v>
      </c>
      <c r="E646" s="23">
        <v>100</v>
      </c>
      <c r="F646" s="23">
        <v>100</v>
      </c>
      <c r="G646" s="16">
        <f>VLOOKUP(A646,'[1]DRDO Kolar Data'!$A:$E,5,0)*1000</f>
        <v>9000</v>
      </c>
      <c r="H646" s="24">
        <f t="shared" si="33"/>
        <v>3367649.3500000015</v>
      </c>
      <c r="I646" s="25">
        <f t="shared" si="31"/>
        <v>16.791395833333954</v>
      </c>
      <c r="J646" s="25">
        <f t="shared" si="32"/>
        <v>20.943092972636826</v>
      </c>
      <c r="K646" s="17" t="s">
        <v>15</v>
      </c>
    </row>
    <row r="647" spans="1:11" ht="15.75" customHeight="1" x14ac:dyDescent="0.2">
      <c r="A647" s="15">
        <v>45450</v>
      </c>
      <c r="B647" s="3">
        <f>VLOOKUP(A647,'[1]BADI SID DATA'!A:B,2,0)</f>
        <v>68</v>
      </c>
      <c r="C647" s="11">
        <v>35749.34999999404</v>
      </c>
      <c r="D647" s="5">
        <v>3.28</v>
      </c>
      <c r="E647" s="23">
        <v>100</v>
      </c>
      <c r="F647" s="23">
        <v>100</v>
      </c>
      <c r="G647" s="16">
        <f>VLOOKUP(A647,'[1]DRDO Kolar Data'!$A:$E,5,0)*1000</f>
        <v>9100</v>
      </c>
      <c r="H647" s="24">
        <f t="shared" si="33"/>
        <v>3403398.6999999955</v>
      </c>
      <c r="I647" s="25">
        <f t="shared" si="31"/>
        <v>14.895562499997517</v>
      </c>
      <c r="J647" s="25">
        <f t="shared" si="32"/>
        <v>20.854158700980367</v>
      </c>
      <c r="K647" s="17" t="s">
        <v>15</v>
      </c>
    </row>
    <row r="648" spans="1:11" ht="15.75" customHeight="1" x14ac:dyDescent="0.2">
      <c r="A648" s="15">
        <v>45451</v>
      </c>
      <c r="B648" s="3">
        <f>VLOOKUP(A648,'[1]BADI SID DATA'!A:B,2,0)</f>
        <v>69</v>
      </c>
      <c r="C648" s="11">
        <v>48750</v>
      </c>
      <c r="D648" s="8">
        <v>4.72</v>
      </c>
      <c r="E648" s="23">
        <v>100</v>
      </c>
      <c r="F648" s="23">
        <v>100</v>
      </c>
      <c r="G648" s="16">
        <f>VLOOKUP(A648,'[1]DRDO Kolar Data'!$A:$E,5,0)*1000</f>
        <v>10400</v>
      </c>
      <c r="H648" s="24">
        <f t="shared" si="33"/>
        <v>3452148.6999999955</v>
      </c>
      <c r="I648" s="25">
        <f t="shared" si="31"/>
        <v>20.3125</v>
      </c>
      <c r="J648" s="25">
        <f t="shared" si="32"/>
        <v>20.846308574879199</v>
      </c>
      <c r="K648" s="17" t="s">
        <v>11</v>
      </c>
    </row>
    <row r="649" spans="1:11" ht="15.75" customHeight="1" x14ac:dyDescent="0.2">
      <c r="A649" s="15">
        <v>45452</v>
      </c>
      <c r="B649" s="3">
        <f>VLOOKUP(A649,'[1]BADI SID DATA'!A:B,2,0)</f>
        <v>70</v>
      </c>
      <c r="C649" s="11">
        <v>49400.64999999851</v>
      </c>
      <c r="D649" s="5">
        <v>4.82</v>
      </c>
      <c r="E649" s="23">
        <v>100</v>
      </c>
      <c r="F649" s="23">
        <v>100</v>
      </c>
      <c r="G649" s="16">
        <f>VLOOKUP(A649,'[1]DRDO Kolar Data'!$A:$E,5,0)*1000</f>
        <v>10800</v>
      </c>
      <c r="H649" s="24">
        <f t="shared" si="33"/>
        <v>3501549.349999994</v>
      </c>
      <c r="I649" s="25">
        <f t="shared" si="31"/>
        <v>20.583604166666046</v>
      </c>
      <c r="J649" s="25">
        <f t="shared" si="32"/>
        <v>20.842555654761867</v>
      </c>
      <c r="K649" s="17" t="s">
        <v>11</v>
      </c>
    </row>
    <row r="650" spans="1:11" ht="15.75" customHeight="1" x14ac:dyDescent="0.2">
      <c r="A650" s="15">
        <v>45453</v>
      </c>
      <c r="B650" s="3">
        <f>VLOOKUP(A650,'[1]BADI SID DATA'!A:B,2,0)</f>
        <v>71</v>
      </c>
      <c r="C650" s="11">
        <v>42251.30000000447</v>
      </c>
      <c r="D650" s="6">
        <v>4</v>
      </c>
      <c r="E650" s="23">
        <v>100</v>
      </c>
      <c r="F650" s="23">
        <v>100</v>
      </c>
      <c r="G650" s="16">
        <f>VLOOKUP(A650,'[1]DRDO Kolar Data'!$A:$E,5,0)*1000</f>
        <v>10900</v>
      </c>
      <c r="H650" s="24">
        <f t="shared" si="33"/>
        <v>3543800.6499999985</v>
      </c>
      <c r="I650" s="25">
        <f t="shared" si="31"/>
        <v>17.604708333335196</v>
      </c>
      <c r="J650" s="25">
        <f t="shared" si="32"/>
        <v>20.796952171361493</v>
      </c>
      <c r="K650" s="17" t="s">
        <v>11</v>
      </c>
    </row>
    <row r="651" spans="1:11" ht="15.75" customHeight="1" x14ac:dyDescent="0.2">
      <c r="A651" s="15">
        <v>45454</v>
      </c>
      <c r="B651" s="3">
        <f>VLOOKUP(A651,'[1]BADI SID DATA'!A:B,2,0)</f>
        <v>72</v>
      </c>
      <c r="C651" s="11">
        <v>43549.35000000149</v>
      </c>
      <c r="D651" s="6">
        <v>4.08</v>
      </c>
      <c r="E651" s="23">
        <v>100</v>
      </c>
      <c r="F651" s="23">
        <v>100</v>
      </c>
      <c r="G651" s="16">
        <f>VLOOKUP(A651,'[1]DRDO Kolar Data'!$A:$E,5,0)*1000</f>
        <v>10000</v>
      </c>
      <c r="H651" s="24">
        <f t="shared" si="33"/>
        <v>3587350</v>
      </c>
      <c r="I651" s="25">
        <f t="shared" si="31"/>
        <v>18.145562500000619</v>
      </c>
      <c r="J651" s="25">
        <f t="shared" si="32"/>
        <v>20.760127314814813</v>
      </c>
      <c r="K651" s="17" t="s">
        <v>11</v>
      </c>
    </row>
    <row r="652" spans="1:11" ht="15.75" customHeight="1" x14ac:dyDescent="0.2">
      <c r="A652" s="15">
        <v>45455</v>
      </c>
      <c r="B652" s="3">
        <f>VLOOKUP(A652,'[1]BADI SID DATA'!A:B,2,0)</f>
        <v>73</v>
      </c>
      <c r="C652" s="11">
        <v>37050.64999999851</v>
      </c>
      <c r="D652" s="6">
        <v>3.4</v>
      </c>
      <c r="E652" s="23">
        <v>100</v>
      </c>
      <c r="F652" s="23">
        <v>100</v>
      </c>
      <c r="G652" s="16">
        <f>VLOOKUP(A652,'[1]DRDO Kolar Data'!$A:$E,5,0)*1000</f>
        <v>10200</v>
      </c>
      <c r="H652" s="24">
        <f t="shared" si="33"/>
        <v>3624400.6499999985</v>
      </c>
      <c r="I652" s="25">
        <f t="shared" si="31"/>
        <v>15.437770833332712</v>
      </c>
      <c r="J652" s="25">
        <f t="shared" si="32"/>
        <v>20.687218321917801</v>
      </c>
      <c r="K652" s="17" t="s">
        <v>10</v>
      </c>
    </row>
    <row r="653" spans="1:11" ht="15.75" customHeight="1" x14ac:dyDescent="0.2">
      <c r="A653" s="15">
        <v>45456</v>
      </c>
      <c r="B653" s="3">
        <f>VLOOKUP(A653,'[1]BADI SID DATA'!A:B,2,0)</f>
        <v>74</v>
      </c>
      <c r="C653" s="11">
        <v>44850</v>
      </c>
      <c r="D653" s="6">
        <v>4.26</v>
      </c>
      <c r="E653" s="23">
        <v>100</v>
      </c>
      <c r="F653" s="23">
        <v>100</v>
      </c>
      <c r="G653" s="16">
        <f>VLOOKUP(A653,'[1]DRDO Kolar Data'!$A:$E,5,0)*1000</f>
        <v>10500</v>
      </c>
      <c r="H653" s="24">
        <f t="shared" si="33"/>
        <v>3669250.6499999985</v>
      </c>
      <c r="I653" s="25">
        <f t="shared" si="31"/>
        <v>18.6875</v>
      </c>
      <c r="J653" s="25">
        <f t="shared" si="32"/>
        <v>20.660195101351341</v>
      </c>
      <c r="K653" s="17" t="s">
        <v>11</v>
      </c>
    </row>
    <row r="654" spans="1:11" ht="15.75" customHeight="1" x14ac:dyDescent="0.2">
      <c r="A654" s="15">
        <v>45457</v>
      </c>
      <c r="B654" s="3">
        <f>VLOOKUP(A654,'[1]BADI SID DATA'!A:B,2,0)</f>
        <v>75</v>
      </c>
      <c r="C654" s="11">
        <v>45500.64999999851</v>
      </c>
      <c r="D654" s="6">
        <v>4.3899999999999997</v>
      </c>
      <c r="E654" s="23">
        <v>100</v>
      </c>
      <c r="F654" s="23">
        <v>62.430555555555557</v>
      </c>
      <c r="G654" s="16">
        <f>VLOOKUP(A654,'[1]DRDO Kolar Data'!$A:$E,5,0)*1000</f>
        <v>10700</v>
      </c>
      <c r="H654" s="24">
        <f t="shared" si="33"/>
        <v>3714751.299999997</v>
      </c>
      <c r="I654" s="25">
        <f t="shared" si="31"/>
        <v>18.958604166666046</v>
      </c>
      <c r="J654" s="25">
        <f t="shared" si="32"/>
        <v>20.637507222222208</v>
      </c>
      <c r="K654" s="17" t="s">
        <v>11</v>
      </c>
    </row>
    <row r="655" spans="1:11" ht="15.75" customHeight="1" x14ac:dyDescent="0.2">
      <c r="A655" s="15">
        <v>45458</v>
      </c>
      <c r="B655" s="3">
        <f>VLOOKUP(A655,'[1]BADI SID DATA'!A:B,2,0)</f>
        <v>76</v>
      </c>
      <c r="C655" s="11">
        <v>43548.70000000298</v>
      </c>
      <c r="D655" s="6">
        <v>4.41</v>
      </c>
      <c r="E655" s="23">
        <v>100</v>
      </c>
      <c r="F655" s="23">
        <v>97.708333333333329</v>
      </c>
      <c r="G655" s="16">
        <f>VLOOKUP(A655,'[1]DRDO Kolar Data'!$A:$E,5,0)*1000</f>
        <v>9500</v>
      </c>
      <c r="H655" s="24">
        <f t="shared" si="33"/>
        <v>3758300</v>
      </c>
      <c r="I655" s="25">
        <f t="shared" si="31"/>
        <v>18.145291666667909</v>
      </c>
      <c r="J655" s="25">
        <f t="shared" si="32"/>
        <v>20.604714912280702</v>
      </c>
      <c r="K655" s="17" t="s">
        <v>11</v>
      </c>
    </row>
    <row r="656" spans="1:11" ht="15.75" customHeight="1" x14ac:dyDescent="0.2">
      <c r="A656" s="15">
        <v>45459</v>
      </c>
      <c r="B656" s="3">
        <f>VLOOKUP(A656,'[1]BADI SID DATA'!A:B,2,0)</f>
        <v>77</v>
      </c>
      <c r="C656" s="11">
        <v>46151.29999999702</v>
      </c>
      <c r="D656" s="6">
        <v>4.3899999999999997</v>
      </c>
      <c r="E656" s="23">
        <v>100</v>
      </c>
      <c r="F656" s="23">
        <v>100</v>
      </c>
      <c r="G656" s="16">
        <f>VLOOKUP(A656,'[1]DRDO Kolar Data'!$A:$E,5,0)*1000</f>
        <v>10300</v>
      </c>
      <c r="H656" s="24">
        <f t="shared" si="33"/>
        <v>3804451.299999997</v>
      </c>
      <c r="I656" s="25">
        <f t="shared" si="31"/>
        <v>19.229708333332091</v>
      </c>
      <c r="J656" s="25">
        <f t="shared" si="32"/>
        <v>20.586857683982668</v>
      </c>
      <c r="K656" s="17" t="s">
        <v>11</v>
      </c>
    </row>
    <row r="657" spans="1:11" ht="15.75" customHeight="1" x14ac:dyDescent="0.2">
      <c r="A657" s="15">
        <v>45460</v>
      </c>
      <c r="B657" s="3">
        <f>VLOOKUP(A657,'[1]BADI SID DATA'!A:B,2,0)</f>
        <v>78</v>
      </c>
      <c r="C657" s="11">
        <v>53947.39999999851</v>
      </c>
      <c r="D657" s="6">
        <v>5.37</v>
      </c>
      <c r="E657" s="23">
        <v>100</v>
      </c>
      <c r="F657" s="23">
        <v>100</v>
      </c>
      <c r="G657" s="16">
        <f>VLOOKUP(A657,'[1]DRDO Kolar Data'!$A:$E,5,0)*1000</f>
        <v>10200</v>
      </c>
      <c r="H657" s="24">
        <f t="shared" si="33"/>
        <v>3858398.6999999955</v>
      </c>
      <c r="I657" s="25">
        <f t="shared" si="31"/>
        <v>22.478083333332712</v>
      </c>
      <c r="J657" s="25">
        <f t="shared" si="32"/>
        <v>20.611104166666642</v>
      </c>
      <c r="K657" s="17" t="s">
        <v>11</v>
      </c>
    </row>
    <row r="658" spans="1:11" ht="15.75" customHeight="1" x14ac:dyDescent="0.2">
      <c r="A658" s="15">
        <v>45461</v>
      </c>
      <c r="B658" s="3">
        <f>VLOOKUP(A658,'[1]BADI SID DATA'!A:B,2,0)</f>
        <v>79</v>
      </c>
      <c r="C658" s="11">
        <v>41601.30000000447</v>
      </c>
      <c r="D658" s="6">
        <v>3.93</v>
      </c>
      <c r="E658" s="23">
        <v>100</v>
      </c>
      <c r="F658" s="23">
        <v>100</v>
      </c>
      <c r="G658" s="16">
        <f>VLOOKUP(A658,'[1]DRDO Kolar Data'!$A:$E,5,0)*1000</f>
        <v>10100</v>
      </c>
      <c r="H658" s="24">
        <f t="shared" si="33"/>
        <v>3900000</v>
      </c>
      <c r="I658" s="25">
        <f t="shared" si="31"/>
        <v>17.333875000001864</v>
      </c>
      <c r="J658" s="25">
        <f t="shared" si="32"/>
        <v>20.569620253164558</v>
      </c>
      <c r="K658" s="17" t="s">
        <v>11</v>
      </c>
    </row>
    <row r="659" spans="1:11" ht="15.75" customHeight="1" x14ac:dyDescent="0.2">
      <c r="A659" s="15">
        <v>45462</v>
      </c>
      <c r="B659" s="3">
        <f>VLOOKUP(A659,'[1]BADI SID DATA'!A:B,2,0)</f>
        <v>80</v>
      </c>
      <c r="C659" s="11">
        <v>42251.29999999702</v>
      </c>
      <c r="D659" s="6">
        <v>3.93</v>
      </c>
      <c r="E659" s="23">
        <v>100</v>
      </c>
      <c r="F659" s="23">
        <v>100</v>
      </c>
      <c r="G659" s="16">
        <f>VLOOKUP(A659,'[1]DRDO Kolar Data'!$A:$E,5,0)*1000</f>
        <v>7500</v>
      </c>
      <c r="H659" s="24">
        <f t="shared" si="33"/>
        <v>3942251.299999997</v>
      </c>
      <c r="I659" s="25">
        <f t="shared" si="31"/>
        <v>17.604708333332091</v>
      </c>
      <c r="J659" s="25">
        <f t="shared" si="32"/>
        <v>20.532558854166652</v>
      </c>
      <c r="K659" s="17" t="s">
        <v>11</v>
      </c>
    </row>
    <row r="660" spans="1:11" ht="15.75" customHeight="1" x14ac:dyDescent="0.2">
      <c r="A660" s="15">
        <v>45463</v>
      </c>
      <c r="B660" s="3">
        <f>VLOOKUP(A660,'[1]BADI SID DATA'!A:B,2,0)</f>
        <v>81</v>
      </c>
      <c r="C660" s="11">
        <v>48750</v>
      </c>
      <c r="D660" s="6">
        <v>4.5999999999999996</v>
      </c>
      <c r="E660" s="23">
        <v>100</v>
      </c>
      <c r="F660" s="23">
        <v>100</v>
      </c>
      <c r="G660" s="16">
        <f>VLOOKUP(A660,'[1]DRDO Kolar Data'!$A:$E,5,0)*1000</f>
        <v>9000</v>
      </c>
      <c r="H660" s="24">
        <f t="shared" si="33"/>
        <v>3991001.299999997</v>
      </c>
      <c r="I660" s="25">
        <f t="shared" si="31"/>
        <v>20.3125</v>
      </c>
      <c r="J660" s="25">
        <f t="shared" si="32"/>
        <v>20.529842078189283</v>
      </c>
      <c r="K660" s="17" t="s">
        <v>11</v>
      </c>
    </row>
    <row r="661" spans="1:11" ht="15.75" customHeight="1" x14ac:dyDescent="0.2">
      <c r="A661" s="15">
        <v>45464</v>
      </c>
      <c r="B661" s="3">
        <f>VLOOKUP(A661,'[1]BADI SID DATA'!A:B,2,0)</f>
        <v>82</v>
      </c>
      <c r="C661" s="11">
        <v>48099.35000000149</v>
      </c>
      <c r="D661" s="6">
        <v>4.49</v>
      </c>
      <c r="E661" s="23">
        <v>100</v>
      </c>
      <c r="F661" s="23">
        <v>100</v>
      </c>
      <c r="G661" s="16">
        <f>VLOOKUP(A661,'[1]DRDO Kolar Data'!$A:$E,5,0)*1000</f>
        <v>10300</v>
      </c>
      <c r="H661" s="24">
        <f t="shared" si="33"/>
        <v>4039100.6499999985</v>
      </c>
      <c r="I661" s="25">
        <f t="shared" si="31"/>
        <v>20.041395833333954</v>
      </c>
      <c r="J661" s="25">
        <f t="shared" si="32"/>
        <v>20.523885416666658</v>
      </c>
      <c r="K661" s="17" t="s">
        <v>11</v>
      </c>
    </row>
    <row r="662" spans="1:11" ht="15.75" customHeight="1" x14ac:dyDescent="0.2">
      <c r="A662" s="15">
        <v>45465</v>
      </c>
      <c r="B662" s="3">
        <f>VLOOKUP(A662,'[1]BADI SID DATA'!A:B,2,0)</f>
        <v>83</v>
      </c>
      <c r="C662" s="11">
        <v>48099.35000000149</v>
      </c>
      <c r="D662" s="6">
        <v>4.3</v>
      </c>
      <c r="E662" s="23">
        <v>100</v>
      </c>
      <c r="F662" s="23">
        <v>100</v>
      </c>
      <c r="G662" s="16">
        <f>VLOOKUP(A662,'[1]DRDO Kolar Data'!$A:$E,5,0)*1000</f>
        <v>9900</v>
      </c>
      <c r="H662" s="24">
        <f t="shared" si="33"/>
        <v>4087200</v>
      </c>
      <c r="I662" s="25">
        <f t="shared" si="31"/>
        <v>20.041395833333954</v>
      </c>
      <c r="J662" s="25">
        <f t="shared" si="32"/>
        <v>20.518072289156628</v>
      </c>
      <c r="K662" s="17" t="s">
        <v>11</v>
      </c>
    </row>
    <row r="663" spans="1:11" ht="15.75" customHeight="1" x14ac:dyDescent="0.2">
      <c r="A663" s="15">
        <v>45466</v>
      </c>
      <c r="B663" s="3">
        <f>VLOOKUP(A663,'[1]BADI SID DATA'!A:B,2,0)</f>
        <v>84</v>
      </c>
      <c r="C663" s="11">
        <v>49400.64999999851</v>
      </c>
      <c r="D663" s="6">
        <v>4.49</v>
      </c>
      <c r="E663" s="23">
        <v>100</v>
      </c>
      <c r="F663" s="23">
        <v>100</v>
      </c>
      <c r="G663" s="16">
        <f>VLOOKUP(A663,'[1]DRDO Kolar Data'!$A:$E,5,0)*1000</f>
        <v>10200</v>
      </c>
      <c r="H663" s="24">
        <f t="shared" si="33"/>
        <v>4136600.6499999985</v>
      </c>
      <c r="I663" s="25">
        <f t="shared" si="31"/>
        <v>20.583604166666046</v>
      </c>
      <c r="J663" s="25">
        <f t="shared" si="32"/>
        <v>20.518852430555548</v>
      </c>
      <c r="K663" s="17" t="s">
        <v>11</v>
      </c>
    </row>
    <row r="664" spans="1:11" ht="15.75" customHeight="1" x14ac:dyDescent="0.2">
      <c r="A664" s="15">
        <v>45467</v>
      </c>
      <c r="B664" s="3">
        <f>VLOOKUP(A664,'[1]BADI SID DATA'!A:B,2,0)</f>
        <v>85</v>
      </c>
      <c r="C664" s="11">
        <v>44850</v>
      </c>
      <c r="D664" s="6">
        <v>3.84</v>
      </c>
      <c r="E664" s="23">
        <v>100</v>
      </c>
      <c r="F664" s="23">
        <v>100</v>
      </c>
      <c r="G664" s="16">
        <f>VLOOKUP(A664,'[1]DRDO Kolar Data'!$A:$E,5,0)*1000</f>
        <v>9900</v>
      </c>
      <c r="H664" s="24">
        <f t="shared" si="33"/>
        <v>4181450.6499999985</v>
      </c>
      <c r="I664" s="25">
        <f t="shared" si="31"/>
        <v>18.6875</v>
      </c>
      <c r="J664" s="25">
        <f t="shared" si="32"/>
        <v>20.497307107843131</v>
      </c>
      <c r="K664" s="17" t="s">
        <v>11</v>
      </c>
    </row>
    <row r="665" spans="1:11" ht="15.75" customHeight="1" x14ac:dyDescent="0.2">
      <c r="A665" s="15">
        <v>45468</v>
      </c>
      <c r="B665" s="3">
        <f>VLOOKUP(A665,'[1]BADI SID DATA'!A:B,2,0)</f>
        <v>86</v>
      </c>
      <c r="C665" s="11">
        <v>44200</v>
      </c>
      <c r="D665" s="7">
        <v>3.86</v>
      </c>
      <c r="E665" s="23">
        <v>100</v>
      </c>
      <c r="F665" s="23">
        <v>100</v>
      </c>
      <c r="G665" s="16">
        <f>VLOOKUP(A665,'[1]DRDO Kolar Data'!$A:$E,5,0)*1000</f>
        <v>10700</v>
      </c>
      <c r="H665" s="24">
        <f t="shared" si="33"/>
        <v>4225650.6499999985</v>
      </c>
      <c r="I665" s="25">
        <f t="shared" si="31"/>
        <v>18.416666666666668</v>
      </c>
      <c r="J665" s="25">
        <f t="shared" si="32"/>
        <v>20.473113614341081</v>
      </c>
      <c r="K665" s="17" t="s">
        <v>11</v>
      </c>
    </row>
    <row r="666" spans="1:11" ht="15.75" customHeight="1" x14ac:dyDescent="0.2">
      <c r="A666" s="15">
        <v>45469</v>
      </c>
      <c r="B666" s="3">
        <f>VLOOKUP(A666,'[1]BADI SID DATA'!A:B,2,0)</f>
        <v>87</v>
      </c>
      <c r="C666" s="11">
        <v>31849.35000000149</v>
      </c>
      <c r="D666" s="6">
        <v>2.56</v>
      </c>
      <c r="E666" s="23">
        <v>100</v>
      </c>
      <c r="F666" s="23">
        <v>51.111111111111107</v>
      </c>
      <c r="G666" s="16">
        <f>VLOOKUP(A666,'[1]DRDO Kolar Data'!$A:$E,5,0)*1000</f>
        <v>6500</v>
      </c>
      <c r="H666" s="24">
        <f t="shared" si="33"/>
        <v>4257500</v>
      </c>
      <c r="I666" s="25">
        <f t="shared" si="31"/>
        <v>13.27056250000062</v>
      </c>
      <c r="J666" s="25">
        <f t="shared" si="32"/>
        <v>20.390325670498086</v>
      </c>
      <c r="K666" s="17" t="s">
        <v>10</v>
      </c>
    </row>
    <row r="667" spans="1:11" ht="15.75" customHeight="1" x14ac:dyDescent="0.2">
      <c r="A667" s="15">
        <v>45470</v>
      </c>
      <c r="B667" s="3">
        <f>VLOOKUP(A667,'[1]BADI SID DATA'!A:B,2,0)</f>
        <v>88</v>
      </c>
      <c r="C667" s="11">
        <v>31849.34999999404</v>
      </c>
      <c r="D667" s="7">
        <v>5.0199999999999996</v>
      </c>
      <c r="E667" s="23">
        <v>100</v>
      </c>
      <c r="F667" s="23">
        <v>100</v>
      </c>
      <c r="G667" s="16">
        <f>VLOOKUP(A667,'[1]DRDO Kolar Data'!$A:$E,5,0)*1000</f>
        <v>6500</v>
      </c>
      <c r="H667" s="24">
        <f t="shared" si="33"/>
        <v>4289349.349999994</v>
      </c>
      <c r="I667" s="25">
        <f t="shared" si="31"/>
        <v>13.270562499997515</v>
      </c>
      <c r="J667" s="25">
        <f t="shared" si="32"/>
        <v>20.309419270833303</v>
      </c>
      <c r="K667" s="17" t="s">
        <v>10</v>
      </c>
    </row>
    <row r="668" spans="1:11" ht="15.75" customHeight="1" x14ac:dyDescent="0.2">
      <c r="A668" s="15">
        <v>45471</v>
      </c>
      <c r="B668" s="3">
        <f>VLOOKUP(A668,'[1]BADI SID DATA'!A:B,2,0)</f>
        <v>89</v>
      </c>
      <c r="C668" s="11">
        <v>53950.65000000596</v>
      </c>
      <c r="D668" s="6">
        <v>4.62</v>
      </c>
      <c r="E668" s="23">
        <v>100</v>
      </c>
      <c r="F668" s="23">
        <v>100</v>
      </c>
      <c r="G668" s="16">
        <f>VLOOKUP(A668,'[1]DRDO Kolar Data'!$A:$E,5,0)*1000</f>
        <v>10700</v>
      </c>
      <c r="H668" s="24">
        <f t="shared" si="33"/>
        <v>4343300</v>
      </c>
      <c r="I668" s="25">
        <f t="shared" si="31"/>
        <v>22.479437500002483</v>
      </c>
      <c r="J668" s="25">
        <f t="shared" si="32"/>
        <v>20.33380149812734</v>
      </c>
      <c r="K668" s="17" t="s">
        <v>11</v>
      </c>
    </row>
    <row r="669" spans="1:11" ht="15.75" customHeight="1" x14ac:dyDescent="0.2">
      <c r="A669" s="15">
        <v>45472</v>
      </c>
      <c r="B669" s="3">
        <f>VLOOKUP(A669,'[1]BADI SID DATA'!A:B,2,0)</f>
        <v>90</v>
      </c>
      <c r="C669" s="11">
        <v>45500.64999999851</v>
      </c>
      <c r="D669" s="7">
        <v>3.88</v>
      </c>
      <c r="E669" s="23">
        <v>100</v>
      </c>
      <c r="F669" s="23">
        <v>56.944444444444443</v>
      </c>
      <c r="G669" s="16">
        <f>VLOOKUP(A669,'[1]DRDO Kolar Data'!$A:$E,5,0)*1000</f>
        <v>10100</v>
      </c>
      <c r="H669" s="24">
        <f t="shared" si="33"/>
        <v>4388800.6499999985</v>
      </c>
      <c r="I669" s="25">
        <f t="shared" si="31"/>
        <v>18.958604166666046</v>
      </c>
      <c r="J669" s="25">
        <f t="shared" si="32"/>
        <v>20.318521527777772</v>
      </c>
      <c r="K669" s="17" t="s">
        <v>11</v>
      </c>
    </row>
    <row r="670" spans="1:11" ht="15.75" customHeight="1" x14ac:dyDescent="0.2">
      <c r="A670" s="15">
        <v>45473</v>
      </c>
      <c r="B670" s="3">
        <f>VLOOKUP(A670,'[1]BADI SID DATA'!A:B,2,0)</f>
        <v>91</v>
      </c>
      <c r="C670" s="11">
        <v>5848.0499999970198</v>
      </c>
      <c r="D670" s="6">
        <v>5.43</v>
      </c>
      <c r="E670" s="23">
        <v>100</v>
      </c>
      <c r="F670" s="23">
        <v>66.666666666666657</v>
      </c>
      <c r="G670" s="16">
        <f>VLOOKUP(A670,'[1]DRDO Kolar Data'!$A:$E,5,0)*1000</f>
        <v>5500</v>
      </c>
      <c r="H670" s="24">
        <f t="shared" si="33"/>
        <v>4394648.6999999955</v>
      </c>
      <c r="I670" s="25">
        <f t="shared" si="31"/>
        <v>2.4366874999987584</v>
      </c>
      <c r="J670" s="25">
        <f t="shared" si="32"/>
        <v>20.122017857142836</v>
      </c>
      <c r="K670" s="17" t="s">
        <v>33</v>
      </c>
    </row>
    <row r="671" spans="1:11" ht="15.75" customHeight="1" x14ac:dyDescent="0.2">
      <c r="A671" s="15">
        <v>45474</v>
      </c>
      <c r="B671" s="3">
        <f>VLOOKUP(A671,'[1]BADI SID DATA'!A:B,2,0)</f>
        <v>92</v>
      </c>
      <c r="C671" s="11">
        <v>38351.95000000298</v>
      </c>
      <c r="D671" s="8">
        <v>3.1</v>
      </c>
      <c r="E671" s="23">
        <v>100</v>
      </c>
      <c r="F671" s="23">
        <v>100</v>
      </c>
      <c r="G671" s="16">
        <f>VLOOKUP(A671,'[1]DRDO Kolar Data'!$A:$E,5,0)*1000</f>
        <v>9500</v>
      </c>
      <c r="H671" s="24">
        <f t="shared" si="33"/>
        <v>4433000.6499999985</v>
      </c>
      <c r="I671" s="25">
        <f t="shared" si="31"/>
        <v>15.97997916666791</v>
      </c>
      <c r="J671" s="25">
        <f t="shared" si="32"/>
        <v>20.076995697463762</v>
      </c>
      <c r="K671" s="17" t="s">
        <v>10</v>
      </c>
    </row>
    <row r="672" spans="1:11" ht="15.75" customHeight="1" x14ac:dyDescent="0.2">
      <c r="A672" s="15">
        <v>45475</v>
      </c>
      <c r="B672" s="3">
        <f>VLOOKUP(A672,'[1]BADI SID DATA'!A:B,2,0)</f>
        <v>93</v>
      </c>
      <c r="C672" s="11">
        <v>47448.70000000298</v>
      </c>
      <c r="D672" s="8">
        <v>4.09</v>
      </c>
      <c r="E672" s="23">
        <v>100</v>
      </c>
      <c r="F672" s="23">
        <v>100</v>
      </c>
      <c r="G672" s="16">
        <f>VLOOKUP(A672,'[1]DRDO Kolar Data'!$A:$E,5,0)*1000</f>
        <v>10300</v>
      </c>
      <c r="H672" s="24">
        <f t="shared" si="33"/>
        <v>4480449.3500000015</v>
      </c>
      <c r="I672" s="25">
        <f t="shared" si="31"/>
        <v>19.770291666667909</v>
      </c>
      <c r="J672" s="25">
        <f t="shared" si="32"/>
        <v>20.073697804659503</v>
      </c>
      <c r="K672" s="17" t="s">
        <v>11</v>
      </c>
    </row>
    <row r="673" spans="1:11" ht="15.75" customHeight="1" x14ac:dyDescent="0.2">
      <c r="A673" s="15">
        <v>45476</v>
      </c>
      <c r="B673" s="3">
        <f>VLOOKUP(A673,'[1]BADI SID DATA'!A:B,2,0)</f>
        <v>94</v>
      </c>
      <c r="C673" s="11">
        <v>52003.249999992549</v>
      </c>
      <c r="D673" s="5">
        <v>4.49</v>
      </c>
      <c r="E673" s="23">
        <v>100</v>
      </c>
      <c r="F673" s="23">
        <v>100</v>
      </c>
      <c r="G673" s="16">
        <f>VLOOKUP(A673,'[1]DRDO Kolar Data'!$A:$E,5,0)*1000</f>
        <v>10100</v>
      </c>
      <c r="H673" s="24">
        <f t="shared" si="33"/>
        <v>4532452.599999994</v>
      </c>
      <c r="I673" s="25">
        <f t="shared" si="31"/>
        <v>21.668020833330228</v>
      </c>
      <c r="J673" s="25">
        <f t="shared" si="32"/>
        <v>20.090658687943236</v>
      </c>
      <c r="K673" s="17" t="s">
        <v>11</v>
      </c>
    </row>
    <row r="674" spans="1:11" ht="15.75" customHeight="1" x14ac:dyDescent="0.2">
      <c r="A674" s="15">
        <v>45477</v>
      </c>
      <c r="B674" s="3">
        <f>VLOOKUP(A674,'[1]BADI SID DATA'!A:B,2,0)</f>
        <v>95</v>
      </c>
      <c r="C674" s="11">
        <v>39648.70000000298</v>
      </c>
      <c r="D674" s="8">
        <v>3.14</v>
      </c>
      <c r="E674" s="23">
        <v>100</v>
      </c>
      <c r="F674" s="23">
        <v>100</v>
      </c>
      <c r="G674" s="16">
        <f>VLOOKUP(A674,'[1]DRDO Kolar Data'!$A:$E,5,0)*1000</f>
        <v>10000</v>
      </c>
      <c r="H674" s="24">
        <f t="shared" si="33"/>
        <v>4572101.299999997</v>
      </c>
      <c r="I674" s="25">
        <f t="shared" si="31"/>
        <v>16.520291666667909</v>
      </c>
      <c r="J674" s="25">
        <f t="shared" si="32"/>
        <v>20.05307587719297</v>
      </c>
      <c r="K674" s="17" t="s">
        <v>10</v>
      </c>
    </row>
    <row r="675" spans="1:11" ht="15.75" customHeight="1" x14ac:dyDescent="0.2">
      <c r="A675" s="15">
        <v>45478</v>
      </c>
      <c r="B675" s="3">
        <f>VLOOKUP(A675,'[1]BADI SID DATA'!A:B,2,0)</f>
        <v>96</v>
      </c>
      <c r="C675" s="11">
        <v>47448.70000000298</v>
      </c>
      <c r="D675" s="8">
        <v>4.6900000000000004</v>
      </c>
      <c r="E675" s="23">
        <v>100</v>
      </c>
      <c r="F675" s="23">
        <v>100</v>
      </c>
      <c r="G675" s="16">
        <f>VLOOKUP(A675,'[1]DRDO Kolar Data'!$A:$E,5,0)*1000</f>
        <v>10600</v>
      </c>
      <c r="H675" s="24">
        <f t="shared" si="33"/>
        <v>4619550</v>
      </c>
      <c r="I675" s="25">
        <f t="shared" si="31"/>
        <v>19.770291666667909</v>
      </c>
      <c r="J675" s="25">
        <f t="shared" si="32"/>
        <v>20.050130208333332</v>
      </c>
      <c r="K675" s="17" t="s">
        <v>11</v>
      </c>
    </row>
    <row r="676" spans="1:11" ht="15.75" customHeight="1" x14ac:dyDescent="0.2">
      <c r="A676" s="15">
        <v>45479</v>
      </c>
      <c r="B676" s="3">
        <f>VLOOKUP(A676,'[1]BADI SID DATA'!A:B,2,0)</f>
        <v>97</v>
      </c>
      <c r="C676" s="11">
        <v>28600.64999999851</v>
      </c>
      <c r="D676" s="5">
        <v>2.33</v>
      </c>
      <c r="E676" s="23">
        <v>100</v>
      </c>
      <c r="F676" s="23">
        <v>100</v>
      </c>
      <c r="G676" s="16">
        <f>VLOOKUP(A676,'[1]DRDO Kolar Data'!$A:$E,5,0)*1000</f>
        <v>4000</v>
      </c>
      <c r="H676" s="24">
        <f t="shared" si="33"/>
        <v>4648150.6499999985</v>
      </c>
      <c r="I676" s="25">
        <f t="shared" si="31"/>
        <v>11.91693749999938</v>
      </c>
      <c r="J676" s="25">
        <f t="shared" si="32"/>
        <v>19.966282860824734</v>
      </c>
      <c r="K676" s="17" t="s">
        <v>10</v>
      </c>
    </row>
    <row r="677" spans="1:11" ht="15.75" customHeight="1" x14ac:dyDescent="0.2">
      <c r="A677" s="15">
        <v>45480</v>
      </c>
      <c r="B677" s="3">
        <f>VLOOKUP(A677,'[1]BADI SID DATA'!A:B,2,0)</f>
        <v>98</v>
      </c>
      <c r="C677" s="11">
        <v>42251.30000000447</v>
      </c>
      <c r="D677" s="5">
        <v>4.07</v>
      </c>
      <c r="E677" s="23">
        <v>100</v>
      </c>
      <c r="F677" s="23">
        <v>100</v>
      </c>
      <c r="G677" s="16">
        <f>VLOOKUP(A677,'[1]DRDO Kolar Data'!$A:$E,5,0)*1000</f>
        <v>9800</v>
      </c>
      <c r="H677" s="24">
        <f t="shared" si="33"/>
        <v>4690401.950000003</v>
      </c>
      <c r="I677" s="25">
        <f t="shared" si="31"/>
        <v>17.604708333335196</v>
      </c>
      <c r="J677" s="25">
        <f t="shared" si="32"/>
        <v>19.942185161564637</v>
      </c>
      <c r="K677" s="17" t="s">
        <v>11</v>
      </c>
    </row>
    <row r="678" spans="1:11" ht="15.75" customHeight="1" x14ac:dyDescent="0.2">
      <c r="A678" s="15">
        <v>45481</v>
      </c>
      <c r="B678" s="3">
        <f>VLOOKUP(A678,'[1]BADI SID DATA'!A:B,2,0)</f>
        <v>99</v>
      </c>
      <c r="C678" s="11">
        <v>44849.999999992549</v>
      </c>
      <c r="D678" s="8">
        <v>4.1900000000000004</v>
      </c>
      <c r="E678" s="23">
        <v>100</v>
      </c>
      <c r="F678" s="23">
        <v>100</v>
      </c>
      <c r="G678" s="16">
        <f>VLOOKUP(A678,'[1]DRDO Kolar Data'!$A:$E,5,0)*1000</f>
        <v>8900</v>
      </c>
      <c r="H678" s="24">
        <f t="shared" si="33"/>
        <v>4735251.9499999955</v>
      </c>
      <c r="I678" s="25">
        <f t="shared" si="31"/>
        <v>18.687499999996895</v>
      </c>
      <c r="J678" s="25">
        <f t="shared" si="32"/>
        <v>19.929511574074056</v>
      </c>
      <c r="K678" s="17" t="s">
        <v>11</v>
      </c>
    </row>
    <row r="679" spans="1:11" ht="15.75" customHeight="1" x14ac:dyDescent="0.2">
      <c r="A679" s="15">
        <v>45482</v>
      </c>
      <c r="B679" s="3">
        <f>VLOOKUP(A679,'[1]BADI SID DATA'!A:B,2,0)</f>
        <v>100</v>
      </c>
      <c r="C679" s="11">
        <v>38998.70000000298</v>
      </c>
      <c r="D679" s="5">
        <v>3.49</v>
      </c>
      <c r="E679" s="23">
        <v>100</v>
      </c>
      <c r="F679" s="23">
        <v>100</v>
      </c>
      <c r="G679" s="16">
        <f>VLOOKUP(A679,'[1]DRDO Kolar Data'!$A:$E,5,0)*1000</f>
        <v>8500</v>
      </c>
      <c r="H679" s="24">
        <f t="shared" si="33"/>
        <v>4774250.6499999985</v>
      </c>
      <c r="I679" s="25">
        <f t="shared" si="31"/>
        <v>16.249458333334573</v>
      </c>
      <c r="J679" s="25">
        <f t="shared" si="32"/>
        <v>19.892711041666661</v>
      </c>
      <c r="K679" s="17" t="s">
        <v>10</v>
      </c>
    </row>
    <row r="680" spans="1:11" ht="15.75" customHeight="1" x14ac:dyDescent="0.2">
      <c r="A680" s="15">
        <v>45483</v>
      </c>
      <c r="B680" s="3">
        <f>VLOOKUP(A680,'[1]BADI SID DATA'!A:B,2,0)</f>
        <v>101</v>
      </c>
      <c r="C680" s="11">
        <v>61750.64999999851</v>
      </c>
      <c r="D680" s="6">
        <v>6.26</v>
      </c>
      <c r="E680" s="23">
        <v>100</v>
      </c>
      <c r="F680" s="23">
        <v>100</v>
      </c>
      <c r="G680" s="16">
        <f>VLOOKUP(A680,'[1]DRDO Kolar Data'!$A:$E,5,0)*1000</f>
        <v>10000</v>
      </c>
      <c r="H680" s="24">
        <f t="shared" si="33"/>
        <v>4836001.299999997</v>
      </c>
      <c r="I680" s="25">
        <f t="shared" si="31"/>
        <v>25.729437499999381</v>
      </c>
      <c r="J680" s="25">
        <f t="shared" si="32"/>
        <v>19.950500412541242</v>
      </c>
      <c r="K680" s="17" t="s">
        <v>13</v>
      </c>
    </row>
    <row r="681" spans="1:11" ht="15.75" customHeight="1" x14ac:dyDescent="0.2">
      <c r="A681" s="15">
        <v>45484</v>
      </c>
      <c r="B681" s="3">
        <f>VLOOKUP(A681,'[1]BADI SID DATA'!A:B,2,0)</f>
        <v>102</v>
      </c>
      <c r="C681" s="11">
        <v>51352.60000000149</v>
      </c>
      <c r="D681" s="6">
        <v>4.9000000000000004</v>
      </c>
      <c r="E681" s="23">
        <v>100</v>
      </c>
      <c r="F681" s="23">
        <v>100</v>
      </c>
      <c r="G681" s="16">
        <f>VLOOKUP(A681,'[1]DRDO Kolar Data'!$A:$E,5,0)*1000</f>
        <v>10500</v>
      </c>
      <c r="H681" s="24">
        <f t="shared" si="33"/>
        <v>4887353.8999999985</v>
      </c>
      <c r="I681" s="25">
        <f t="shared" si="31"/>
        <v>21.396916666667288</v>
      </c>
      <c r="J681" s="25">
        <f t="shared" si="32"/>
        <v>19.964680964052281</v>
      </c>
      <c r="K681" s="17" t="s">
        <v>13</v>
      </c>
    </row>
    <row r="682" spans="1:11" ht="15.75" customHeight="1" x14ac:dyDescent="0.2">
      <c r="A682" s="15">
        <v>45485</v>
      </c>
      <c r="B682" s="3">
        <f>VLOOKUP(A682,'[1]BADI SID DATA'!A:B,2,0)</f>
        <v>103</v>
      </c>
      <c r="C682" s="11">
        <v>52646.09999999404</v>
      </c>
      <c r="D682" s="6">
        <v>5.13</v>
      </c>
      <c r="E682" s="23">
        <v>100</v>
      </c>
      <c r="F682" s="23">
        <v>100</v>
      </c>
      <c r="G682" s="16">
        <f>VLOOKUP(A682,'[1]DRDO Kolar Data'!$A:$E,5,0)*1000</f>
        <v>10800</v>
      </c>
      <c r="H682" s="24">
        <f t="shared" si="33"/>
        <v>4939999.9999999925</v>
      </c>
      <c r="I682" s="25">
        <f t="shared" si="31"/>
        <v>21.935874999997516</v>
      </c>
      <c r="J682" s="25">
        <f t="shared" si="32"/>
        <v>19.98381877022651</v>
      </c>
      <c r="K682" s="17" t="s">
        <v>13</v>
      </c>
    </row>
    <row r="683" spans="1:11" ht="15.75" customHeight="1" x14ac:dyDescent="0.2">
      <c r="A683" s="15">
        <v>45486</v>
      </c>
      <c r="B683" s="3">
        <f>VLOOKUP(A683,'[1]BADI SID DATA'!A:B,2,0)</f>
        <v>104</v>
      </c>
      <c r="C683" s="11">
        <v>40950.000000007451</v>
      </c>
      <c r="D683" s="6">
        <v>3.94</v>
      </c>
      <c r="E683" s="23">
        <v>100</v>
      </c>
      <c r="F683" s="23">
        <v>90.763888888888886</v>
      </c>
      <c r="G683" s="16">
        <f>VLOOKUP(A683,'[1]DRDO Kolar Data'!$A:$E,5,0)*1000</f>
        <v>9000</v>
      </c>
      <c r="H683" s="24">
        <f t="shared" si="33"/>
        <v>4980950</v>
      </c>
      <c r="I683" s="25">
        <f t="shared" si="31"/>
        <v>17.062500000003105</v>
      </c>
      <c r="J683" s="25">
        <f t="shared" si="32"/>
        <v>19.955729166666668</v>
      </c>
      <c r="K683" s="17" t="s">
        <v>11</v>
      </c>
    </row>
    <row r="684" spans="1:11" ht="15.75" customHeight="1" x14ac:dyDescent="0.2">
      <c r="A684" s="15">
        <v>45487</v>
      </c>
      <c r="B684" s="3">
        <f>VLOOKUP(A684,'[1]BADI SID DATA'!A:B,2,0)</f>
        <v>105</v>
      </c>
      <c r="C684" s="11">
        <v>30548.049999989569</v>
      </c>
      <c r="D684" s="6">
        <v>2.5</v>
      </c>
      <c r="E684" s="23">
        <v>100</v>
      </c>
      <c r="F684" s="23">
        <v>100</v>
      </c>
      <c r="G684" s="16">
        <f>VLOOKUP(A684,'[1]DRDO Kolar Data'!$A:$E,5,0)*1000</f>
        <v>5000</v>
      </c>
      <c r="H684" s="24">
        <f t="shared" si="33"/>
        <v>5011498.0499999896</v>
      </c>
      <c r="I684" s="25">
        <f t="shared" si="31"/>
        <v>12.728354166662321</v>
      </c>
      <c r="J684" s="25">
        <f t="shared" si="32"/>
        <v>19.886897023809482</v>
      </c>
      <c r="K684" s="17" t="s">
        <v>10</v>
      </c>
    </row>
    <row r="685" spans="1:11" ht="15.75" customHeight="1" x14ac:dyDescent="0.2">
      <c r="A685" s="15">
        <v>45488</v>
      </c>
      <c r="B685" s="3">
        <f>VLOOKUP(A685,'[1]BADI SID DATA'!A:B,2,0)</f>
        <v>106</v>
      </c>
      <c r="C685" s="11">
        <v>22105.850000008941</v>
      </c>
      <c r="D685" s="6">
        <v>1.62</v>
      </c>
      <c r="E685" s="23">
        <v>100</v>
      </c>
      <c r="F685" s="23">
        <v>100</v>
      </c>
      <c r="G685" s="16">
        <f>VLOOKUP(A685,'[1]DRDO Kolar Data'!$A:$E,5,0)*1000</f>
        <v>4500</v>
      </c>
      <c r="H685" s="24">
        <f t="shared" si="33"/>
        <v>5033603.8999999985</v>
      </c>
      <c r="I685" s="25">
        <f t="shared" si="31"/>
        <v>9.2107708333370599</v>
      </c>
      <c r="J685" s="25">
        <f t="shared" si="32"/>
        <v>19.786178852201253</v>
      </c>
      <c r="K685" s="17" t="s">
        <v>10</v>
      </c>
    </row>
    <row r="686" spans="1:11" ht="15.75" customHeight="1" x14ac:dyDescent="0.2">
      <c r="A686" s="15">
        <v>45489</v>
      </c>
      <c r="B686" s="3">
        <f>VLOOKUP(A686,'[1]BADI SID DATA'!A:B,2,0)</f>
        <v>107</v>
      </c>
      <c r="C686" s="11">
        <v>31849.350000008941</v>
      </c>
      <c r="D686" s="6">
        <v>2.67</v>
      </c>
      <c r="E686" s="23">
        <v>100</v>
      </c>
      <c r="F686" s="23">
        <v>100</v>
      </c>
      <c r="G686" s="16">
        <f>VLOOKUP(A686,'[1]DRDO Kolar Data'!$A:$E,5,0)*1000</f>
        <v>7500</v>
      </c>
      <c r="H686" s="24">
        <f t="shared" si="33"/>
        <v>5065453.2500000075</v>
      </c>
      <c r="I686" s="25">
        <f t="shared" si="31"/>
        <v>13.270562500003724</v>
      </c>
      <c r="J686" s="25">
        <f t="shared" si="32"/>
        <v>19.725285241433053</v>
      </c>
      <c r="K686" s="17" t="s">
        <v>10</v>
      </c>
    </row>
    <row r="687" spans="1:11" ht="15.75" customHeight="1" x14ac:dyDescent="0.2">
      <c r="A687" s="15">
        <v>45490</v>
      </c>
      <c r="B687" s="3">
        <f>VLOOKUP(A687,'[1]BADI SID DATA'!A:B,2,0)</f>
        <v>108</v>
      </c>
      <c r="C687" s="11">
        <v>40299.34999999404</v>
      </c>
      <c r="D687" s="6">
        <v>3.55</v>
      </c>
      <c r="E687" s="23">
        <v>100</v>
      </c>
      <c r="F687" s="23">
        <v>89.236111111111114</v>
      </c>
      <c r="G687" s="16">
        <f>VLOOKUP(A687,'[1]DRDO Kolar Data'!$A:$E,5,0)*1000</f>
        <v>10400</v>
      </c>
      <c r="H687" s="24">
        <f t="shared" si="33"/>
        <v>5105752.6000000015</v>
      </c>
      <c r="I687" s="25">
        <f t="shared" si="31"/>
        <v>16.791395833330849</v>
      </c>
      <c r="J687" s="25">
        <f t="shared" si="32"/>
        <v>19.698119598765437</v>
      </c>
      <c r="K687" s="17" t="s">
        <v>11</v>
      </c>
    </row>
    <row r="688" spans="1:11" ht="15.75" customHeight="1" x14ac:dyDescent="0.2">
      <c r="A688" s="15">
        <v>45491</v>
      </c>
      <c r="B688" s="3">
        <f>VLOOKUP(A688,'[1]BADI SID DATA'!A:B,2,0)</f>
        <v>109</v>
      </c>
      <c r="C688" s="11">
        <v>40950.65000000596</v>
      </c>
      <c r="D688" s="6">
        <v>3.59</v>
      </c>
      <c r="E688" s="23">
        <v>100</v>
      </c>
      <c r="F688" s="23">
        <v>100</v>
      </c>
      <c r="G688" s="16">
        <f>VLOOKUP(A688,'[1]DRDO Kolar Data'!$A:$E,5,0)*1000</f>
        <v>10500</v>
      </c>
      <c r="H688" s="24">
        <f t="shared" si="33"/>
        <v>5146703.2500000075</v>
      </c>
      <c r="I688" s="25">
        <f t="shared" si="31"/>
        <v>17.062770833335815</v>
      </c>
      <c r="J688" s="25">
        <f t="shared" si="32"/>
        <v>19.673942087155989</v>
      </c>
      <c r="K688" s="17" t="s">
        <v>11</v>
      </c>
    </row>
    <row r="689" spans="1:11" ht="15.75" customHeight="1" x14ac:dyDescent="0.2">
      <c r="A689" s="15">
        <v>45492</v>
      </c>
      <c r="B689" s="3">
        <f>VLOOKUP(A689,'[1]BADI SID DATA'!A:B,2,0)</f>
        <v>110</v>
      </c>
      <c r="C689" s="11">
        <v>35094.799999989569</v>
      </c>
      <c r="D689" s="6">
        <v>2.9</v>
      </c>
      <c r="E689" s="23">
        <v>100</v>
      </c>
      <c r="F689" s="23">
        <v>100</v>
      </c>
      <c r="G689" s="16">
        <f>VLOOKUP(A689,'[1]DRDO Kolar Data'!$A:$E,5,0)*1000</f>
        <v>10100</v>
      </c>
      <c r="H689" s="24">
        <f t="shared" si="33"/>
        <v>5181798.049999997</v>
      </c>
      <c r="I689" s="25">
        <f t="shared" si="31"/>
        <v>14.622833333328987</v>
      </c>
      <c r="J689" s="25">
        <f t="shared" si="32"/>
        <v>19.628022916666655</v>
      </c>
      <c r="K689" s="17" t="s">
        <v>10</v>
      </c>
    </row>
    <row r="690" spans="1:11" ht="15.75" customHeight="1" x14ac:dyDescent="0.2">
      <c r="A690" s="15">
        <v>45493</v>
      </c>
      <c r="B690" s="3">
        <f>VLOOKUP(A690,'[1]BADI SID DATA'!A:B,2,0)</f>
        <v>111</v>
      </c>
      <c r="C690" s="11">
        <v>37053.90000000596</v>
      </c>
      <c r="D690" s="6">
        <v>3.24</v>
      </c>
      <c r="E690" s="23">
        <v>100</v>
      </c>
      <c r="F690" s="23">
        <v>100</v>
      </c>
      <c r="G690" s="16">
        <f>VLOOKUP(A690,'[1]DRDO Kolar Data'!$A:$E,5,0)*1000</f>
        <v>7600</v>
      </c>
      <c r="H690" s="24">
        <f t="shared" si="33"/>
        <v>5218851.950000003</v>
      </c>
      <c r="I690" s="25">
        <f t="shared" si="31"/>
        <v>15.439125000002484</v>
      </c>
      <c r="J690" s="25">
        <f t="shared" si="32"/>
        <v>19.590285097597608</v>
      </c>
      <c r="K690" s="17" t="s">
        <v>10</v>
      </c>
    </row>
    <row r="691" spans="1:11" ht="15.75" customHeight="1" x14ac:dyDescent="0.2">
      <c r="A691" s="15">
        <v>45494</v>
      </c>
      <c r="B691" s="3">
        <f>VLOOKUP(A691,'[1]BADI SID DATA'!A:B,2,0)</f>
        <v>112</v>
      </c>
      <c r="C691" s="11">
        <v>33801.29999999702</v>
      </c>
      <c r="D691" s="6">
        <v>2.86</v>
      </c>
      <c r="E691" s="23">
        <v>100</v>
      </c>
      <c r="F691" s="23">
        <v>100</v>
      </c>
      <c r="G691" s="16">
        <f>VLOOKUP(A691,'[1]DRDO Kolar Data'!$A:$E,5,0)*1000</f>
        <v>9900</v>
      </c>
      <c r="H691" s="24">
        <f t="shared" si="33"/>
        <v>5252653.25</v>
      </c>
      <c r="I691" s="25">
        <f t="shared" si="31"/>
        <v>14.083874999998757</v>
      </c>
      <c r="J691" s="25">
        <f t="shared" si="32"/>
        <v>19.541120721726191</v>
      </c>
      <c r="K691" s="17" t="s">
        <v>10</v>
      </c>
    </row>
    <row r="692" spans="1:11" ht="15.75" customHeight="1" x14ac:dyDescent="0.2">
      <c r="A692" s="15">
        <v>45495</v>
      </c>
      <c r="B692" s="3">
        <f>VLOOKUP(A692,'[1]BADI SID DATA'!A:B,2,0)</f>
        <v>113</v>
      </c>
      <c r="C692" s="11">
        <v>42244.15000000596</v>
      </c>
      <c r="D692" s="6">
        <v>3.76</v>
      </c>
      <c r="E692" s="23">
        <v>100</v>
      </c>
      <c r="F692" s="23">
        <v>100</v>
      </c>
      <c r="G692" s="16">
        <f>VLOOKUP(A692,'[1]DRDO Kolar Data'!$A:$E,5,0)*1000</f>
        <v>9200</v>
      </c>
      <c r="H692" s="24">
        <f t="shared" si="33"/>
        <v>5294897.400000006</v>
      </c>
      <c r="I692" s="25">
        <f t="shared" si="31"/>
        <v>17.601729166669148</v>
      </c>
      <c r="J692" s="25">
        <f t="shared" si="32"/>
        <v>19.523957964601792</v>
      </c>
      <c r="K692" s="17" t="s">
        <v>11</v>
      </c>
    </row>
    <row r="693" spans="1:11" ht="15.75" customHeight="1" x14ac:dyDescent="0.2">
      <c r="A693" s="15">
        <v>45496</v>
      </c>
      <c r="B693" s="3">
        <f>VLOOKUP(A693,'[1]BADI SID DATA'!A:B,2,0)</f>
        <v>114</v>
      </c>
      <c r="C693" s="11">
        <v>27302.59999999404</v>
      </c>
      <c r="D693" s="6">
        <v>2.2999999999999998</v>
      </c>
      <c r="E693" s="23">
        <v>100</v>
      </c>
      <c r="F693" s="23">
        <v>100</v>
      </c>
      <c r="G693" s="16">
        <f>VLOOKUP(A693,'[1]DRDO Kolar Data'!$A:$E,5,0)*1000</f>
        <v>8500</v>
      </c>
      <c r="H693" s="24">
        <f t="shared" si="33"/>
        <v>5322200</v>
      </c>
      <c r="I693" s="25">
        <f t="shared" si="31"/>
        <v>11.37608333333085</v>
      </c>
      <c r="J693" s="25">
        <f t="shared" si="32"/>
        <v>19.452485380116961</v>
      </c>
      <c r="K693" s="17" t="s">
        <v>10</v>
      </c>
    </row>
    <row r="694" spans="1:11" ht="15.75" customHeight="1" x14ac:dyDescent="0.2">
      <c r="A694" s="15">
        <v>45497</v>
      </c>
      <c r="B694" s="3">
        <f>VLOOKUP(A694,'[1]BADI SID DATA'!A:B,2,0)</f>
        <v>115</v>
      </c>
      <c r="C694" s="11">
        <v>31198.70000000298</v>
      </c>
      <c r="D694" s="6">
        <v>2.58</v>
      </c>
      <c r="E694" s="23">
        <v>100</v>
      </c>
      <c r="F694" s="23">
        <v>90.972222222222214</v>
      </c>
      <c r="G694" s="16">
        <f>VLOOKUP(A694,'[1]DRDO Kolar Data'!$A:$E,5,0)*1000</f>
        <v>8000</v>
      </c>
      <c r="H694" s="24">
        <f t="shared" si="33"/>
        <v>5353398.700000003</v>
      </c>
      <c r="I694" s="25">
        <f t="shared" si="31"/>
        <v>12.999458333334577</v>
      </c>
      <c r="J694" s="25">
        <f t="shared" si="32"/>
        <v>19.396372101449284</v>
      </c>
      <c r="K694" s="17" t="s">
        <v>10</v>
      </c>
    </row>
    <row r="695" spans="1:11" ht="15.75" customHeight="1" x14ac:dyDescent="0.2">
      <c r="A695" s="15">
        <v>45498</v>
      </c>
      <c r="B695" s="3">
        <f>VLOOKUP(A695,'[1]BADI SID DATA'!A:B,2,0)</f>
        <v>116</v>
      </c>
      <c r="C695" s="11">
        <v>31849.349999986589</v>
      </c>
      <c r="D695" s="6">
        <v>2.7</v>
      </c>
      <c r="E695" s="23">
        <v>100</v>
      </c>
      <c r="F695" s="23">
        <v>100</v>
      </c>
      <c r="G695" s="16">
        <f>VLOOKUP(A695,'[1]DRDO Kolar Data'!$A:$E,5,0)*1000</f>
        <v>10500</v>
      </c>
      <c r="H695" s="24">
        <f t="shared" si="33"/>
        <v>5385248.0499999896</v>
      </c>
      <c r="I695" s="25">
        <f t="shared" si="31"/>
        <v>13.270562499994412</v>
      </c>
      <c r="J695" s="25">
        <f t="shared" si="32"/>
        <v>19.343563397988468</v>
      </c>
      <c r="K695" s="17" t="s">
        <v>10</v>
      </c>
    </row>
    <row r="696" spans="1:11" ht="15.75" customHeight="1" x14ac:dyDescent="0.2">
      <c r="A696" s="15">
        <v>45499</v>
      </c>
      <c r="B696" s="3">
        <f>VLOOKUP(A696,'[1]BADI SID DATA'!A:B,2,0)</f>
        <v>117</v>
      </c>
      <c r="C696" s="11">
        <v>29254.550000011921</v>
      </c>
      <c r="D696" s="7">
        <v>2.4700000000000002</v>
      </c>
      <c r="E696" s="23">
        <v>100</v>
      </c>
      <c r="F696" s="23">
        <v>100</v>
      </c>
      <c r="G696" s="16">
        <f>VLOOKUP(A696,'[1]DRDO Kolar Data'!$A:$E,5,0)*1000</f>
        <v>10500</v>
      </c>
      <c r="H696" s="24">
        <f t="shared" si="33"/>
        <v>5414502.6000000015</v>
      </c>
      <c r="I696" s="25">
        <f t="shared" si="31"/>
        <v>12.189395833338299</v>
      </c>
      <c r="J696" s="25">
        <f t="shared" si="32"/>
        <v>19.28241666666667</v>
      </c>
      <c r="K696" s="17" t="s">
        <v>10</v>
      </c>
    </row>
    <row r="697" spans="1:11" ht="15.75" customHeight="1" x14ac:dyDescent="0.2">
      <c r="A697" s="15">
        <v>45500</v>
      </c>
      <c r="B697" s="3">
        <f>VLOOKUP(A697,'[1]BADI SID DATA'!A:B,2,0)</f>
        <v>118</v>
      </c>
      <c r="C697" s="11">
        <v>48750</v>
      </c>
      <c r="D697" s="6">
        <v>4.51</v>
      </c>
      <c r="E697" s="23">
        <v>100</v>
      </c>
      <c r="F697" s="23">
        <v>100</v>
      </c>
      <c r="G697" s="16">
        <f>VLOOKUP(A697,'[1]DRDO Kolar Data'!$A:$E,5,0)*1000</f>
        <v>10900</v>
      </c>
      <c r="H697" s="24">
        <f t="shared" si="33"/>
        <v>5463252.6000000015</v>
      </c>
      <c r="I697" s="25">
        <f t="shared" si="31"/>
        <v>20.3125</v>
      </c>
      <c r="J697" s="25">
        <f t="shared" si="32"/>
        <v>19.291146186440685</v>
      </c>
      <c r="K697" s="17" t="s">
        <v>11</v>
      </c>
    </row>
    <row r="698" spans="1:11" ht="15.75" customHeight="1" x14ac:dyDescent="0.2">
      <c r="A698" s="15">
        <v>45501</v>
      </c>
      <c r="B698" s="3">
        <f>VLOOKUP(A698,'[1]BADI SID DATA'!A:B,2,0)</f>
        <v>119</v>
      </c>
      <c r="C698" s="11">
        <v>53296.75</v>
      </c>
      <c r="D698" s="7">
        <v>5.14</v>
      </c>
      <c r="E698" s="23">
        <v>100</v>
      </c>
      <c r="F698" s="23">
        <v>100</v>
      </c>
      <c r="G698" s="16">
        <f>VLOOKUP(A698,'[1]DRDO Kolar Data'!$A:$E,5,0)*1000</f>
        <v>9900</v>
      </c>
      <c r="H698" s="24">
        <f t="shared" si="33"/>
        <v>5516549.3500000015</v>
      </c>
      <c r="I698" s="25">
        <f t="shared" si="31"/>
        <v>22.206979166666667</v>
      </c>
      <c r="J698" s="25">
        <f t="shared" si="32"/>
        <v>19.315648984593842</v>
      </c>
      <c r="K698" s="17" t="s">
        <v>11</v>
      </c>
    </row>
    <row r="699" spans="1:11" ht="15.75" customHeight="1" x14ac:dyDescent="0.2">
      <c r="A699" s="15">
        <v>45502</v>
      </c>
      <c r="B699" s="3">
        <f>VLOOKUP(A699,'[1]BADI SID DATA'!A:B,2,0)</f>
        <v>120</v>
      </c>
      <c r="C699" s="11">
        <v>43552.59999999404</v>
      </c>
      <c r="D699" s="6">
        <v>4.0599999999999996</v>
      </c>
      <c r="E699" s="23">
        <v>100</v>
      </c>
      <c r="F699" s="23">
        <v>100</v>
      </c>
      <c r="G699" s="16">
        <f>VLOOKUP(A699,'[1]DRDO Kolar Data'!$A:$E,5,0)*1000</f>
        <v>10500</v>
      </c>
      <c r="H699" s="24">
        <f t="shared" si="33"/>
        <v>5560101.9499999955</v>
      </c>
      <c r="I699" s="25">
        <f t="shared" si="31"/>
        <v>18.146916666664183</v>
      </c>
      <c r="J699" s="25">
        <f t="shared" si="32"/>
        <v>19.305909548611094</v>
      </c>
      <c r="K699" s="17" t="s">
        <v>11</v>
      </c>
    </row>
    <row r="700" spans="1:11" ht="15.75" customHeight="1" x14ac:dyDescent="0.2">
      <c r="A700" s="15">
        <v>45503</v>
      </c>
      <c r="B700" s="3">
        <f>VLOOKUP(A700,'[1]BADI SID DATA'!A:B,2,0)</f>
        <v>121</v>
      </c>
      <c r="C700" s="11">
        <v>43545.45000000298</v>
      </c>
      <c r="D700" s="7">
        <v>3.88</v>
      </c>
      <c r="E700" s="23">
        <v>100</v>
      </c>
      <c r="F700" s="23">
        <v>91.25</v>
      </c>
      <c r="G700" s="16">
        <f>VLOOKUP(A700,'[1]DRDO Kolar Data'!$A:$E,5,0)*1000</f>
        <v>10900</v>
      </c>
      <c r="H700" s="24">
        <f t="shared" si="33"/>
        <v>5603647.3999999985</v>
      </c>
      <c r="I700" s="25">
        <f t="shared" si="31"/>
        <v>18.143937500001243</v>
      </c>
      <c r="J700" s="25">
        <f t="shared" si="32"/>
        <v>19.296306473829198</v>
      </c>
      <c r="K700" s="17" t="s">
        <v>11</v>
      </c>
    </row>
    <row r="701" spans="1:11" ht="15.75" customHeight="1" x14ac:dyDescent="0.2">
      <c r="A701" s="15">
        <v>45504</v>
      </c>
      <c r="B701" s="3">
        <f>VLOOKUP(A701,'[1]BADI SID DATA'!A:B,2,0)</f>
        <v>122</v>
      </c>
      <c r="C701" s="11">
        <v>35102.59999999404</v>
      </c>
      <c r="D701" s="6">
        <v>3.18</v>
      </c>
      <c r="E701" s="23">
        <v>100</v>
      </c>
      <c r="F701" s="23">
        <v>100</v>
      </c>
      <c r="G701" s="16">
        <f>VLOOKUP(A701,'[1]DRDO Kolar Data'!$A:$E,5,0)*1000</f>
        <v>10700</v>
      </c>
      <c r="H701" s="24">
        <f t="shared" si="33"/>
        <v>5638749.9999999925</v>
      </c>
      <c r="I701" s="25">
        <f t="shared" si="31"/>
        <v>14.62608333333085</v>
      </c>
      <c r="J701" s="25">
        <f t="shared" si="32"/>
        <v>19.258025956284129</v>
      </c>
      <c r="K701" s="17" t="s">
        <v>10</v>
      </c>
    </row>
    <row r="702" spans="1:11" ht="15.75" customHeight="1" x14ac:dyDescent="0.2">
      <c r="A702" s="15">
        <v>45505</v>
      </c>
      <c r="B702" s="3">
        <f>VLOOKUP(A702,'[1]BADI SID DATA'!A:B,2,0)</f>
        <v>123</v>
      </c>
      <c r="C702" s="11">
        <v>48750</v>
      </c>
      <c r="D702" s="8">
        <v>4.75</v>
      </c>
      <c r="E702" s="23">
        <v>100</v>
      </c>
      <c r="F702" s="23">
        <v>100</v>
      </c>
      <c r="G702" s="16">
        <f>VLOOKUP(A702,'[1]DRDO Kolar Data'!$A:$E,5,0)*1000</f>
        <v>10100</v>
      </c>
      <c r="H702" s="24">
        <f t="shared" si="33"/>
        <v>5687499.9999999925</v>
      </c>
      <c r="I702" s="25">
        <f t="shared" si="31"/>
        <v>20.3125</v>
      </c>
      <c r="J702" s="25">
        <f t="shared" si="32"/>
        <v>19.266598915989135</v>
      </c>
      <c r="K702" s="17" t="s">
        <v>11</v>
      </c>
    </row>
    <row r="703" spans="1:11" ht="15.75" customHeight="1" x14ac:dyDescent="0.2">
      <c r="A703" s="15">
        <v>45506</v>
      </c>
      <c r="B703" s="3">
        <f>VLOOKUP(A703,'[1]BADI SID DATA'!A:B,2,0)</f>
        <v>124</v>
      </c>
      <c r="C703" s="11">
        <v>44203.250000014901</v>
      </c>
      <c r="D703" s="8">
        <v>4.09</v>
      </c>
      <c r="E703" s="23">
        <v>100</v>
      </c>
      <c r="F703" s="23">
        <v>100</v>
      </c>
      <c r="G703" s="16">
        <f>VLOOKUP(A703,'[1]DRDO Kolar Data'!$A:$E,5,0)*1000</f>
        <v>10000</v>
      </c>
      <c r="H703" s="24">
        <f t="shared" si="33"/>
        <v>5731703.2500000075</v>
      </c>
      <c r="I703" s="25">
        <f t="shared" si="31"/>
        <v>18.418020833339543</v>
      </c>
      <c r="J703" s="25">
        <f t="shared" si="32"/>
        <v>19.259755544354864</v>
      </c>
      <c r="K703" s="17" t="s">
        <v>11</v>
      </c>
    </row>
    <row r="704" spans="1:11" ht="15.75" customHeight="1" x14ac:dyDescent="0.2">
      <c r="A704" s="15">
        <v>45507</v>
      </c>
      <c r="B704" s="3">
        <f>VLOOKUP(A704,'[1]BADI SID DATA'!A:B,2,0)</f>
        <v>125</v>
      </c>
      <c r="C704" s="11">
        <v>41600.649999991059</v>
      </c>
      <c r="D704" s="5">
        <v>3.83</v>
      </c>
      <c r="E704" s="23">
        <v>100</v>
      </c>
      <c r="F704" s="23">
        <v>100</v>
      </c>
      <c r="G704" s="16">
        <f>VLOOKUP(A704,'[1]DRDO Kolar Data'!$A:$E,5,0)*1000</f>
        <v>9900</v>
      </c>
      <c r="H704" s="24">
        <f t="shared" si="33"/>
        <v>5773303.8999999985</v>
      </c>
      <c r="I704" s="25">
        <f t="shared" si="31"/>
        <v>17.333604166662941</v>
      </c>
      <c r="J704" s="25">
        <f t="shared" si="32"/>
        <v>19.244346333333329</v>
      </c>
      <c r="K704" s="17" t="s">
        <v>11</v>
      </c>
    </row>
    <row r="705" spans="1:11" ht="15.75" customHeight="1" x14ac:dyDescent="0.2">
      <c r="A705" s="15">
        <v>45508</v>
      </c>
      <c r="B705" s="3">
        <f>VLOOKUP(A705,'[1]BADI SID DATA'!A:B,2,0)</f>
        <v>126</v>
      </c>
      <c r="C705" s="11">
        <v>54598.04999999702</v>
      </c>
      <c r="D705" s="8">
        <v>5.18</v>
      </c>
      <c r="E705" s="23">
        <v>100</v>
      </c>
      <c r="F705" s="23">
        <v>100</v>
      </c>
      <c r="G705" s="16">
        <f>VLOOKUP(A705,'[1]DRDO Kolar Data'!$A:$E,5,0)*1000</f>
        <v>10500</v>
      </c>
      <c r="H705" s="24">
        <f t="shared" si="33"/>
        <v>5827901.9499999955</v>
      </c>
      <c r="I705" s="25">
        <f t="shared" si="31"/>
        <v>22.749187499998758</v>
      </c>
      <c r="J705" s="25">
        <f t="shared" si="32"/>
        <v>19.272162533068769</v>
      </c>
      <c r="K705" s="17" t="s">
        <v>11</v>
      </c>
    </row>
    <row r="706" spans="1:11" ht="15.75" customHeight="1" x14ac:dyDescent="0.2">
      <c r="A706" s="15">
        <v>45509</v>
      </c>
      <c r="B706" s="3">
        <f>VLOOKUP(A706,'[1]BADI SID DATA'!A:B,2,0)</f>
        <v>127</v>
      </c>
      <c r="C706" s="11">
        <v>46147.40000000596</v>
      </c>
      <c r="D706" s="8">
        <v>4.1399999999999997</v>
      </c>
      <c r="E706" s="23">
        <v>100</v>
      </c>
      <c r="F706" s="23">
        <v>100</v>
      </c>
      <c r="G706" s="16">
        <f>VLOOKUP(A706,'[1]DRDO Kolar Data'!$A:$E,5,0)*1000</f>
        <v>10300</v>
      </c>
      <c r="H706" s="24">
        <f t="shared" si="33"/>
        <v>5874049.3500000015</v>
      </c>
      <c r="I706" s="25">
        <f t="shared" si="31"/>
        <v>19.228083333335817</v>
      </c>
      <c r="J706" s="25">
        <f t="shared" si="32"/>
        <v>19.271815452755909</v>
      </c>
      <c r="K706" s="17" t="s">
        <v>11</v>
      </c>
    </row>
    <row r="707" spans="1:11" ht="15.75" customHeight="1" x14ac:dyDescent="0.2">
      <c r="A707" s="15">
        <v>45510</v>
      </c>
      <c r="B707" s="3">
        <f>VLOOKUP(A707,'[1]BADI SID DATA'!A:B,2,0)</f>
        <v>128</v>
      </c>
      <c r="C707" s="11">
        <v>40300</v>
      </c>
      <c r="D707" s="5">
        <v>3.78</v>
      </c>
      <c r="E707" s="23">
        <v>100</v>
      </c>
      <c r="F707" s="23">
        <v>100</v>
      </c>
      <c r="G707" s="16">
        <f>VLOOKUP(A707,'[1]DRDO Kolar Data'!$A:$E,5,0)*1000</f>
        <v>9900</v>
      </c>
      <c r="H707" s="24">
        <f t="shared" si="33"/>
        <v>5914349.3500000015</v>
      </c>
      <c r="I707" s="25">
        <f t="shared" ref="I707:I770" si="34">(C707/(10*24*1000))*100</f>
        <v>16.791666666666664</v>
      </c>
      <c r="J707" s="25">
        <f t="shared" ref="J707:J770" si="35">(H707/(24*B707*10*1000))*100</f>
        <v>19.252439290364588</v>
      </c>
      <c r="K707" s="17" t="s">
        <v>11</v>
      </c>
    </row>
    <row r="708" spans="1:11" ht="15.75" customHeight="1" x14ac:dyDescent="0.2">
      <c r="A708" s="15">
        <v>45511</v>
      </c>
      <c r="B708" s="3">
        <f>VLOOKUP(A708,'[1]BADI SID DATA'!A:B,2,0)</f>
        <v>129</v>
      </c>
      <c r="C708" s="11">
        <v>38347.399999991059</v>
      </c>
      <c r="D708" s="5">
        <v>3.27</v>
      </c>
      <c r="E708" s="23">
        <v>100</v>
      </c>
      <c r="F708" s="23">
        <v>90.902777777777771</v>
      </c>
      <c r="G708" s="16">
        <f>VLOOKUP(A708,'[1]DRDO Kolar Data'!$A:$E,5,0)*1000</f>
        <v>8500</v>
      </c>
      <c r="H708" s="24">
        <f t="shared" si="33"/>
        <v>5952696.7499999925</v>
      </c>
      <c r="I708" s="25">
        <f t="shared" si="34"/>
        <v>15.978083333329607</v>
      </c>
      <c r="J708" s="25">
        <f t="shared" si="35"/>
        <v>19.227056686046488</v>
      </c>
      <c r="K708" s="17" t="s">
        <v>10</v>
      </c>
    </row>
    <row r="709" spans="1:11" ht="15.75" customHeight="1" x14ac:dyDescent="0.2">
      <c r="A709" s="15">
        <v>45512</v>
      </c>
      <c r="B709" s="3">
        <f>VLOOKUP(A709,'[1]BADI SID DATA'!A:B,2,0)</f>
        <v>130</v>
      </c>
      <c r="C709" s="11">
        <v>44853.90000000596</v>
      </c>
      <c r="D709" s="8">
        <v>4.08</v>
      </c>
      <c r="E709" s="23">
        <v>100</v>
      </c>
      <c r="F709" s="23">
        <v>100</v>
      </c>
      <c r="G709" s="16">
        <f>VLOOKUP(A709,'[1]DRDO Kolar Data'!$A:$E,5,0)*1000</f>
        <v>10800</v>
      </c>
      <c r="H709" s="24">
        <f t="shared" ref="H709:H772" si="36">C709+H708</f>
        <v>5997550.6499999985</v>
      </c>
      <c r="I709" s="25">
        <f t="shared" si="34"/>
        <v>18.689125000002484</v>
      </c>
      <c r="J709" s="25">
        <f t="shared" si="35"/>
        <v>19.222918749999995</v>
      </c>
      <c r="K709" s="17" t="s">
        <v>11</v>
      </c>
    </row>
    <row r="710" spans="1:11" ht="15.75" customHeight="1" x14ac:dyDescent="0.2">
      <c r="A710" s="15">
        <v>45513</v>
      </c>
      <c r="B710" s="3">
        <f>VLOOKUP(A710,'[1]BADI SID DATA'!A:B,2,0)</f>
        <v>131</v>
      </c>
      <c r="C710" s="11">
        <v>43553.25</v>
      </c>
      <c r="D710" s="5">
        <v>4.18</v>
      </c>
      <c r="E710" s="23">
        <v>100</v>
      </c>
      <c r="F710" s="23">
        <v>100</v>
      </c>
      <c r="G710" s="16">
        <f>VLOOKUP(A710,'[1]DRDO Kolar Data'!$A:$E,5,0)*1000</f>
        <v>10700</v>
      </c>
      <c r="H710" s="24">
        <f t="shared" si="36"/>
        <v>6041103.8999999985</v>
      </c>
      <c r="I710" s="25">
        <f t="shared" si="34"/>
        <v>18.147187500000001</v>
      </c>
      <c r="J710" s="25">
        <f t="shared" si="35"/>
        <v>19.214707061068697</v>
      </c>
      <c r="K710" s="17" t="s">
        <v>11</v>
      </c>
    </row>
    <row r="711" spans="1:11" ht="15.75" customHeight="1" x14ac:dyDescent="0.2">
      <c r="A711" s="15">
        <v>45514</v>
      </c>
      <c r="B711" s="3">
        <f>VLOOKUP(A711,'[1]BADI SID DATA'!A:B,2,0)</f>
        <v>132</v>
      </c>
      <c r="C711" s="11">
        <v>37046.75</v>
      </c>
      <c r="D711" s="6">
        <v>3.37</v>
      </c>
      <c r="E711" s="23">
        <v>100</v>
      </c>
      <c r="F711" s="23">
        <v>100</v>
      </c>
      <c r="G711" s="16">
        <f>VLOOKUP(A711,'[1]DRDO Kolar Data'!$A:$E,5,0)*1000</f>
        <v>10900</v>
      </c>
      <c r="H711" s="24">
        <f t="shared" si="36"/>
        <v>6078150.6499999985</v>
      </c>
      <c r="I711" s="25">
        <f t="shared" si="34"/>
        <v>15.436145833333335</v>
      </c>
      <c r="J711" s="25">
        <f t="shared" si="35"/>
        <v>19.18608159722222</v>
      </c>
      <c r="K711" s="17" t="s">
        <v>10</v>
      </c>
    </row>
    <row r="712" spans="1:11" ht="15.75" customHeight="1" x14ac:dyDescent="0.2">
      <c r="A712" s="15">
        <v>45515</v>
      </c>
      <c r="B712" s="3">
        <f>VLOOKUP(A712,'[1]BADI SID DATA'!A:B,2,0)</f>
        <v>133</v>
      </c>
      <c r="C712" s="11">
        <v>48750</v>
      </c>
      <c r="D712" s="6">
        <v>4.43</v>
      </c>
      <c r="E712" s="23">
        <v>100</v>
      </c>
      <c r="F712" s="23">
        <v>100</v>
      </c>
      <c r="G712" s="16">
        <f>VLOOKUP(A712,'[1]DRDO Kolar Data'!$A:$E,5,0)*1000</f>
        <v>10800</v>
      </c>
      <c r="H712" s="24">
        <f t="shared" si="36"/>
        <v>6126900.6499999985</v>
      </c>
      <c r="I712" s="25">
        <f t="shared" si="34"/>
        <v>20.3125</v>
      </c>
      <c r="J712" s="25">
        <f t="shared" si="35"/>
        <v>19.1945509085213</v>
      </c>
      <c r="K712" s="17" t="s">
        <v>11</v>
      </c>
    </row>
    <row r="713" spans="1:11" ht="15.75" customHeight="1" x14ac:dyDescent="0.2">
      <c r="A713" s="15">
        <v>45516</v>
      </c>
      <c r="B713" s="3">
        <f>VLOOKUP(A713,'[1]BADI SID DATA'!A:B,2,0)</f>
        <v>134</v>
      </c>
      <c r="C713" s="11">
        <v>42901.949999988079</v>
      </c>
      <c r="D713" s="6">
        <v>4.16</v>
      </c>
      <c r="E713" s="23">
        <v>100</v>
      </c>
      <c r="F713" s="23">
        <v>100</v>
      </c>
      <c r="G713" s="16">
        <f>VLOOKUP(A713,'[1]DRDO Kolar Data'!$A:$E,5,0)*1000</f>
        <v>10200</v>
      </c>
      <c r="H713" s="24">
        <f t="shared" si="36"/>
        <v>6169802.5999999866</v>
      </c>
      <c r="I713" s="25">
        <f t="shared" si="34"/>
        <v>17.875812499995032</v>
      </c>
      <c r="J713" s="25">
        <f t="shared" si="35"/>
        <v>19.184709577114386</v>
      </c>
      <c r="K713" s="17" t="s">
        <v>11</v>
      </c>
    </row>
    <row r="714" spans="1:11" ht="15.75" customHeight="1" x14ac:dyDescent="0.2">
      <c r="A714" s="15">
        <v>45517</v>
      </c>
      <c r="B714" s="3">
        <f>VLOOKUP(A714,'[1]BADI SID DATA'!A:B,2,0)</f>
        <v>135</v>
      </c>
      <c r="C714" s="11">
        <v>56549.350000008941</v>
      </c>
      <c r="D714" s="6">
        <v>5.74</v>
      </c>
      <c r="E714" s="23">
        <v>100</v>
      </c>
      <c r="F714" s="23">
        <v>100</v>
      </c>
      <c r="G714" s="16">
        <f>VLOOKUP(A714,'[1]DRDO Kolar Data'!$A:$E,5,0)*1000</f>
        <v>10000</v>
      </c>
      <c r="H714" s="24">
        <f t="shared" si="36"/>
        <v>6226351.9499999955</v>
      </c>
      <c r="I714" s="25">
        <f t="shared" si="34"/>
        <v>23.562229166670392</v>
      </c>
      <c r="J714" s="25">
        <f t="shared" si="35"/>
        <v>19.217135648148133</v>
      </c>
      <c r="K714" s="17" t="s">
        <v>13</v>
      </c>
    </row>
    <row r="715" spans="1:11" ht="15.75" customHeight="1" x14ac:dyDescent="0.2">
      <c r="A715" s="15">
        <v>45518</v>
      </c>
      <c r="B715" s="3">
        <f>VLOOKUP(A715,'[1]BADI SID DATA'!A:B,2,0)</f>
        <v>136</v>
      </c>
      <c r="C715" s="11">
        <v>58501.95000000298</v>
      </c>
      <c r="D715" s="6">
        <v>6.25</v>
      </c>
      <c r="E715" s="23">
        <v>100</v>
      </c>
      <c r="F715" s="23">
        <v>100</v>
      </c>
      <c r="G715" s="16">
        <f>VLOOKUP(A715,'[1]DRDO Kolar Data'!$A:$E,5,0)*1000</f>
        <v>10100</v>
      </c>
      <c r="H715" s="24">
        <f t="shared" si="36"/>
        <v>6284853.8999999985</v>
      </c>
      <c r="I715" s="25">
        <f t="shared" si="34"/>
        <v>24.375812500001242</v>
      </c>
      <c r="J715" s="25">
        <f t="shared" si="35"/>
        <v>19.255067095588231</v>
      </c>
      <c r="K715" s="17" t="s">
        <v>13</v>
      </c>
    </row>
    <row r="716" spans="1:11" ht="15.75" customHeight="1" x14ac:dyDescent="0.2">
      <c r="A716" s="15">
        <v>45519</v>
      </c>
      <c r="B716" s="3">
        <f>VLOOKUP(A716,'[1]BADI SID DATA'!A:B,2,0)</f>
        <v>137</v>
      </c>
      <c r="C716" s="11">
        <v>50694.15000000596</v>
      </c>
      <c r="D716" s="6">
        <v>4.9000000000000004</v>
      </c>
      <c r="E716" s="23">
        <v>100</v>
      </c>
      <c r="F716" s="23">
        <v>51.666666666666671</v>
      </c>
      <c r="G716" s="16">
        <f>VLOOKUP(A716,'[1]DRDO Kolar Data'!$A:$E,5,0)*1000</f>
        <v>10500</v>
      </c>
      <c r="H716" s="24">
        <f t="shared" si="36"/>
        <v>6335548.0500000045</v>
      </c>
      <c r="I716" s="25">
        <f t="shared" si="34"/>
        <v>21.122562500002484</v>
      </c>
      <c r="J716" s="25">
        <f t="shared" si="35"/>
        <v>19.268698448905123</v>
      </c>
      <c r="K716" s="17" t="s">
        <v>11</v>
      </c>
    </row>
    <row r="717" spans="1:11" ht="15.75" customHeight="1" x14ac:dyDescent="0.2">
      <c r="A717" s="15">
        <v>45520</v>
      </c>
      <c r="B717" s="3">
        <f>VLOOKUP(A717,'[1]BADI SID DATA'!A:B,2,0)</f>
        <v>138</v>
      </c>
      <c r="C717" s="11">
        <v>49400.649999991059</v>
      </c>
      <c r="D717" s="6">
        <v>4.91</v>
      </c>
      <c r="E717" s="23">
        <v>100</v>
      </c>
      <c r="F717" s="23">
        <v>100</v>
      </c>
      <c r="G717" s="16">
        <f>VLOOKUP(A717,'[1]DRDO Kolar Data'!$A:$E,5,0)*1000</f>
        <v>10000</v>
      </c>
      <c r="H717" s="24">
        <f t="shared" si="36"/>
        <v>6384948.6999999955</v>
      </c>
      <c r="I717" s="25">
        <f t="shared" si="34"/>
        <v>20.583604166662941</v>
      </c>
      <c r="J717" s="25">
        <f t="shared" si="35"/>
        <v>19.278226751207718</v>
      </c>
      <c r="K717" s="17" t="s">
        <v>11</v>
      </c>
    </row>
    <row r="718" spans="1:11" ht="15.75" customHeight="1" x14ac:dyDescent="0.2">
      <c r="A718" s="15">
        <v>45521</v>
      </c>
      <c r="B718" s="3">
        <f>VLOOKUP(A718,'[1]BADI SID DATA'!A:B,2,0)</f>
        <v>139</v>
      </c>
      <c r="C718" s="11">
        <v>59151.95000000298</v>
      </c>
      <c r="D718" s="6">
        <v>6.18</v>
      </c>
      <c r="E718" s="23">
        <v>100</v>
      </c>
      <c r="F718" s="23">
        <v>49.791666666666664</v>
      </c>
      <c r="G718" s="16">
        <f>VLOOKUP(A718,'[1]DRDO Kolar Data'!$A:$E,5,0)*1000</f>
        <v>9900</v>
      </c>
      <c r="H718" s="24">
        <f t="shared" si="36"/>
        <v>6444100.6499999985</v>
      </c>
      <c r="I718" s="25">
        <f t="shared" si="34"/>
        <v>24.646645833334574</v>
      </c>
      <c r="J718" s="25">
        <f t="shared" si="35"/>
        <v>19.316848471223018</v>
      </c>
      <c r="K718" s="17" t="s">
        <v>13</v>
      </c>
    </row>
    <row r="719" spans="1:11" ht="15.75" customHeight="1" x14ac:dyDescent="0.2">
      <c r="A719" s="15">
        <v>45522</v>
      </c>
      <c r="B719" s="3">
        <f>VLOOKUP(A719,'[1]BADI SID DATA'!A:B,2,0)</f>
        <v>140</v>
      </c>
      <c r="C719" s="11">
        <v>51352.600000008941</v>
      </c>
      <c r="D719" s="6">
        <v>5.19</v>
      </c>
      <c r="E719" s="23">
        <v>100</v>
      </c>
      <c r="F719" s="23">
        <v>100</v>
      </c>
      <c r="G719" s="16">
        <f>VLOOKUP(A719,'[1]DRDO Kolar Data'!$A:$E,5,0)*1000</f>
        <v>10300</v>
      </c>
      <c r="H719" s="24">
        <f t="shared" si="36"/>
        <v>6495453.2500000075</v>
      </c>
      <c r="I719" s="25">
        <f t="shared" si="34"/>
        <v>21.396916666670393</v>
      </c>
      <c r="J719" s="25">
        <f t="shared" si="35"/>
        <v>19.331706101190498</v>
      </c>
      <c r="K719" s="17" t="s">
        <v>11</v>
      </c>
    </row>
    <row r="720" spans="1:11" ht="15.75" customHeight="1" x14ac:dyDescent="0.2">
      <c r="A720" s="15">
        <v>45523</v>
      </c>
      <c r="B720" s="3">
        <f>VLOOKUP(A720,'[1]BADI SID DATA'!A:B,2,0)</f>
        <v>141</v>
      </c>
      <c r="C720" s="11">
        <v>51995.449999988079</v>
      </c>
      <c r="D720" s="6">
        <v>5.35</v>
      </c>
      <c r="E720" s="23">
        <v>100</v>
      </c>
      <c r="F720" s="23">
        <v>60.486111111111107</v>
      </c>
      <c r="G720" s="16">
        <f>VLOOKUP(A720,'[1]DRDO Kolar Data'!$A:$E,5,0)*1000</f>
        <v>10200</v>
      </c>
      <c r="H720" s="24">
        <f t="shared" si="36"/>
        <v>6547448.6999999955</v>
      </c>
      <c r="I720" s="25">
        <f t="shared" si="34"/>
        <v>21.664770833328369</v>
      </c>
      <c r="J720" s="25">
        <f t="shared" si="35"/>
        <v>19.348252659574456</v>
      </c>
      <c r="K720" s="17" t="s">
        <v>11</v>
      </c>
    </row>
    <row r="721" spans="1:11" ht="15.75" customHeight="1" x14ac:dyDescent="0.2">
      <c r="A721" s="15">
        <v>45524</v>
      </c>
      <c r="B721" s="3">
        <f>VLOOKUP(A721,'[1]BADI SID DATA'!A:B,2,0)</f>
        <v>142</v>
      </c>
      <c r="C721" s="11">
        <v>51351.95000000298</v>
      </c>
      <c r="D721" s="6">
        <v>4.96</v>
      </c>
      <c r="E721" s="23">
        <v>100</v>
      </c>
      <c r="F721" s="23">
        <v>100</v>
      </c>
      <c r="G721" s="16">
        <f>VLOOKUP(A721,'[1]DRDO Kolar Data'!$A:$E,5,0)*1000</f>
        <v>10500</v>
      </c>
      <c r="H721" s="24">
        <f t="shared" si="36"/>
        <v>6598800.6499999985</v>
      </c>
      <c r="I721" s="25">
        <f t="shared" si="34"/>
        <v>21.396645833334574</v>
      </c>
      <c r="J721" s="25">
        <f t="shared" si="35"/>
        <v>19.36267796361502</v>
      </c>
      <c r="K721" s="17" t="s">
        <v>11</v>
      </c>
    </row>
    <row r="722" spans="1:11" ht="15.75" customHeight="1" x14ac:dyDescent="0.2">
      <c r="A722" s="15">
        <v>45525</v>
      </c>
      <c r="B722" s="3">
        <f>VLOOKUP(A722,'[1]BADI SID DATA'!A:B,2,0)</f>
        <v>143</v>
      </c>
      <c r="C722" s="11">
        <v>60453.90000000596</v>
      </c>
      <c r="D722" s="6">
        <v>6.29</v>
      </c>
      <c r="E722" s="23">
        <v>100</v>
      </c>
      <c r="F722" s="23">
        <v>100</v>
      </c>
      <c r="G722" s="16">
        <f>VLOOKUP(A722,'[1]DRDO Kolar Data'!$A:$E,5,0)*1000</f>
        <v>10100</v>
      </c>
      <c r="H722" s="24">
        <f t="shared" si="36"/>
        <v>6659254.5500000045</v>
      </c>
      <c r="I722" s="25">
        <f t="shared" si="34"/>
        <v>25.189125000002484</v>
      </c>
      <c r="J722" s="25">
        <f t="shared" si="35"/>
        <v>19.40342234848486</v>
      </c>
      <c r="K722" s="17" t="s">
        <v>13</v>
      </c>
    </row>
    <row r="723" spans="1:11" ht="15.75" customHeight="1" x14ac:dyDescent="0.2">
      <c r="A723" s="15">
        <v>45526</v>
      </c>
      <c r="B723" s="3">
        <f>VLOOKUP(A723,'[1]BADI SID DATA'!A:B,2,0)</f>
        <v>144</v>
      </c>
      <c r="C723" s="11">
        <v>52646.09999999404</v>
      </c>
      <c r="D723" s="6">
        <v>5.66</v>
      </c>
      <c r="E723" s="23">
        <v>100</v>
      </c>
      <c r="F723" s="23">
        <v>97.222222222222214</v>
      </c>
      <c r="G723" s="16">
        <f>VLOOKUP(A723,'[1]DRDO Kolar Data'!$A:$E,5,0)*1000</f>
        <v>10900</v>
      </c>
      <c r="H723" s="24">
        <f t="shared" si="36"/>
        <v>6711900.6499999985</v>
      </c>
      <c r="I723" s="25">
        <f t="shared" si="34"/>
        <v>21.935874999997516</v>
      </c>
      <c r="J723" s="25">
        <f t="shared" si="35"/>
        <v>19.421008825231478</v>
      </c>
      <c r="K723" s="17" t="s">
        <v>13</v>
      </c>
    </row>
    <row r="724" spans="1:11" ht="15.75" customHeight="1" x14ac:dyDescent="0.2">
      <c r="A724" s="15">
        <v>45527</v>
      </c>
      <c r="B724" s="3">
        <f>VLOOKUP(A724,'[1]BADI SID DATA'!A:B,2,0)</f>
        <v>145</v>
      </c>
      <c r="C724" s="11">
        <v>61746.75</v>
      </c>
      <c r="D724" s="6">
        <v>6.17</v>
      </c>
      <c r="E724" s="23">
        <v>100</v>
      </c>
      <c r="F724" s="23">
        <v>100</v>
      </c>
      <c r="G724" s="16">
        <f>VLOOKUP(A724,'[1]DRDO Kolar Data'!$A:$E,5,0)*1000</f>
        <v>10200</v>
      </c>
      <c r="H724" s="24">
        <f t="shared" si="36"/>
        <v>6773647.3999999985</v>
      </c>
      <c r="I724" s="25">
        <f t="shared" si="34"/>
        <v>25.727812500000002</v>
      </c>
      <c r="J724" s="25">
        <f t="shared" si="35"/>
        <v>19.464504022988503</v>
      </c>
      <c r="K724" s="17" t="s">
        <v>13</v>
      </c>
    </row>
    <row r="725" spans="1:11" ht="15.75" customHeight="1" x14ac:dyDescent="0.2">
      <c r="A725" s="15">
        <v>45528</v>
      </c>
      <c r="B725" s="3">
        <f>VLOOKUP(A725,'[1]BADI SID DATA'!A:B,2,0)</f>
        <v>146</v>
      </c>
      <c r="C725" s="11">
        <v>50051.29999999702</v>
      </c>
      <c r="D725" s="6">
        <v>4.78</v>
      </c>
      <c r="E725" s="23">
        <v>100</v>
      </c>
      <c r="F725" s="23">
        <v>52.847222222222221</v>
      </c>
      <c r="G725" s="16">
        <f>VLOOKUP(A725,'[1]DRDO Kolar Data'!$A:$E,5,0)*1000</f>
        <v>10000</v>
      </c>
      <c r="H725" s="24">
        <f t="shared" si="36"/>
        <v>6823698.6999999955</v>
      </c>
      <c r="I725" s="25">
        <f t="shared" si="34"/>
        <v>20.854708333332091</v>
      </c>
      <c r="J725" s="25">
        <f t="shared" si="35"/>
        <v>19.474025970319623</v>
      </c>
      <c r="K725" s="17" t="s">
        <v>11</v>
      </c>
    </row>
    <row r="726" spans="1:11" ht="15.75" customHeight="1" x14ac:dyDescent="0.2">
      <c r="A726" s="15">
        <v>45529</v>
      </c>
      <c r="B726" s="3">
        <f>VLOOKUP(A726,'[1]BADI SID DATA'!A:B,2,0)</f>
        <v>147</v>
      </c>
      <c r="C726" s="11">
        <v>46155.20000000298</v>
      </c>
      <c r="D726" s="6">
        <f>9.34-4.81</f>
        <v>4.53</v>
      </c>
      <c r="E726" s="23">
        <v>100</v>
      </c>
      <c r="F726" s="23">
        <v>100</v>
      </c>
      <c r="G726" s="16">
        <f>VLOOKUP(A726,'[1]DRDO Kolar Data'!$A:$E,5,0)*1000</f>
        <v>11000</v>
      </c>
      <c r="H726" s="24">
        <f t="shared" si="36"/>
        <v>6869853.8999999985</v>
      </c>
      <c r="I726" s="25">
        <f t="shared" si="34"/>
        <v>19.231333333334575</v>
      </c>
      <c r="J726" s="25">
        <f t="shared" si="35"/>
        <v>19.472374999999996</v>
      </c>
      <c r="K726" s="17" t="s">
        <v>11</v>
      </c>
    </row>
    <row r="727" spans="1:11" ht="15.75" customHeight="1" x14ac:dyDescent="0.2">
      <c r="A727" s="15">
        <v>45530</v>
      </c>
      <c r="B727" s="3">
        <f>VLOOKUP(A727,'[1]BADI SID DATA'!A:B,2,0)</f>
        <v>148</v>
      </c>
      <c r="C727" s="11">
        <v>50694.15000000596</v>
      </c>
      <c r="D727" s="7">
        <v>4.76</v>
      </c>
      <c r="E727" s="23">
        <v>100</v>
      </c>
      <c r="F727" s="23">
        <v>91.666666666666657</v>
      </c>
      <c r="G727" s="16">
        <f>VLOOKUP(A727,'[1]DRDO Kolar Data'!$A:$E,5,0)*1000</f>
        <v>11100</v>
      </c>
      <c r="H727" s="24">
        <f t="shared" si="36"/>
        <v>6920548.0500000045</v>
      </c>
      <c r="I727" s="25">
        <f t="shared" si="34"/>
        <v>21.122562500002484</v>
      </c>
      <c r="J727" s="25">
        <f t="shared" si="35"/>
        <v>19.483524915540553</v>
      </c>
      <c r="K727" s="17" t="s">
        <v>11</v>
      </c>
    </row>
    <row r="728" spans="1:11" ht="15.75" customHeight="1" x14ac:dyDescent="0.2">
      <c r="A728" s="15">
        <v>45531</v>
      </c>
      <c r="B728" s="3">
        <f>VLOOKUP(A728,'[1]BADI SID DATA'!A:B,2,0)</f>
        <v>149</v>
      </c>
      <c r="C728" s="11">
        <v>39648.699999988079</v>
      </c>
      <c r="D728" s="6">
        <v>3.62</v>
      </c>
      <c r="E728" s="23">
        <v>100</v>
      </c>
      <c r="F728" s="23">
        <v>100</v>
      </c>
      <c r="G728" s="16">
        <f>VLOOKUP(A728,'[1]DRDO Kolar Data'!$A:$E,5,0)*1000</f>
        <v>10300</v>
      </c>
      <c r="H728" s="24">
        <f t="shared" si="36"/>
        <v>6960196.7499999925</v>
      </c>
      <c r="I728" s="25">
        <f t="shared" si="34"/>
        <v>16.520291666661699</v>
      </c>
      <c r="J728" s="25">
        <f t="shared" si="35"/>
        <v>19.463637444071569</v>
      </c>
      <c r="K728" s="17" t="s">
        <v>10</v>
      </c>
    </row>
    <row r="729" spans="1:11" ht="15.75" customHeight="1" x14ac:dyDescent="0.2">
      <c r="A729" s="15">
        <v>45532</v>
      </c>
      <c r="B729" s="3">
        <f>VLOOKUP(A729,'[1]BADI SID DATA'!A:B,2,0)</f>
        <v>150</v>
      </c>
      <c r="C729" s="11">
        <v>39657.15000000596</v>
      </c>
      <c r="D729" s="7">
        <v>3.55</v>
      </c>
      <c r="E729" s="23">
        <v>100</v>
      </c>
      <c r="F729" s="23">
        <v>100</v>
      </c>
      <c r="G729" s="16">
        <f>VLOOKUP(A729,'[1]DRDO Kolar Data'!$A:$E,5,0)*1000</f>
        <v>8900</v>
      </c>
      <c r="H729" s="24">
        <f t="shared" si="36"/>
        <v>6999853.8999999985</v>
      </c>
      <c r="I729" s="25">
        <f t="shared" si="34"/>
        <v>16.523812500002482</v>
      </c>
      <c r="J729" s="25">
        <f t="shared" si="35"/>
        <v>19.444038611111107</v>
      </c>
      <c r="K729" s="17" t="s">
        <v>10</v>
      </c>
    </row>
    <row r="730" spans="1:11" ht="15.75" customHeight="1" x14ac:dyDescent="0.2">
      <c r="A730" s="15">
        <v>45533</v>
      </c>
      <c r="B730" s="3">
        <f>VLOOKUP(A730,'[1]BADI SID DATA'!A:B,2,0)</f>
        <v>151</v>
      </c>
      <c r="C730" s="11">
        <v>33793.5</v>
      </c>
      <c r="D730" s="6">
        <v>2.88</v>
      </c>
      <c r="E730" s="23">
        <v>100</v>
      </c>
      <c r="F730" s="23">
        <v>100</v>
      </c>
      <c r="G730" s="16">
        <f>VLOOKUP(A730,'[1]DRDO Kolar Data'!$A:$E,5,0)*1000</f>
        <v>7500</v>
      </c>
      <c r="H730" s="24">
        <f t="shared" si="36"/>
        <v>7033647.3999999985</v>
      </c>
      <c r="I730" s="25">
        <f t="shared" si="34"/>
        <v>14.080625</v>
      </c>
      <c r="J730" s="25">
        <f t="shared" si="35"/>
        <v>19.408519315673285</v>
      </c>
      <c r="K730" s="17" t="s">
        <v>10</v>
      </c>
    </row>
    <row r="731" spans="1:11" ht="15.75" customHeight="1" x14ac:dyDescent="0.2">
      <c r="A731" s="15">
        <v>45534</v>
      </c>
      <c r="B731" s="3">
        <f>VLOOKUP(A731,'[1]BADI SID DATA'!A:B,2,0)</f>
        <v>152</v>
      </c>
      <c r="C731" s="11">
        <v>38355.20000000298</v>
      </c>
      <c r="D731" s="7">
        <v>3.34</v>
      </c>
      <c r="E731" s="23">
        <v>100</v>
      </c>
      <c r="F731" s="23">
        <v>100</v>
      </c>
      <c r="G731" s="16">
        <f>VLOOKUP(A731,'[1]DRDO Kolar Data'!$A:$E,5,0)*1000</f>
        <v>7900</v>
      </c>
      <c r="H731" s="24">
        <f t="shared" si="36"/>
        <v>7072002.6000000015</v>
      </c>
      <c r="I731" s="25">
        <f t="shared" si="34"/>
        <v>15.981333333334574</v>
      </c>
      <c r="J731" s="25">
        <f t="shared" si="35"/>
        <v>19.385972039473689</v>
      </c>
      <c r="K731" s="17" t="s">
        <v>10</v>
      </c>
    </row>
    <row r="732" spans="1:11" ht="15.75" customHeight="1" x14ac:dyDescent="0.2">
      <c r="A732" s="15">
        <v>45535</v>
      </c>
      <c r="B732" s="3">
        <f>VLOOKUP(A732,'[1]BADI SID DATA'!A:B,2,0)</f>
        <v>153</v>
      </c>
      <c r="C732" s="11">
        <v>29247.399999991059</v>
      </c>
      <c r="D732" s="6">
        <v>2.36</v>
      </c>
      <c r="E732" s="23">
        <v>100</v>
      </c>
      <c r="F732" s="23">
        <v>93.75</v>
      </c>
      <c r="G732" s="16">
        <f>VLOOKUP(A732,'[1]DRDO Kolar Data'!$A:$E,5,0)*1000</f>
        <v>7100</v>
      </c>
      <c r="H732" s="24">
        <f t="shared" si="36"/>
        <v>7101249.9999999925</v>
      </c>
      <c r="I732" s="25">
        <f t="shared" si="34"/>
        <v>12.186416666662941</v>
      </c>
      <c r="J732" s="25">
        <f t="shared" si="35"/>
        <v>19.338916122004338</v>
      </c>
      <c r="K732" s="17" t="s">
        <v>10</v>
      </c>
    </row>
    <row r="733" spans="1:11" ht="15.75" customHeight="1" x14ac:dyDescent="0.2">
      <c r="A733" s="15">
        <v>45536</v>
      </c>
      <c r="B733" s="3">
        <f>VLOOKUP(A733,'[1]BADI SID DATA'!A:B,2,0)</f>
        <v>154</v>
      </c>
      <c r="C733" s="11">
        <v>57200.65000000596</v>
      </c>
      <c r="D733" s="8">
        <v>5.51</v>
      </c>
      <c r="E733" s="23">
        <v>100</v>
      </c>
      <c r="F733" s="23">
        <v>100</v>
      </c>
      <c r="G733" s="16">
        <f>VLOOKUP(A733,'[1]DRDO Kolar Data'!$A:$E,5,0)*1000</f>
        <v>10100</v>
      </c>
      <c r="H733" s="24">
        <f>C733</f>
        <v>57200.65000000596</v>
      </c>
      <c r="I733" s="25">
        <f t="shared" si="34"/>
        <v>23.833604166669151</v>
      </c>
      <c r="J733" s="25">
        <f t="shared" si="35"/>
        <v>0.15476366341992956</v>
      </c>
      <c r="K733" s="17" t="s">
        <v>11</v>
      </c>
    </row>
    <row r="734" spans="1:11" ht="15.75" customHeight="1" x14ac:dyDescent="0.2">
      <c r="A734" s="15">
        <v>45537</v>
      </c>
      <c r="B734" s="3">
        <f>VLOOKUP(A734,'[1]BADI SID DATA'!A:B,2,0)</f>
        <v>155</v>
      </c>
      <c r="C734" s="11">
        <v>53300</v>
      </c>
      <c r="D734" s="8">
        <v>5.3</v>
      </c>
      <c r="E734" s="23">
        <v>100</v>
      </c>
      <c r="F734" s="23">
        <v>100</v>
      </c>
      <c r="G734" s="16">
        <f>VLOOKUP(A734,'[1]DRDO Kolar Data'!$A:$E,5,0)*1000</f>
        <v>10200</v>
      </c>
      <c r="H734" s="24">
        <f>H733+C734</f>
        <v>110500.65000000596</v>
      </c>
      <c r="I734" s="25">
        <f t="shared" si="34"/>
        <v>22.208333333333332</v>
      </c>
      <c r="J734" s="25">
        <f t="shared" si="35"/>
        <v>0.29704475806453218</v>
      </c>
      <c r="K734" s="17" t="s">
        <v>11</v>
      </c>
    </row>
    <row r="735" spans="1:11" ht="15.75" customHeight="1" x14ac:dyDescent="0.2">
      <c r="A735" s="15">
        <v>45538</v>
      </c>
      <c r="B735" s="3">
        <f>VLOOKUP(A735,'[1]BADI SID DATA'!A:B,2,0)</f>
        <v>156</v>
      </c>
      <c r="C735" s="11">
        <v>50050</v>
      </c>
      <c r="D735" s="5">
        <v>4.8</v>
      </c>
      <c r="E735" s="23">
        <v>100</v>
      </c>
      <c r="F735" s="23">
        <v>76.041666666666657</v>
      </c>
      <c r="G735" s="16">
        <f>VLOOKUP(A735,'[1]DRDO Kolar Data'!$A:$E,5,0)*1000</f>
        <v>9500</v>
      </c>
      <c r="H735" s="24">
        <f t="shared" si="36"/>
        <v>160550.65000000596</v>
      </c>
      <c r="I735" s="25">
        <f t="shared" si="34"/>
        <v>20.854166666666664</v>
      </c>
      <c r="J735" s="25">
        <f t="shared" si="35"/>
        <v>0.4288211805555715</v>
      </c>
      <c r="K735" s="17" t="s">
        <v>11</v>
      </c>
    </row>
    <row r="736" spans="1:11" ht="15.75" customHeight="1" x14ac:dyDescent="0.2">
      <c r="A736" s="15">
        <v>45539</v>
      </c>
      <c r="B736" s="3">
        <f>VLOOKUP(A736,'[1]BADI SID DATA'!A:B,2,0)</f>
        <v>157</v>
      </c>
      <c r="C736" s="11">
        <v>44850</v>
      </c>
      <c r="D736" s="8">
        <f>8.94-D735</f>
        <v>4.1399999999999997</v>
      </c>
      <c r="E736" s="23">
        <v>100</v>
      </c>
      <c r="F736" s="23">
        <v>73.958333333333343</v>
      </c>
      <c r="G736" s="16">
        <f>VLOOKUP(A736,'[1]DRDO Kolar Data'!$A:$E,5,0)*1000</f>
        <v>9100</v>
      </c>
      <c r="H736" s="24">
        <f t="shared" si="36"/>
        <v>205400.65000000596</v>
      </c>
      <c r="I736" s="25">
        <f t="shared" si="34"/>
        <v>18.6875</v>
      </c>
      <c r="J736" s="25">
        <f t="shared" si="35"/>
        <v>0.54511849787687361</v>
      </c>
      <c r="K736" s="17" t="s">
        <v>12</v>
      </c>
    </row>
    <row r="737" spans="1:11" ht="15.75" customHeight="1" x14ac:dyDescent="0.2">
      <c r="A737" s="15">
        <v>45540</v>
      </c>
      <c r="B737" s="3">
        <f>VLOOKUP(A737,'[1]BADI SID DATA'!A:B,2,0)</f>
        <v>158</v>
      </c>
      <c r="C737" s="11">
        <v>48750</v>
      </c>
      <c r="D737" s="8">
        <f>13.73-8.94</f>
        <v>4.7900000000000009</v>
      </c>
      <c r="E737" s="23">
        <v>100</v>
      </c>
      <c r="F737" s="23">
        <v>85.069444444444443</v>
      </c>
      <c r="G737" s="16">
        <f>VLOOKUP(A737,'[1]DRDO Kolar Data'!$A:$E,5,0)*1000</f>
        <v>10000</v>
      </c>
      <c r="H737" s="24">
        <f t="shared" si="36"/>
        <v>254150.65000000596</v>
      </c>
      <c r="I737" s="25">
        <f t="shared" si="34"/>
        <v>20.3125</v>
      </c>
      <c r="J737" s="25">
        <f t="shared" si="35"/>
        <v>0.67022850738398199</v>
      </c>
      <c r="K737" s="17" t="s">
        <v>12</v>
      </c>
    </row>
    <row r="738" spans="1:11" ht="15.75" customHeight="1" x14ac:dyDescent="0.2">
      <c r="A738" s="15">
        <v>45541</v>
      </c>
      <c r="B738" s="3">
        <f>VLOOKUP(A738,'[1]BADI SID DATA'!A:B,2,0)</f>
        <v>159</v>
      </c>
      <c r="C738" s="11">
        <v>39000</v>
      </c>
      <c r="D738" s="5">
        <f>17.21-13.73</f>
        <v>3.4800000000000004</v>
      </c>
      <c r="E738" s="23">
        <v>100</v>
      </c>
      <c r="F738" s="23">
        <v>74.513888888888886</v>
      </c>
      <c r="G738" s="16">
        <f>VLOOKUP(A738,'[1]DRDO Kolar Data'!$A:$E,5,0)*1000</f>
        <v>7500</v>
      </c>
      <c r="H738" s="24">
        <f t="shared" si="36"/>
        <v>293150.65000000596</v>
      </c>
      <c r="I738" s="25">
        <f t="shared" si="34"/>
        <v>16.25</v>
      </c>
      <c r="J738" s="25">
        <f t="shared" si="35"/>
        <v>0.76821449161427136</v>
      </c>
      <c r="K738" s="17" t="s">
        <v>10</v>
      </c>
    </row>
    <row r="739" spans="1:11" ht="15.75" customHeight="1" x14ac:dyDescent="0.2">
      <c r="A739" s="15">
        <v>45542</v>
      </c>
      <c r="B739" s="3">
        <f>VLOOKUP(A739,'[1]BADI SID DATA'!A:B,2,0)</f>
        <v>160</v>
      </c>
      <c r="C739" s="11">
        <v>40950</v>
      </c>
      <c r="D739" s="5">
        <v>3.77</v>
      </c>
      <c r="E739" s="23">
        <v>100</v>
      </c>
      <c r="F739" s="23">
        <v>71.527777777777786</v>
      </c>
      <c r="G739" s="16">
        <f>VLOOKUP(A739,'[1]DRDO Kolar Data'!$A:$E,5,0)*1000</f>
        <v>6500</v>
      </c>
      <c r="H739" s="24">
        <f t="shared" si="36"/>
        <v>334100.65000000596</v>
      </c>
      <c r="I739" s="25">
        <f t="shared" si="34"/>
        <v>17.0625</v>
      </c>
      <c r="J739" s="25">
        <f t="shared" si="35"/>
        <v>0.8700537760416821</v>
      </c>
      <c r="K739" s="17" t="s">
        <v>10</v>
      </c>
    </row>
    <row r="740" spans="1:11" ht="15.75" customHeight="1" x14ac:dyDescent="0.2">
      <c r="A740" s="15">
        <v>45543</v>
      </c>
      <c r="B740" s="3">
        <f>VLOOKUP(A740,'[1]BADI SID DATA'!A:B,2,0)</f>
        <v>161</v>
      </c>
      <c r="C740" s="11">
        <v>37046.75</v>
      </c>
      <c r="D740" s="8">
        <f>6.99-3.77</f>
        <v>3.22</v>
      </c>
      <c r="E740" s="23">
        <v>100</v>
      </c>
      <c r="F740" s="23">
        <v>74.513888888888886</v>
      </c>
      <c r="G740" s="16">
        <f>VLOOKUP(A740,'[1]DRDO Kolar Data'!$A:$E,5,0)*1000</f>
        <v>7200</v>
      </c>
      <c r="H740" s="24">
        <f t="shared" si="36"/>
        <v>371147.40000000596</v>
      </c>
      <c r="I740" s="25">
        <f t="shared" si="34"/>
        <v>15.436145833333335</v>
      </c>
      <c r="J740" s="25">
        <f t="shared" si="35"/>
        <v>0.96052639751554336</v>
      </c>
      <c r="K740" s="17" t="s">
        <v>10</v>
      </c>
    </row>
    <row r="741" spans="1:11" ht="15.75" customHeight="1" x14ac:dyDescent="0.2">
      <c r="A741" s="15">
        <v>45544</v>
      </c>
      <c r="B741" s="3">
        <f>VLOOKUP(A741,'[1]BADI SID DATA'!A:B,2,0)</f>
        <v>162</v>
      </c>
      <c r="C741" s="11">
        <v>42901.95000000298</v>
      </c>
      <c r="D741" s="5">
        <v>3.97</v>
      </c>
      <c r="E741" s="23">
        <v>100</v>
      </c>
      <c r="F741" s="23">
        <v>100</v>
      </c>
      <c r="G741" s="16">
        <f>VLOOKUP(A741,'[1]DRDO Kolar Data'!$A:$E,5,0)*1000</f>
        <v>8500</v>
      </c>
      <c r="H741" s="24">
        <f t="shared" si="36"/>
        <v>414049.35000000894</v>
      </c>
      <c r="I741" s="25">
        <f t="shared" si="34"/>
        <v>17.875812500001242</v>
      </c>
      <c r="J741" s="25">
        <f t="shared" si="35"/>
        <v>1.0649417438271835</v>
      </c>
      <c r="K741" s="17" t="s">
        <v>10</v>
      </c>
    </row>
    <row r="742" spans="1:11" ht="15.75" customHeight="1" x14ac:dyDescent="0.2">
      <c r="A742" s="15">
        <v>45545</v>
      </c>
      <c r="B742" s="3">
        <f>VLOOKUP(A742,'[1]BADI SID DATA'!A:B,2,0)</f>
        <v>163</v>
      </c>
      <c r="C742" s="11">
        <v>58501.29999999702</v>
      </c>
      <c r="D742" s="6">
        <v>5.81</v>
      </c>
      <c r="E742" s="23">
        <v>100</v>
      </c>
      <c r="F742" s="23">
        <v>100</v>
      </c>
      <c r="G742" s="16">
        <f>VLOOKUP(A742,'[1]DRDO Kolar Data'!$A:$E,5,0)*1000</f>
        <v>10200</v>
      </c>
      <c r="H742" s="24">
        <f t="shared" si="36"/>
        <v>472550.65000000596</v>
      </c>
      <c r="I742" s="25">
        <f t="shared" si="34"/>
        <v>24.375541666665427</v>
      </c>
      <c r="J742" s="25">
        <f t="shared" si="35"/>
        <v>1.2079515593047188</v>
      </c>
      <c r="K742" s="17" t="s">
        <v>13</v>
      </c>
    </row>
    <row r="743" spans="1:11" ht="15.75" customHeight="1" x14ac:dyDescent="0.2">
      <c r="A743" s="15">
        <v>45546</v>
      </c>
      <c r="B743" s="3">
        <f>VLOOKUP(A743,'[1]BADI SID DATA'!A:B,2,0)</f>
        <v>164</v>
      </c>
      <c r="C743" s="11">
        <v>47449.34999999404</v>
      </c>
      <c r="D743" s="6">
        <v>4.4000000000000004</v>
      </c>
      <c r="E743" s="23">
        <v>100</v>
      </c>
      <c r="F743" s="23">
        <v>100</v>
      </c>
      <c r="G743" s="16">
        <f>VLOOKUP(A743,'[1]DRDO Kolar Data'!$A:$E,5,0)*1000</f>
        <v>10400</v>
      </c>
      <c r="H743" s="24">
        <f t="shared" si="36"/>
        <v>520000</v>
      </c>
      <c r="I743" s="25">
        <f t="shared" si="34"/>
        <v>19.770562499997517</v>
      </c>
      <c r="J743" s="25">
        <f t="shared" si="35"/>
        <v>1.321138211382114</v>
      </c>
      <c r="K743" s="17" t="s">
        <v>11</v>
      </c>
    </row>
    <row r="744" spans="1:11" ht="15.75" customHeight="1" x14ac:dyDescent="0.2">
      <c r="A744" s="15">
        <v>45547</v>
      </c>
      <c r="B744" s="3">
        <f>VLOOKUP(A744,'[1]BADI SID DATA'!A:B,2,0)</f>
        <v>165</v>
      </c>
      <c r="C744" s="11">
        <v>51351.95000000298</v>
      </c>
      <c r="D744" s="6">
        <f>9.56-D743</f>
        <v>5.16</v>
      </c>
      <c r="E744" s="23">
        <v>100</v>
      </c>
      <c r="F744" s="23">
        <v>100</v>
      </c>
      <c r="G744" s="16">
        <f>VLOOKUP(A744,'[1]DRDO Kolar Data'!$A:$E,5,0)*1000</f>
        <v>10500</v>
      </c>
      <c r="H744" s="24">
        <f t="shared" si="36"/>
        <v>571351.95000000298</v>
      </c>
      <c r="I744" s="25">
        <f t="shared" si="34"/>
        <v>21.396645833334574</v>
      </c>
      <c r="J744" s="25">
        <f t="shared" si="35"/>
        <v>1.442807954545462</v>
      </c>
      <c r="K744" s="17" t="s">
        <v>11</v>
      </c>
    </row>
    <row r="745" spans="1:11" ht="15.75" customHeight="1" x14ac:dyDescent="0.2">
      <c r="A745" s="15">
        <v>45548</v>
      </c>
      <c r="B745" s="3">
        <f>VLOOKUP(A745,'[1]BADI SID DATA'!A:B,2,0)</f>
        <v>166</v>
      </c>
      <c r="C745" s="11">
        <v>60446.100000008941</v>
      </c>
      <c r="D745" s="6">
        <v>5.94</v>
      </c>
      <c r="E745" s="23">
        <v>100</v>
      </c>
      <c r="F745" s="23">
        <v>100</v>
      </c>
      <c r="G745" s="16">
        <f>VLOOKUP(A745,'[1]DRDO Kolar Data'!$A:$E,5,0)*1000</f>
        <v>10200</v>
      </c>
      <c r="H745" s="24">
        <f t="shared" si="36"/>
        <v>631798.05000001192</v>
      </c>
      <c r="I745" s="25">
        <f t="shared" si="34"/>
        <v>25.185875000003726</v>
      </c>
      <c r="J745" s="25">
        <f t="shared" si="35"/>
        <v>1.5858384789156927</v>
      </c>
      <c r="K745" s="17" t="s">
        <v>13</v>
      </c>
    </row>
    <row r="746" spans="1:11" ht="15.75" customHeight="1" x14ac:dyDescent="0.2">
      <c r="A746" s="15">
        <v>45549</v>
      </c>
      <c r="B746" s="3">
        <f>VLOOKUP(A746,'[1]BADI SID DATA'!A:B,2,0)</f>
        <v>167</v>
      </c>
      <c r="C746" s="11">
        <v>63055.84999999404</v>
      </c>
      <c r="D746" s="6">
        <v>6.51</v>
      </c>
      <c r="E746" s="23">
        <v>100</v>
      </c>
      <c r="F746" s="23">
        <v>100</v>
      </c>
      <c r="G746" s="16">
        <f>VLOOKUP(A746,'[1]DRDO Kolar Data'!$A:$E,5,0)*1000</f>
        <v>10200</v>
      </c>
      <c r="H746" s="24">
        <f t="shared" si="36"/>
        <v>694853.90000000596</v>
      </c>
      <c r="I746" s="25">
        <f t="shared" si="34"/>
        <v>26.273270833330848</v>
      </c>
      <c r="J746" s="25">
        <f t="shared" si="35"/>
        <v>1.7336674151696756</v>
      </c>
      <c r="K746" s="17" t="s">
        <v>24</v>
      </c>
    </row>
    <row r="747" spans="1:11" ht="15.75" customHeight="1" x14ac:dyDescent="0.2">
      <c r="A747" s="15">
        <v>45550</v>
      </c>
      <c r="B747" s="3">
        <f>VLOOKUP(A747,'[1]BADI SID DATA'!A:B,2,0)</f>
        <v>168</v>
      </c>
      <c r="C747" s="11">
        <v>62397.399999991059</v>
      </c>
      <c r="D747" s="6">
        <v>6.34</v>
      </c>
      <c r="E747" s="23">
        <v>100</v>
      </c>
      <c r="F747" s="23">
        <v>100</v>
      </c>
      <c r="G747" s="16">
        <f>VLOOKUP(A747,'[1]DRDO Kolar Data'!$A:$E,5,0)*1000</f>
        <v>10000</v>
      </c>
      <c r="H747" s="24">
        <f t="shared" si="36"/>
        <v>757251.29999999702</v>
      </c>
      <c r="I747" s="25">
        <f t="shared" si="34"/>
        <v>25.998916666662943</v>
      </c>
      <c r="J747" s="25">
        <f t="shared" si="35"/>
        <v>1.8781034226190401</v>
      </c>
      <c r="K747" s="17" t="s">
        <v>13</v>
      </c>
    </row>
    <row r="748" spans="1:11" ht="15.75" customHeight="1" x14ac:dyDescent="0.2">
      <c r="A748" s="15">
        <v>45551</v>
      </c>
      <c r="B748" s="3">
        <f>VLOOKUP(A748,'[1]BADI SID DATA'!A:B,2,0)</f>
        <v>169</v>
      </c>
      <c r="C748" s="11">
        <v>62397.400000020862</v>
      </c>
      <c r="D748" s="6">
        <v>6.35</v>
      </c>
      <c r="E748" s="23">
        <v>100</v>
      </c>
      <c r="F748" s="23">
        <v>100</v>
      </c>
      <c r="G748" s="16">
        <f>VLOOKUP(A748,'[1]DRDO Kolar Data'!$A:$E,5,0)*1000</f>
        <v>10300</v>
      </c>
      <c r="H748" s="24">
        <f t="shared" si="36"/>
        <v>819648.70000001788</v>
      </c>
      <c r="I748" s="25">
        <f t="shared" si="34"/>
        <v>25.99891666667536</v>
      </c>
      <c r="J748" s="25">
        <f t="shared" si="35"/>
        <v>2.0208301282051724</v>
      </c>
      <c r="K748" s="17" t="s">
        <v>13</v>
      </c>
    </row>
    <row r="749" spans="1:11" ht="15.75" customHeight="1" x14ac:dyDescent="0.2">
      <c r="A749" s="15">
        <v>45552</v>
      </c>
      <c r="B749" s="3">
        <f>VLOOKUP(A749,'[1]BADI SID DATA'!A:B,2,0)</f>
        <v>170</v>
      </c>
      <c r="C749" s="11">
        <v>61103.899999991059</v>
      </c>
      <c r="D749" s="6">
        <v>6.29</v>
      </c>
      <c r="E749" s="23">
        <v>100</v>
      </c>
      <c r="F749" s="23">
        <v>100</v>
      </c>
      <c r="G749" s="16">
        <f>VLOOKUP(A749,'[1]DRDO Kolar Data'!$A:$E,5,0)*1000</f>
        <v>10000</v>
      </c>
      <c r="H749" s="24">
        <f t="shared" si="36"/>
        <v>880752.60000000894</v>
      </c>
      <c r="I749" s="25">
        <f t="shared" si="34"/>
        <v>25.459958333329606</v>
      </c>
      <c r="J749" s="25">
        <f t="shared" si="35"/>
        <v>2.1587073529411986</v>
      </c>
      <c r="K749" s="17" t="s">
        <v>13</v>
      </c>
    </row>
    <row r="750" spans="1:11" ht="15.75" customHeight="1" x14ac:dyDescent="0.2">
      <c r="A750" s="15">
        <v>45553</v>
      </c>
      <c r="B750" s="3">
        <f>VLOOKUP(A750,'[1]BADI SID DATA'!A:B,2,0)</f>
        <v>171</v>
      </c>
      <c r="C750" s="11">
        <v>62398.04999999702</v>
      </c>
      <c r="D750" s="6">
        <v>6.36</v>
      </c>
      <c r="E750" s="23">
        <v>100</v>
      </c>
      <c r="F750" s="23">
        <v>100</v>
      </c>
      <c r="G750" s="16">
        <f>VLOOKUP(A750,'[1]DRDO Kolar Data'!$A:$E,5,0)*1000</f>
        <v>10100</v>
      </c>
      <c r="H750" s="24">
        <f t="shared" si="36"/>
        <v>943150.65000000596</v>
      </c>
      <c r="I750" s="25">
        <f t="shared" si="34"/>
        <v>25.999187499998762</v>
      </c>
      <c r="J750" s="25">
        <f t="shared" si="35"/>
        <v>2.2981253654970906</v>
      </c>
      <c r="K750" s="17" t="s">
        <v>13</v>
      </c>
    </row>
    <row r="751" spans="1:11" ht="15.75" customHeight="1" x14ac:dyDescent="0.2">
      <c r="A751" s="15">
        <v>45554</v>
      </c>
      <c r="B751" s="3">
        <f>VLOOKUP(A751,'[1]BADI SID DATA'!A:B,2,0)</f>
        <v>172</v>
      </c>
      <c r="C751" s="11">
        <v>53946.75</v>
      </c>
      <c r="D751" s="6">
        <v>5.58</v>
      </c>
      <c r="E751" s="23">
        <v>100</v>
      </c>
      <c r="F751" s="23">
        <v>90.138888888888886</v>
      </c>
      <c r="G751" s="16">
        <f>VLOOKUP(A751,'[1]DRDO Kolar Data'!$A:$E,5,0)*1000</f>
        <v>10200</v>
      </c>
      <c r="H751" s="24">
        <f t="shared" si="36"/>
        <v>997097.40000000596</v>
      </c>
      <c r="I751" s="25">
        <f t="shared" si="34"/>
        <v>22.477812499999999</v>
      </c>
      <c r="J751" s="25">
        <f t="shared" si="35"/>
        <v>2.4154491279069914</v>
      </c>
      <c r="K751" s="17" t="s">
        <v>11</v>
      </c>
    </row>
    <row r="752" spans="1:11" ht="15.75" customHeight="1" x14ac:dyDescent="0.2">
      <c r="A752" s="15">
        <v>45555</v>
      </c>
      <c r="B752" s="3">
        <f>VLOOKUP(A752,'[1]BADI SID DATA'!A:B,2,0)</f>
        <v>173</v>
      </c>
      <c r="C752" s="11">
        <v>43553.25</v>
      </c>
      <c r="D752" s="6">
        <v>4.3</v>
      </c>
      <c r="E752" s="23">
        <v>100</v>
      </c>
      <c r="F752" s="23">
        <v>100</v>
      </c>
      <c r="G752" s="16">
        <f>VLOOKUP(A752,'[1]DRDO Kolar Data'!$A:$E,5,0)*1000</f>
        <v>10500</v>
      </c>
      <c r="H752" s="24">
        <f t="shared" si="36"/>
        <v>1040650.650000006</v>
      </c>
      <c r="I752" s="25">
        <f t="shared" si="34"/>
        <v>18.147187500000001</v>
      </c>
      <c r="J752" s="25">
        <f t="shared" si="35"/>
        <v>2.5063840317919217</v>
      </c>
      <c r="K752" s="17" t="s">
        <v>11</v>
      </c>
    </row>
    <row r="753" spans="1:11" ht="15.75" customHeight="1" x14ac:dyDescent="0.2">
      <c r="A753" s="15">
        <v>45556</v>
      </c>
      <c r="B753" s="3">
        <f>VLOOKUP(A753,'[1]BADI SID DATA'!A:B,2,0)</f>
        <v>174</v>
      </c>
      <c r="C753" s="11">
        <v>48099.34999999404</v>
      </c>
      <c r="D753" s="6">
        <v>4.68</v>
      </c>
      <c r="E753" s="23">
        <v>100</v>
      </c>
      <c r="F753" s="23">
        <v>93.75</v>
      </c>
      <c r="G753" s="16">
        <f>VLOOKUP(A753,'[1]DRDO Kolar Data'!$A:$E,5,0)*1000</f>
        <v>10700</v>
      </c>
      <c r="H753" s="24">
        <f t="shared" si="36"/>
        <v>1088750</v>
      </c>
      <c r="I753" s="25">
        <f t="shared" si="34"/>
        <v>20.041395833330849</v>
      </c>
      <c r="J753" s="25">
        <f t="shared" si="35"/>
        <v>2.6071599616858241</v>
      </c>
      <c r="K753" s="17" t="s">
        <v>11</v>
      </c>
    </row>
    <row r="754" spans="1:11" ht="15.75" customHeight="1" x14ac:dyDescent="0.2">
      <c r="A754" s="15">
        <v>45557</v>
      </c>
      <c r="B754" s="3">
        <f>VLOOKUP(A754,'[1]BADI SID DATA'!A:B,2,0)</f>
        <v>175</v>
      </c>
      <c r="C754" s="11">
        <v>53303.90000000596</v>
      </c>
      <c r="D754" s="6">
        <v>5.23</v>
      </c>
      <c r="E754" s="23">
        <v>100</v>
      </c>
      <c r="F754" s="23">
        <v>100</v>
      </c>
      <c r="G754" s="16">
        <f>VLOOKUP(A754,'[1]DRDO Kolar Data'!$A:$E,5,0)*1000</f>
        <v>10900</v>
      </c>
      <c r="H754" s="24">
        <f t="shared" si="36"/>
        <v>1142053.900000006</v>
      </c>
      <c r="I754" s="25">
        <f t="shared" si="34"/>
        <v>22.209958333335816</v>
      </c>
      <c r="J754" s="25">
        <f t="shared" si="35"/>
        <v>2.7191759523809664</v>
      </c>
      <c r="K754" s="17" t="s">
        <v>11</v>
      </c>
    </row>
    <row r="755" spans="1:11" ht="15.75" customHeight="1" x14ac:dyDescent="0.2">
      <c r="A755" s="15">
        <v>45558</v>
      </c>
      <c r="B755" s="3">
        <f>VLOOKUP(A755,'[1]BADI SID DATA'!A:B,2,0)</f>
        <v>176</v>
      </c>
      <c r="C755" s="11">
        <v>48099.34999999404</v>
      </c>
      <c r="D755" s="6">
        <v>4.66</v>
      </c>
      <c r="E755" s="23">
        <v>100</v>
      </c>
      <c r="F755" s="23">
        <v>95.833333333333343</v>
      </c>
      <c r="G755" s="16">
        <f>VLOOKUP(A755,'[1]DRDO Kolar Data'!$A:$E,5,0)*1000</f>
        <v>10000</v>
      </c>
      <c r="H755" s="24">
        <f t="shared" si="36"/>
        <v>1190153.25</v>
      </c>
      <c r="I755" s="25">
        <f t="shared" si="34"/>
        <v>20.041395833330849</v>
      </c>
      <c r="J755" s="25">
        <f t="shared" si="35"/>
        <v>2.8175976562499998</v>
      </c>
      <c r="K755" s="17" t="s">
        <v>11</v>
      </c>
    </row>
    <row r="756" spans="1:11" ht="15.75" customHeight="1" x14ac:dyDescent="0.2">
      <c r="A756" s="15">
        <v>45559</v>
      </c>
      <c r="B756" s="3">
        <f>VLOOKUP(A756,'[1]BADI SID DATA'!A:B,2,0)</f>
        <v>177</v>
      </c>
      <c r="C756" s="11">
        <v>42894.800000011921</v>
      </c>
      <c r="D756" s="6">
        <v>4.17</v>
      </c>
      <c r="E756" s="23">
        <v>100</v>
      </c>
      <c r="F756" s="23">
        <v>90.555555555555557</v>
      </c>
      <c r="G756" s="16">
        <f>VLOOKUP(A756,'[1]DRDO Kolar Data'!$A:$E,5,0)*1000</f>
        <v>10500</v>
      </c>
      <c r="H756" s="24">
        <f t="shared" si="36"/>
        <v>1233048.0500000119</v>
      </c>
      <c r="I756" s="25">
        <f t="shared" si="34"/>
        <v>17.872833333338299</v>
      </c>
      <c r="J756" s="25">
        <f t="shared" si="35"/>
        <v>2.9026554849341144</v>
      </c>
      <c r="K756" s="17" t="s">
        <v>11</v>
      </c>
    </row>
    <row r="757" spans="1:11" ht="15.75" customHeight="1" x14ac:dyDescent="0.2">
      <c r="A757" s="15">
        <v>45560</v>
      </c>
      <c r="B757" s="3">
        <f>VLOOKUP(A757,'[1]BADI SID DATA'!A:B,2,0)</f>
        <v>178</v>
      </c>
      <c r="C757" s="11">
        <v>45504.549999982119</v>
      </c>
      <c r="D757" s="6">
        <v>4.3099999999999996</v>
      </c>
      <c r="E757" s="23">
        <v>100</v>
      </c>
      <c r="F757" s="23">
        <v>100</v>
      </c>
      <c r="G757" s="16">
        <f>VLOOKUP(A757,'[1]DRDO Kolar Data'!$A:$E,5,0)*1000</f>
        <v>10400</v>
      </c>
      <c r="H757" s="24">
        <f t="shared" si="36"/>
        <v>1278552.599999994</v>
      </c>
      <c r="I757" s="25">
        <f t="shared" si="34"/>
        <v>18.960229166659214</v>
      </c>
      <c r="J757" s="25">
        <f t="shared" si="35"/>
        <v>2.9928665730336941</v>
      </c>
      <c r="K757" s="17" t="s">
        <v>11</v>
      </c>
    </row>
    <row r="758" spans="1:11" ht="15.75" customHeight="1" x14ac:dyDescent="0.2">
      <c r="A758" s="15">
        <v>45561</v>
      </c>
      <c r="B758" s="3">
        <f>VLOOKUP(A758,'[1]BADI SID DATA'!A:B,2,0)</f>
        <v>179</v>
      </c>
      <c r="C758" s="11">
        <v>35094.800000011921</v>
      </c>
      <c r="D758" s="7">
        <v>3.13</v>
      </c>
      <c r="E758" s="23">
        <v>100</v>
      </c>
      <c r="F758" s="23">
        <v>90.208333333333329</v>
      </c>
      <c r="G758" s="16">
        <f>VLOOKUP(A758,'[1]DRDO Kolar Data'!$A:$E,5,0)*1000</f>
        <v>9900</v>
      </c>
      <c r="H758" s="24">
        <f t="shared" si="36"/>
        <v>1313647.400000006</v>
      </c>
      <c r="I758" s="25">
        <f t="shared" si="34"/>
        <v>14.622833333338301</v>
      </c>
      <c r="J758" s="25">
        <f t="shared" si="35"/>
        <v>3.0578384543761779</v>
      </c>
      <c r="K758" s="17" t="s">
        <v>10</v>
      </c>
    </row>
    <row r="759" spans="1:11" ht="15.75" customHeight="1" x14ac:dyDescent="0.2">
      <c r="A759" s="15">
        <v>45562</v>
      </c>
      <c r="B759" s="3">
        <f>VLOOKUP(A759,'[1]BADI SID DATA'!A:B,2,0)</f>
        <v>180</v>
      </c>
      <c r="C759" s="11">
        <v>43552.600000008941</v>
      </c>
      <c r="D759" s="6">
        <v>4.2300000000000004</v>
      </c>
      <c r="E759" s="23">
        <v>100</v>
      </c>
      <c r="F759" s="23">
        <v>97.916666666666657</v>
      </c>
      <c r="G759" s="16">
        <f>VLOOKUP(A759,'[1]DRDO Kolar Data'!$A:$E,5,0)*1000</f>
        <v>9700</v>
      </c>
      <c r="H759" s="24">
        <f t="shared" si="36"/>
        <v>1357200.0000000149</v>
      </c>
      <c r="I759" s="25">
        <f t="shared" si="34"/>
        <v>18.146916666670393</v>
      </c>
      <c r="J759" s="25">
        <f t="shared" si="35"/>
        <v>3.1416666666667008</v>
      </c>
      <c r="K759" s="17" t="s">
        <v>10</v>
      </c>
    </row>
    <row r="760" spans="1:11" ht="15.75" customHeight="1" x14ac:dyDescent="0.2">
      <c r="A760" s="15">
        <v>45563</v>
      </c>
      <c r="B760" s="3">
        <f>VLOOKUP(A760,'[1]BADI SID DATA'!A:B,2,0)</f>
        <v>181</v>
      </c>
      <c r="C760" s="11">
        <v>40299.999999985099</v>
      </c>
      <c r="D760" s="7">
        <v>3.82</v>
      </c>
      <c r="E760" s="23">
        <v>100</v>
      </c>
      <c r="F760" s="23">
        <v>89.583333333333343</v>
      </c>
      <c r="G760" s="16">
        <f>VLOOKUP(A760,'[1]DRDO Kolar Data'!$A:$E,5,0)*1000</f>
        <v>9900</v>
      </c>
      <c r="H760" s="24">
        <f t="shared" si="36"/>
        <v>1397500</v>
      </c>
      <c r="I760" s="25">
        <f t="shared" si="34"/>
        <v>16.791666666660458</v>
      </c>
      <c r="J760" s="25">
        <f t="shared" si="35"/>
        <v>3.2170810313075506</v>
      </c>
      <c r="K760" s="17" t="s">
        <v>10</v>
      </c>
    </row>
    <row r="761" spans="1:11" ht="15.75" customHeight="1" x14ac:dyDescent="0.2">
      <c r="A761" s="15">
        <v>45564</v>
      </c>
      <c r="B761" s="3">
        <f>VLOOKUP(A761,'[1]BADI SID DATA'!A:B,2,0)</f>
        <v>182</v>
      </c>
      <c r="C761" s="11">
        <v>59151.95000000298</v>
      </c>
      <c r="D761" s="6">
        <v>6.15</v>
      </c>
      <c r="E761" s="23">
        <v>100</v>
      </c>
      <c r="F761" s="23">
        <v>74.513888888888886</v>
      </c>
      <c r="G761" s="16">
        <f>VLOOKUP(A761,'[1]DRDO Kolar Data'!$A:$E,5,0)*1000</f>
        <v>10900</v>
      </c>
      <c r="H761" s="24">
        <f t="shared" si="36"/>
        <v>1456651.950000003</v>
      </c>
      <c r="I761" s="25">
        <f t="shared" si="34"/>
        <v>24.646645833334574</v>
      </c>
      <c r="J761" s="25">
        <f t="shared" si="35"/>
        <v>3.3348258928571495</v>
      </c>
      <c r="K761" s="17" t="s">
        <v>13</v>
      </c>
    </row>
    <row r="762" spans="1:11" ht="15.75" customHeight="1" x14ac:dyDescent="0.2">
      <c r="A762" s="15">
        <v>45565</v>
      </c>
      <c r="B762" s="3">
        <f>VLOOKUP(A762,'[1]BADI SID DATA'!A:B,2,0)</f>
        <v>183</v>
      </c>
      <c r="C762" s="11">
        <v>57850.65000000596</v>
      </c>
      <c r="D762" s="6">
        <v>6.28</v>
      </c>
      <c r="E762" s="23">
        <v>100</v>
      </c>
      <c r="F762" s="23">
        <v>100</v>
      </c>
      <c r="G762" s="16">
        <f>VLOOKUP(A762,'[1]DRDO Kolar Data'!$A:$E,5,0)*1000</f>
        <v>10200</v>
      </c>
      <c r="H762" s="24">
        <f t="shared" si="36"/>
        <v>1514502.6000000089</v>
      </c>
      <c r="I762" s="25">
        <f t="shared" si="34"/>
        <v>24.104437500002483</v>
      </c>
      <c r="J762" s="25">
        <f t="shared" si="35"/>
        <v>3.4483210382513869</v>
      </c>
      <c r="K762" s="17" t="s">
        <v>13</v>
      </c>
    </row>
    <row r="763" spans="1:11" ht="15.75" customHeight="1" x14ac:dyDescent="0.2">
      <c r="A763" s="15">
        <v>45566</v>
      </c>
      <c r="B763" s="3">
        <f>VLOOKUP(A763,'[1]BADI SID DATA'!A:B,2,0)</f>
        <v>184</v>
      </c>
      <c r="C763" s="11">
        <v>55248.699999988079</v>
      </c>
      <c r="D763" s="8">
        <v>5.94</v>
      </c>
      <c r="E763" s="23">
        <v>100</v>
      </c>
      <c r="F763" s="23">
        <v>100</v>
      </c>
      <c r="G763" s="16">
        <f>VLOOKUP(A763,'[1]DRDO Kolar Data'!$A:$E,5,0)*1000</f>
        <v>10500</v>
      </c>
      <c r="H763" s="24">
        <f t="shared" si="36"/>
        <v>1569751.299999997</v>
      </c>
      <c r="I763" s="25">
        <f t="shared" si="34"/>
        <v>23.020291666661699</v>
      </c>
      <c r="J763" s="25">
        <f t="shared" si="35"/>
        <v>3.5546904438405731</v>
      </c>
      <c r="K763" s="17" t="s">
        <v>11</v>
      </c>
    </row>
    <row r="764" spans="1:11" ht="15.75" customHeight="1" x14ac:dyDescent="0.2">
      <c r="A764" s="15">
        <v>45567</v>
      </c>
      <c r="B764" s="3">
        <f>VLOOKUP(A764,'[1]BADI SID DATA'!A:B,2,0)</f>
        <v>185</v>
      </c>
      <c r="C764" s="11">
        <v>46798.050000011921</v>
      </c>
      <c r="D764" s="8">
        <v>4.82</v>
      </c>
      <c r="E764" s="23">
        <v>100</v>
      </c>
      <c r="F764" s="23">
        <v>100</v>
      </c>
      <c r="G764" s="16">
        <f>VLOOKUP(A764,'[1]DRDO Kolar Data'!$A:$E,5,0)*1000</f>
        <v>10800</v>
      </c>
      <c r="H764" s="24">
        <f t="shared" si="36"/>
        <v>1616549.3500000089</v>
      </c>
      <c r="I764" s="25">
        <f t="shared" si="34"/>
        <v>19.499187500004965</v>
      </c>
      <c r="J764" s="25">
        <f t="shared" si="35"/>
        <v>3.6408769144144344</v>
      </c>
      <c r="K764" s="17" t="s">
        <v>11</v>
      </c>
    </row>
    <row r="765" spans="1:11" ht="15.75" customHeight="1" x14ac:dyDescent="0.2">
      <c r="A765" s="15">
        <v>45568</v>
      </c>
      <c r="B765" s="3">
        <f>VLOOKUP(A765,'[1]BADI SID DATA'!A:B,2,0)</f>
        <v>186</v>
      </c>
      <c r="C765" s="11">
        <v>48099.350000008941</v>
      </c>
      <c r="D765" s="5">
        <v>4.82</v>
      </c>
      <c r="E765" s="23">
        <v>100</v>
      </c>
      <c r="F765" s="23">
        <v>100</v>
      </c>
      <c r="G765" s="16">
        <f>VLOOKUP(A765,'[1]DRDO Kolar Data'!$A:$E,5,0)*1000</f>
        <v>9200</v>
      </c>
      <c r="H765" s="24">
        <f t="shared" si="36"/>
        <v>1664648.7000000179</v>
      </c>
      <c r="I765" s="25">
        <f t="shared" si="34"/>
        <v>20.041395833337059</v>
      </c>
      <c r="J765" s="25">
        <f t="shared" si="35"/>
        <v>3.7290517473118676</v>
      </c>
      <c r="K765" s="17" t="s">
        <v>11</v>
      </c>
    </row>
    <row r="766" spans="1:11" ht="15.75" customHeight="1" x14ac:dyDescent="0.2">
      <c r="A766" s="15">
        <v>45569</v>
      </c>
      <c r="B766" s="3">
        <f>VLOOKUP(A766,'[1]BADI SID DATA'!A:B,2,0)</f>
        <v>187</v>
      </c>
      <c r="C766" s="11">
        <v>30548.049999982119</v>
      </c>
      <c r="D766" s="8">
        <v>2.91</v>
      </c>
      <c r="E766" s="23">
        <v>100</v>
      </c>
      <c r="F766" s="23">
        <v>100</v>
      </c>
      <c r="G766" s="16">
        <f>VLOOKUP(A766,'[1]DRDO Kolar Data'!$A:$E,5,0)*1000</f>
        <v>10500</v>
      </c>
      <c r="H766" s="24">
        <f t="shared" si="36"/>
        <v>1695196.75</v>
      </c>
      <c r="I766" s="25">
        <f t="shared" si="34"/>
        <v>12.728354166659217</v>
      </c>
      <c r="J766" s="25">
        <f t="shared" si="35"/>
        <v>3.7771763591800358</v>
      </c>
      <c r="K766" s="17" t="s">
        <v>10</v>
      </c>
    </row>
    <row r="767" spans="1:11" ht="15.75" customHeight="1" x14ac:dyDescent="0.2">
      <c r="A767" s="15">
        <v>45570</v>
      </c>
      <c r="B767" s="3">
        <f>VLOOKUP(A767,'[1]BADI SID DATA'!A:B,2,0)</f>
        <v>188</v>
      </c>
      <c r="C767" s="11">
        <v>44853.90000000596</v>
      </c>
      <c r="D767" s="8">
        <v>4.3099999999999996</v>
      </c>
      <c r="E767" s="23">
        <v>100</v>
      </c>
      <c r="F767" s="23">
        <v>100</v>
      </c>
      <c r="G767" s="16">
        <f>VLOOKUP(A767,'[1]DRDO Kolar Data'!$A:$E,5,0)*1000</f>
        <v>10000</v>
      </c>
      <c r="H767" s="24">
        <f t="shared" si="36"/>
        <v>1740050.650000006</v>
      </c>
      <c r="I767" s="25">
        <f t="shared" si="34"/>
        <v>18.689125000002484</v>
      </c>
      <c r="J767" s="25">
        <f t="shared" si="35"/>
        <v>3.8564952349290915</v>
      </c>
      <c r="K767" s="17" t="s">
        <v>10</v>
      </c>
    </row>
    <row r="768" spans="1:11" ht="15.75" customHeight="1" x14ac:dyDescent="0.2">
      <c r="A768" s="15">
        <v>45571</v>
      </c>
      <c r="B768" s="3">
        <f>VLOOKUP(A768,'[1]BADI SID DATA'!A:B,2,0)</f>
        <v>189</v>
      </c>
      <c r="C768" s="11">
        <v>52003.25</v>
      </c>
      <c r="D768" s="5">
        <v>5.25</v>
      </c>
      <c r="E768" s="23">
        <v>100</v>
      </c>
      <c r="F768" s="23">
        <v>100</v>
      </c>
      <c r="G768" s="16">
        <f>VLOOKUP(A768,'[1]DRDO Kolar Data'!$A:$E,5,0)*1000</f>
        <v>10600</v>
      </c>
      <c r="H768" s="24">
        <f t="shared" si="36"/>
        <v>1792053.900000006</v>
      </c>
      <c r="I768" s="25">
        <f t="shared" si="34"/>
        <v>21.668020833333333</v>
      </c>
      <c r="J768" s="25">
        <f t="shared" si="35"/>
        <v>3.9507361111111243</v>
      </c>
      <c r="K768" s="17" t="s">
        <v>11</v>
      </c>
    </row>
    <row r="769" spans="1:11" ht="15.75" customHeight="1" x14ac:dyDescent="0.2">
      <c r="A769" s="15">
        <v>45572</v>
      </c>
      <c r="B769" s="3">
        <f>VLOOKUP(A769,'[1]BADI SID DATA'!A:B,2,0)</f>
        <v>190</v>
      </c>
      <c r="C769" s="11">
        <v>47448.70000000298</v>
      </c>
      <c r="D769" s="5">
        <v>4.6500000000000004</v>
      </c>
      <c r="E769" s="23">
        <v>100</v>
      </c>
      <c r="F769" s="23">
        <v>75</v>
      </c>
      <c r="G769" s="16">
        <f>VLOOKUP(A769,'[1]DRDO Kolar Data'!$A:$E,5,0)*1000</f>
        <v>10100</v>
      </c>
      <c r="H769" s="24">
        <f t="shared" si="36"/>
        <v>1839502.6000000089</v>
      </c>
      <c r="I769" s="25">
        <f t="shared" si="34"/>
        <v>19.770291666667909</v>
      </c>
      <c r="J769" s="25">
        <f t="shared" si="35"/>
        <v>4.033996929824581</v>
      </c>
      <c r="K769" s="17" t="s">
        <v>10</v>
      </c>
    </row>
    <row r="770" spans="1:11" ht="15.75" customHeight="1" x14ac:dyDescent="0.2">
      <c r="A770" s="15">
        <v>45573</v>
      </c>
      <c r="B770" s="3">
        <f>VLOOKUP(A770,'[1]BADI SID DATA'!A:B,2,0)</f>
        <v>191</v>
      </c>
      <c r="C770" s="11">
        <v>50694.149999991059</v>
      </c>
      <c r="D770" s="8">
        <f>9.83-D769</f>
        <v>5.18</v>
      </c>
      <c r="E770" s="23">
        <v>100</v>
      </c>
      <c r="F770" s="23">
        <v>74.166666666666671</v>
      </c>
      <c r="G770" s="16">
        <f>VLOOKUP(A770,'[1]DRDO Kolar Data'!$A:$E,5,0)*1000</f>
        <v>10300</v>
      </c>
      <c r="H770" s="24">
        <f t="shared" si="36"/>
        <v>1890196.75</v>
      </c>
      <c r="I770" s="25">
        <f t="shared" si="34"/>
        <v>21.122562499996274</v>
      </c>
      <c r="J770" s="25">
        <f t="shared" si="35"/>
        <v>4.1234658595113434</v>
      </c>
      <c r="K770" s="17" t="s">
        <v>11</v>
      </c>
    </row>
    <row r="771" spans="1:11" ht="15.75" customHeight="1" x14ac:dyDescent="0.2">
      <c r="A771" s="15">
        <v>45574</v>
      </c>
      <c r="B771" s="3">
        <f>VLOOKUP(A771,'[1]BADI SID DATA'!A:B,2,0)</f>
        <v>192</v>
      </c>
      <c r="C771" s="11">
        <v>49400.65000000596</v>
      </c>
      <c r="D771" s="5">
        <v>4.99</v>
      </c>
      <c r="E771" s="23">
        <v>100</v>
      </c>
      <c r="F771" s="23">
        <v>100</v>
      </c>
      <c r="G771" s="16">
        <f>VLOOKUP(A771,'[1]DRDO Kolar Data'!$A:$E,5,0)*1000</f>
        <v>10200</v>
      </c>
      <c r="H771" s="24">
        <f t="shared" si="36"/>
        <v>1939597.400000006</v>
      </c>
      <c r="I771" s="25">
        <f t="shared" ref="I771:I834" si="37">(C771/(10*24*1000))*100</f>
        <v>20.583604166669151</v>
      </c>
      <c r="J771" s="25">
        <f t="shared" ref="J771:J834" si="38">(H771/(24*B771*10*1000))*100</f>
        <v>4.2091957465277909</v>
      </c>
      <c r="K771" s="17" t="s">
        <v>11</v>
      </c>
    </row>
    <row r="772" spans="1:11" ht="15.75" customHeight="1" x14ac:dyDescent="0.2">
      <c r="A772" s="15">
        <v>45575</v>
      </c>
      <c r="B772" s="3">
        <f>VLOOKUP(A772,'[1]BADI SID DATA'!A:B,2,0)</f>
        <v>193</v>
      </c>
      <c r="C772" s="11">
        <v>50051.300000011921</v>
      </c>
      <c r="D772" s="6">
        <v>4.9000000000000004</v>
      </c>
      <c r="E772" s="23">
        <v>100</v>
      </c>
      <c r="F772" s="23">
        <v>100</v>
      </c>
      <c r="G772" s="16">
        <f>VLOOKUP(A772,'[1]DRDO Kolar Data'!$A:$E,5,0)*1000</f>
        <v>10600</v>
      </c>
      <c r="H772" s="24">
        <f t="shared" si="36"/>
        <v>1989648.7000000179</v>
      </c>
      <c r="I772" s="25">
        <f t="shared" si="37"/>
        <v>20.854708333338301</v>
      </c>
      <c r="J772" s="25">
        <f t="shared" si="38"/>
        <v>4.295441925734063</v>
      </c>
      <c r="K772" s="17" t="s">
        <v>11</v>
      </c>
    </row>
    <row r="773" spans="1:11" ht="15.75" customHeight="1" x14ac:dyDescent="0.2">
      <c r="A773" s="15">
        <v>45576</v>
      </c>
      <c r="B773" s="3">
        <f>VLOOKUP(A773,'[1]BADI SID DATA'!A:B,2,0)</f>
        <v>194</v>
      </c>
      <c r="C773" s="11">
        <v>37705.199999988079</v>
      </c>
      <c r="D773" s="6">
        <v>3.57</v>
      </c>
      <c r="E773" s="23">
        <v>100</v>
      </c>
      <c r="F773" s="23">
        <v>100</v>
      </c>
      <c r="G773" s="16">
        <f>VLOOKUP(A773,'[1]DRDO Kolar Data'!$A:$E,5,0)*1000</f>
        <v>10300</v>
      </c>
      <c r="H773" s="24">
        <f t="shared" ref="H773:H836" si="39">C773+H772</f>
        <v>2027353.900000006</v>
      </c>
      <c r="I773" s="25">
        <f t="shared" si="37"/>
        <v>15.710499999995035</v>
      </c>
      <c r="J773" s="25">
        <f t="shared" si="38"/>
        <v>4.3542824312714901</v>
      </c>
      <c r="K773" s="17" t="s">
        <v>10</v>
      </c>
    </row>
    <row r="774" spans="1:11" ht="15.75" customHeight="1" x14ac:dyDescent="0.2">
      <c r="A774" s="15">
        <v>45577</v>
      </c>
      <c r="B774" s="3">
        <f>VLOOKUP(A774,'[1]BADI SID DATA'!A:B,2,0)</f>
        <v>195</v>
      </c>
      <c r="C774" s="11">
        <v>43544.800000011921</v>
      </c>
      <c r="D774" s="6">
        <v>4.28</v>
      </c>
      <c r="E774" s="23">
        <v>100</v>
      </c>
      <c r="F774" s="23">
        <v>100</v>
      </c>
      <c r="G774" s="16">
        <f>VLOOKUP(A774,'[1]DRDO Kolar Data'!$A:$E,5,0)*1000</f>
        <v>11000</v>
      </c>
      <c r="H774" s="24">
        <f t="shared" si="39"/>
        <v>2070898.7000000179</v>
      </c>
      <c r="I774" s="25">
        <f t="shared" si="37"/>
        <v>18.143666666671635</v>
      </c>
      <c r="J774" s="25">
        <f t="shared" si="38"/>
        <v>4.4249972222222604</v>
      </c>
      <c r="K774" s="17" t="s">
        <v>11</v>
      </c>
    </row>
    <row r="775" spans="1:11" ht="15.75" customHeight="1" x14ac:dyDescent="0.2">
      <c r="A775" s="15">
        <v>45578</v>
      </c>
      <c r="B775" s="3">
        <f>VLOOKUP(A775,'[1]BADI SID DATA'!A:B,2,0)</f>
        <v>196</v>
      </c>
      <c r="C775" s="11">
        <v>39649.34999999404</v>
      </c>
      <c r="D775" s="6">
        <v>3.95</v>
      </c>
      <c r="E775" s="23">
        <v>100</v>
      </c>
      <c r="F775" s="23">
        <v>100</v>
      </c>
      <c r="G775" s="16">
        <f>VLOOKUP(A775,'[1]DRDO Kolar Data'!$A:$E,5,0)*1000</f>
        <v>6900</v>
      </c>
      <c r="H775" s="24">
        <f t="shared" si="39"/>
        <v>2110548.0500000119</v>
      </c>
      <c r="I775" s="25">
        <f t="shared" si="37"/>
        <v>16.520562499997517</v>
      </c>
      <c r="J775" s="25">
        <f t="shared" si="38"/>
        <v>4.4867092899660115</v>
      </c>
      <c r="K775" s="17" t="s">
        <v>10</v>
      </c>
    </row>
    <row r="776" spans="1:11" ht="15.75" customHeight="1" x14ac:dyDescent="0.2">
      <c r="A776" s="15">
        <v>45579</v>
      </c>
      <c r="B776" s="3">
        <f>VLOOKUP(A776,'[1]BADI SID DATA'!A:B,2,0)</f>
        <v>197</v>
      </c>
      <c r="C776" s="11">
        <v>21454.54999999702</v>
      </c>
      <c r="D776" s="6">
        <v>1.68</v>
      </c>
      <c r="E776" s="23">
        <v>100</v>
      </c>
      <c r="F776" s="23">
        <v>100</v>
      </c>
      <c r="G776" s="16">
        <f>VLOOKUP(A776,'[1]DRDO Kolar Data'!$A:$E,5,0)*1000</f>
        <v>4200</v>
      </c>
      <c r="H776" s="24">
        <f t="shared" si="39"/>
        <v>2132002.6000000089</v>
      </c>
      <c r="I776" s="25">
        <f t="shared" si="37"/>
        <v>8.9393958333320924</v>
      </c>
      <c r="J776" s="25">
        <f t="shared" si="38"/>
        <v>4.5093117597292913</v>
      </c>
      <c r="K776" s="17" t="s">
        <v>31</v>
      </c>
    </row>
    <row r="777" spans="1:11" ht="15.75" customHeight="1" x14ac:dyDescent="0.2">
      <c r="A777" s="15">
        <v>45580</v>
      </c>
      <c r="B777" s="3">
        <f>VLOOKUP(A777,'[1]BADI SID DATA'!A:B,2,0)</f>
        <v>198</v>
      </c>
      <c r="C777" s="11">
        <v>13648.04999999702</v>
      </c>
      <c r="D777" s="6">
        <v>0.99</v>
      </c>
      <c r="E777" s="23">
        <v>100</v>
      </c>
      <c r="F777" s="23">
        <v>100</v>
      </c>
      <c r="G777" s="16">
        <f>VLOOKUP(A777,'[1]DRDO Kolar Data'!$A:$E,5,0)*1000</f>
        <v>3200</v>
      </c>
      <c r="H777" s="24">
        <f t="shared" si="39"/>
        <v>2145650.650000006</v>
      </c>
      <c r="I777" s="25">
        <f t="shared" si="37"/>
        <v>5.686687499998758</v>
      </c>
      <c r="J777" s="25">
        <f t="shared" si="38"/>
        <v>4.515258101851864</v>
      </c>
      <c r="K777" s="17" t="s">
        <v>31</v>
      </c>
    </row>
    <row r="778" spans="1:11" ht="15.75" customHeight="1" x14ac:dyDescent="0.2">
      <c r="A778" s="15">
        <v>45581</v>
      </c>
      <c r="B778" s="3">
        <f>VLOOKUP(A778,'[1]BADI SID DATA'!A:B,2,0)</f>
        <v>199</v>
      </c>
      <c r="C778" s="11">
        <v>16250</v>
      </c>
      <c r="D778" s="6">
        <v>1.29</v>
      </c>
      <c r="E778" s="23">
        <v>100</v>
      </c>
      <c r="F778" s="23">
        <v>100</v>
      </c>
      <c r="G778" s="16">
        <f>VLOOKUP(A778,'[1]DRDO Kolar Data'!$A:$E,5,0)*1000</f>
        <v>5100</v>
      </c>
      <c r="H778" s="24">
        <f t="shared" si="39"/>
        <v>2161900.650000006</v>
      </c>
      <c r="I778" s="25">
        <f t="shared" si="37"/>
        <v>6.770833333333333</v>
      </c>
      <c r="J778" s="25">
        <f t="shared" si="38"/>
        <v>4.5265926507537815</v>
      </c>
      <c r="K778" s="17" t="s">
        <v>31</v>
      </c>
    </row>
    <row r="779" spans="1:11" ht="15.75" customHeight="1" x14ac:dyDescent="0.2">
      <c r="A779" s="15">
        <v>45582</v>
      </c>
      <c r="B779" s="3">
        <f>VLOOKUP(A779,'[1]BADI SID DATA'!A:B,2,0)</f>
        <v>200</v>
      </c>
      <c r="C779" s="11">
        <v>30548.04999999702</v>
      </c>
      <c r="D779" s="6">
        <f>3.95-D778</f>
        <v>2.66</v>
      </c>
      <c r="E779" s="23">
        <v>100</v>
      </c>
      <c r="F779" s="23">
        <v>100</v>
      </c>
      <c r="G779" s="16">
        <f>VLOOKUP(A779,'[1]DRDO Kolar Data'!$A:$E,5,0)*1000</f>
        <v>10500</v>
      </c>
      <c r="H779" s="24">
        <f t="shared" si="39"/>
        <v>2192448.700000003</v>
      </c>
      <c r="I779" s="25">
        <f t="shared" si="37"/>
        <v>12.728354166665426</v>
      </c>
      <c r="J779" s="25">
        <f t="shared" si="38"/>
        <v>4.56760145833334</v>
      </c>
      <c r="K779" s="17" t="s">
        <v>10</v>
      </c>
    </row>
    <row r="780" spans="1:11" ht="15.75" customHeight="1" x14ac:dyDescent="0.2">
      <c r="A780" s="15">
        <v>45583</v>
      </c>
      <c r="B780" s="3">
        <f>VLOOKUP(A780,'[1]BADI SID DATA'!A:B,2,0)</f>
        <v>201</v>
      </c>
      <c r="C780" s="11">
        <v>37053.90000000596</v>
      </c>
      <c r="D780" s="6">
        <v>3.36</v>
      </c>
      <c r="E780" s="23">
        <v>100</v>
      </c>
      <c r="F780" s="23">
        <v>87.5</v>
      </c>
      <c r="G780" s="16">
        <f>VLOOKUP(A780,'[1]DRDO Kolar Data'!$A:$E,5,0)*1000</f>
        <v>10900</v>
      </c>
      <c r="H780" s="24">
        <f t="shared" si="39"/>
        <v>2229502.6000000089</v>
      </c>
      <c r="I780" s="25">
        <f t="shared" si="37"/>
        <v>15.439125000002484</v>
      </c>
      <c r="J780" s="25">
        <f t="shared" si="38"/>
        <v>4.6216886401326889</v>
      </c>
      <c r="K780" s="17" t="s">
        <v>10</v>
      </c>
    </row>
    <row r="781" spans="1:11" ht="15.75" customHeight="1" x14ac:dyDescent="0.2">
      <c r="A781" s="15">
        <v>45584</v>
      </c>
      <c r="B781" s="3">
        <f>VLOOKUP(A781,'[1]BADI SID DATA'!A:B,2,0)</f>
        <v>202</v>
      </c>
      <c r="C781" s="11">
        <v>36396.100000008941</v>
      </c>
      <c r="D781" s="6">
        <v>3.48</v>
      </c>
      <c r="E781" s="23">
        <v>100</v>
      </c>
      <c r="F781" s="23">
        <v>83.888888888888886</v>
      </c>
      <c r="G781" s="16">
        <f>VLOOKUP(A781,'[1]DRDO Kolar Data'!$A:$E,5,0)*1000</f>
        <v>10700</v>
      </c>
      <c r="H781" s="24">
        <f t="shared" si="39"/>
        <v>2265898.7000000179</v>
      </c>
      <c r="I781" s="25">
        <f t="shared" si="37"/>
        <v>15.165041666670392</v>
      </c>
      <c r="J781" s="25">
        <f t="shared" si="38"/>
        <v>4.6738834570957462</v>
      </c>
      <c r="K781" s="17" t="s">
        <v>10</v>
      </c>
    </row>
    <row r="782" spans="1:11" ht="15.75" customHeight="1" x14ac:dyDescent="0.2">
      <c r="A782" s="15">
        <v>45585</v>
      </c>
      <c r="B782" s="3">
        <f>VLOOKUP(A782,'[1]BADI SID DATA'!A:B,2,0)</f>
        <v>203</v>
      </c>
      <c r="C782" s="11">
        <v>42901.949999988079</v>
      </c>
      <c r="D782" s="6">
        <f>7.78-D781</f>
        <v>4.3000000000000007</v>
      </c>
      <c r="E782" s="23">
        <v>100</v>
      </c>
      <c r="F782" s="23">
        <v>74.444444444444443</v>
      </c>
      <c r="G782" s="16">
        <f>VLOOKUP(A782,'[1]DRDO Kolar Data'!$A:$E,5,0)*1000</f>
        <v>11000</v>
      </c>
      <c r="H782" s="24">
        <f t="shared" si="39"/>
        <v>2308800.650000006</v>
      </c>
      <c r="I782" s="25">
        <f t="shared" si="37"/>
        <v>17.875812499995032</v>
      </c>
      <c r="J782" s="25">
        <f t="shared" si="38"/>
        <v>4.7389175903119991</v>
      </c>
      <c r="K782" s="17" t="s">
        <v>10</v>
      </c>
    </row>
    <row r="783" spans="1:11" ht="15.75" customHeight="1" x14ac:dyDescent="0.2">
      <c r="A783" s="15">
        <v>45586</v>
      </c>
      <c r="B783" s="3">
        <f>VLOOKUP(A783,'[1]BADI SID DATA'!A:B,2,0)</f>
        <v>204</v>
      </c>
      <c r="C783" s="11">
        <v>50051.29999999702</v>
      </c>
      <c r="D783" s="6">
        <v>5.22</v>
      </c>
      <c r="E783" s="23">
        <v>100</v>
      </c>
      <c r="F783" s="23">
        <v>74.305555555555557</v>
      </c>
      <c r="G783" s="16">
        <f>VLOOKUP(A783,'[1]DRDO Kolar Data'!$A:$E,5,0)*1000</f>
        <v>10800</v>
      </c>
      <c r="H783" s="24">
        <f t="shared" si="39"/>
        <v>2358851.950000003</v>
      </c>
      <c r="I783" s="25">
        <f t="shared" si="37"/>
        <v>20.854708333332091</v>
      </c>
      <c r="J783" s="25">
        <f t="shared" si="38"/>
        <v>4.8179165645424895</v>
      </c>
      <c r="K783" s="17" t="s">
        <v>11</v>
      </c>
    </row>
    <row r="784" spans="1:11" ht="15.75" customHeight="1" x14ac:dyDescent="0.2">
      <c r="A784" s="15">
        <v>45587</v>
      </c>
      <c r="B784" s="3">
        <f>VLOOKUP(A784,'[1]BADI SID DATA'!A:B,2,0)</f>
        <v>205</v>
      </c>
      <c r="C784" s="11">
        <v>47448.70000000298</v>
      </c>
      <c r="D784" s="6">
        <f>10.16-D783</f>
        <v>4.9400000000000004</v>
      </c>
      <c r="E784" s="23">
        <v>100</v>
      </c>
      <c r="F784" s="23">
        <v>63.263888888888886</v>
      </c>
      <c r="G784" s="16">
        <f>VLOOKUP(A784,'[1]DRDO Kolar Data'!$A:$E,5,0)*1000</f>
        <v>10600</v>
      </c>
      <c r="H784" s="24">
        <f t="shared" si="39"/>
        <v>2406300.650000006</v>
      </c>
      <c r="I784" s="25">
        <f t="shared" si="37"/>
        <v>19.770291666667909</v>
      </c>
      <c r="J784" s="25">
        <f t="shared" si="38"/>
        <v>4.8908549796748089</v>
      </c>
      <c r="K784" s="17" t="s">
        <v>11</v>
      </c>
    </row>
    <row r="785" spans="1:11" ht="15.75" customHeight="1" x14ac:dyDescent="0.2">
      <c r="A785" s="15">
        <v>45588</v>
      </c>
      <c r="B785" s="3">
        <f>VLOOKUP(A785,'[1]BADI SID DATA'!A:B,2,0)</f>
        <v>206</v>
      </c>
      <c r="C785" s="11">
        <v>49400.65000000596</v>
      </c>
      <c r="D785" s="6">
        <v>5.28</v>
      </c>
      <c r="E785" s="23">
        <v>100</v>
      </c>
      <c r="F785" s="23">
        <v>100</v>
      </c>
      <c r="G785" s="16">
        <f>VLOOKUP(A785,'[1]DRDO Kolar Data'!$A:$E,5,0)*1000</f>
        <v>10300</v>
      </c>
      <c r="H785" s="24">
        <f t="shared" si="39"/>
        <v>2455701.3000000119</v>
      </c>
      <c r="I785" s="25">
        <f t="shared" si="37"/>
        <v>20.583604166669151</v>
      </c>
      <c r="J785" s="25">
        <f t="shared" si="38"/>
        <v>4.9670333737864318</v>
      </c>
      <c r="K785" s="17" t="s">
        <v>11</v>
      </c>
    </row>
    <row r="786" spans="1:11" ht="15.75" customHeight="1" x14ac:dyDescent="0.2">
      <c r="A786" s="15">
        <v>45589</v>
      </c>
      <c r="B786" s="3">
        <f>VLOOKUP(A786,'[1]BADI SID DATA'!A:B,2,0)</f>
        <v>207</v>
      </c>
      <c r="C786" s="11">
        <v>34451.949999988079</v>
      </c>
      <c r="D786" s="6">
        <v>3.12</v>
      </c>
      <c r="E786" s="23">
        <v>100</v>
      </c>
      <c r="F786" s="23">
        <v>100</v>
      </c>
      <c r="G786" s="16">
        <f>VLOOKUP(A786,'[1]DRDO Kolar Data'!$A:$E,5,0)*1000</f>
        <v>9800</v>
      </c>
      <c r="H786" s="24">
        <f t="shared" si="39"/>
        <v>2490153.25</v>
      </c>
      <c r="I786" s="25">
        <f t="shared" si="37"/>
        <v>14.3549791666617</v>
      </c>
      <c r="J786" s="25">
        <f t="shared" si="38"/>
        <v>5.0123857689210949</v>
      </c>
      <c r="K786" s="17" t="s">
        <v>10</v>
      </c>
    </row>
    <row r="787" spans="1:11" ht="15.75" customHeight="1" x14ac:dyDescent="0.2">
      <c r="A787" s="15">
        <v>45590</v>
      </c>
      <c r="B787" s="3">
        <f>VLOOKUP(A787,'[1]BADI SID DATA'!A:B,2,0)</f>
        <v>208</v>
      </c>
      <c r="C787" s="11">
        <v>48750</v>
      </c>
      <c r="D787" s="6">
        <v>4.92</v>
      </c>
      <c r="E787" s="23">
        <v>100</v>
      </c>
      <c r="F787" s="23">
        <v>100</v>
      </c>
      <c r="G787" s="16">
        <f>VLOOKUP(A787,'[1]DRDO Kolar Data'!$A:$E,5,0)*1000</f>
        <v>9900</v>
      </c>
      <c r="H787" s="24">
        <f t="shared" si="39"/>
        <v>2538903.25</v>
      </c>
      <c r="I787" s="25">
        <f t="shared" si="37"/>
        <v>20.3125</v>
      </c>
      <c r="J787" s="25">
        <f t="shared" si="38"/>
        <v>5.0859440104166671</v>
      </c>
      <c r="K787" s="17" t="s">
        <v>11</v>
      </c>
    </row>
    <row r="788" spans="1:11" ht="15.75" customHeight="1" x14ac:dyDescent="0.2">
      <c r="A788" s="15">
        <v>45591</v>
      </c>
      <c r="B788" s="3">
        <f>VLOOKUP(A788,'[1]BADI SID DATA'!A:B,2,0)</f>
        <v>209</v>
      </c>
      <c r="C788" s="11">
        <v>51995.450000017881</v>
      </c>
      <c r="D788" s="7">
        <v>5.25</v>
      </c>
      <c r="E788" s="23">
        <v>100</v>
      </c>
      <c r="F788" s="23">
        <v>100</v>
      </c>
      <c r="G788" s="16">
        <f>VLOOKUP(A788,'[1]DRDO Kolar Data'!$A:$E,5,0)*1000</f>
        <v>10000</v>
      </c>
      <c r="H788" s="24">
        <f t="shared" si="39"/>
        <v>2590898.7000000179</v>
      </c>
      <c r="I788" s="25">
        <f t="shared" si="37"/>
        <v>21.664770833340786</v>
      </c>
      <c r="J788" s="25">
        <f t="shared" si="38"/>
        <v>5.1652685406698922</v>
      </c>
      <c r="K788" s="17" t="s">
        <v>11</v>
      </c>
    </row>
    <row r="789" spans="1:11" ht="15.75" customHeight="1" x14ac:dyDescent="0.2">
      <c r="A789" s="15">
        <v>45592</v>
      </c>
      <c r="B789" s="3">
        <f>VLOOKUP(A789,'[1]BADI SID DATA'!A:B,2,0)</f>
        <v>210</v>
      </c>
      <c r="C789" s="11">
        <v>42901.949999988079</v>
      </c>
      <c r="D789" s="6">
        <v>4.12</v>
      </c>
      <c r="E789" s="23">
        <v>100</v>
      </c>
      <c r="F789" s="23">
        <v>100</v>
      </c>
      <c r="G789" s="16">
        <f>VLOOKUP(A789,'[1]DRDO Kolar Data'!$A:$E,5,0)*1000</f>
        <v>9700</v>
      </c>
      <c r="H789" s="24">
        <f t="shared" si="39"/>
        <v>2633800.650000006</v>
      </c>
      <c r="I789" s="25">
        <f t="shared" si="37"/>
        <v>17.875812499995032</v>
      </c>
      <c r="J789" s="25">
        <f t="shared" si="38"/>
        <v>5.2257949404762023</v>
      </c>
      <c r="K789" s="17" t="s">
        <v>11</v>
      </c>
    </row>
    <row r="790" spans="1:11" ht="15.75" customHeight="1" x14ac:dyDescent="0.2">
      <c r="A790" s="15">
        <v>45593</v>
      </c>
      <c r="B790" s="3">
        <f>VLOOKUP(A790,'[1]BADI SID DATA'!A:B,2,0)</f>
        <v>211</v>
      </c>
      <c r="C790" s="11">
        <v>53296.75</v>
      </c>
      <c r="D790" s="7">
        <v>5.6</v>
      </c>
      <c r="E790" s="23">
        <v>100</v>
      </c>
      <c r="F790" s="23">
        <v>100</v>
      </c>
      <c r="G790" s="16">
        <f>VLOOKUP(A790,'[1]DRDO Kolar Data'!$A:$E,5,0)*1000</f>
        <v>9700</v>
      </c>
      <c r="H790" s="24">
        <f t="shared" si="39"/>
        <v>2687097.400000006</v>
      </c>
      <c r="I790" s="25">
        <f t="shared" si="37"/>
        <v>22.206979166666667</v>
      </c>
      <c r="J790" s="25">
        <f t="shared" si="38"/>
        <v>5.3062744865718914</v>
      </c>
      <c r="K790" s="17" t="s">
        <v>11</v>
      </c>
    </row>
    <row r="791" spans="1:11" ht="15.75" customHeight="1" x14ac:dyDescent="0.2">
      <c r="A791" s="15">
        <v>45594</v>
      </c>
      <c r="B791" s="3">
        <f>VLOOKUP(A791,'[1]BADI SID DATA'!A:B,2,0)</f>
        <v>212</v>
      </c>
      <c r="C791" s="11">
        <v>42251.95000000298</v>
      </c>
      <c r="D791" s="7">
        <v>4.16</v>
      </c>
      <c r="E791" s="23">
        <v>100</v>
      </c>
      <c r="F791" s="23">
        <v>91.666666666666657</v>
      </c>
      <c r="G791" s="16">
        <f>VLOOKUP(A791,'[1]DRDO Kolar Data'!$A:$E,5,0)*1000</f>
        <v>9000</v>
      </c>
      <c r="H791" s="24">
        <f t="shared" si="39"/>
        <v>2729349.3500000089</v>
      </c>
      <c r="I791" s="25">
        <f t="shared" si="37"/>
        <v>17.60497916666791</v>
      </c>
      <c r="J791" s="25">
        <f t="shared" si="38"/>
        <v>5.3642872444968726</v>
      </c>
      <c r="K791" s="17" t="s">
        <v>10</v>
      </c>
    </row>
    <row r="792" spans="1:11" ht="15.75" customHeight="1" x14ac:dyDescent="0.2">
      <c r="A792" s="15">
        <v>45595</v>
      </c>
      <c r="B792" s="3">
        <f>VLOOKUP(A792,'[1]BADI SID DATA'!A:B,2,0)</f>
        <v>213</v>
      </c>
      <c r="C792" s="11">
        <v>39648.699999988079</v>
      </c>
      <c r="D792" s="6">
        <v>4.09</v>
      </c>
      <c r="E792" s="23">
        <v>100</v>
      </c>
      <c r="F792" s="23">
        <v>73.888888888888886</v>
      </c>
      <c r="G792" s="16">
        <f>VLOOKUP(A792,'[1]DRDO Kolar Data'!$A:$E,5,0)*1000</f>
        <v>9500</v>
      </c>
      <c r="H792" s="24">
        <f t="shared" si="39"/>
        <v>2768998.049999997</v>
      </c>
      <c r="I792" s="25">
        <f t="shared" si="37"/>
        <v>16.520291666661699</v>
      </c>
      <c r="J792" s="25">
        <f t="shared" si="38"/>
        <v>5.4166628521126707</v>
      </c>
      <c r="K792" s="17" t="s">
        <v>10</v>
      </c>
    </row>
    <row r="793" spans="1:11" ht="15.75" customHeight="1" x14ac:dyDescent="0.2">
      <c r="A793" s="15">
        <v>45596</v>
      </c>
      <c r="B793" s="3">
        <f>VLOOKUP(A793,'[1]BADI SID DATA'!A:B,2,0)</f>
        <v>214</v>
      </c>
      <c r="C793" s="11">
        <v>47448.70000000298</v>
      </c>
      <c r="D793" s="6">
        <f>9.15-D792</f>
        <v>5.0600000000000005</v>
      </c>
      <c r="E793" s="23">
        <v>100</v>
      </c>
      <c r="F793" s="23">
        <v>74.305555555555557</v>
      </c>
      <c r="G793" s="16">
        <f>VLOOKUP(A793,'[1]DRDO Kolar Data'!$A:$E,5,0)*1000</f>
        <v>9000</v>
      </c>
      <c r="H793" s="24">
        <f t="shared" si="39"/>
        <v>2816446.75</v>
      </c>
      <c r="I793" s="25">
        <f t="shared" si="37"/>
        <v>19.770291666667909</v>
      </c>
      <c r="J793" s="25">
        <f t="shared" si="38"/>
        <v>5.4837358839563866</v>
      </c>
      <c r="K793" s="17" t="s">
        <v>11</v>
      </c>
    </row>
    <row r="794" spans="1:11" ht="15.75" customHeight="1" x14ac:dyDescent="0.2">
      <c r="A794" s="15">
        <v>45597</v>
      </c>
      <c r="B794" s="3">
        <f>VLOOKUP(A794,'[1]BADI SID DATA'!A:B,2,0)</f>
        <v>215</v>
      </c>
      <c r="C794" s="11">
        <v>48750</v>
      </c>
      <c r="D794" s="8">
        <v>5.17</v>
      </c>
      <c r="E794" s="23">
        <v>100</v>
      </c>
      <c r="F794" s="23">
        <v>100</v>
      </c>
      <c r="G794" s="16">
        <f>VLOOKUP(A794,'[1]DRDO Kolar Data'!$A:$E,5,0)*1000</f>
        <v>10500</v>
      </c>
      <c r="H794" s="24">
        <f t="shared" si="39"/>
        <v>2865196.75</v>
      </c>
      <c r="I794" s="25">
        <f t="shared" si="37"/>
        <v>20.3125</v>
      </c>
      <c r="J794" s="25">
        <f t="shared" si="38"/>
        <v>5.552706879844961</v>
      </c>
      <c r="K794" s="17" t="s">
        <v>11</v>
      </c>
    </row>
    <row r="795" spans="1:11" ht="15.75" customHeight="1" x14ac:dyDescent="0.2">
      <c r="A795" s="15">
        <v>45598</v>
      </c>
      <c r="B795" s="3">
        <f>VLOOKUP(A795,'[1]BADI SID DATA'!A:B,2,0)</f>
        <v>216</v>
      </c>
      <c r="C795" s="11">
        <v>53304.54999999702</v>
      </c>
      <c r="D795" s="8">
        <v>5.54</v>
      </c>
      <c r="E795" s="23">
        <v>100</v>
      </c>
      <c r="F795" s="23">
        <v>100</v>
      </c>
      <c r="G795" s="16">
        <f>VLOOKUP(A795,'[1]DRDO Kolar Data'!$A:$E,5,0)*1000</f>
        <v>10600</v>
      </c>
      <c r="H795" s="24">
        <f t="shared" si="39"/>
        <v>2918501.299999997</v>
      </c>
      <c r="I795" s="25">
        <f t="shared" si="37"/>
        <v>22.210229166665425</v>
      </c>
      <c r="J795" s="25">
        <f t="shared" si="38"/>
        <v>5.6298250385802415</v>
      </c>
      <c r="K795" s="17" t="s">
        <v>11</v>
      </c>
    </row>
    <row r="796" spans="1:11" ht="15.75" customHeight="1" x14ac:dyDescent="0.2">
      <c r="A796" s="15">
        <v>45599</v>
      </c>
      <c r="B796" s="3">
        <f>VLOOKUP(A796,'[1]BADI SID DATA'!A:B,2,0)</f>
        <v>217</v>
      </c>
      <c r="C796" s="11">
        <v>52003.250000014901</v>
      </c>
      <c r="D796" s="5">
        <v>5.18</v>
      </c>
      <c r="E796" s="23">
        <v>100</v>
      </c>
      <c r="F796" s="23">
        <v>98.263888888888886</v>
      </c>
      <c r="G796" s="16">
        <f>VLOOKUP(A796,'[1]DRDO Kolar Data'!$A:$E,5,0)*1000</f>
        <v>10600</v>
      </c>
      <c r="H796" s="24">
        <f t="shared" si="39"/>
        <v>2970504.5500000119</v>
      </c>
      <c r="I796" s="25">
        <f t="shared" si="37"/>
        <v>21.66802083333954</v>
      </c>
      <c r="J796" s="25">
        <f t="shared" si="38"/>
        <v>5.7037337749616199</v>
      </c>
      <c r="K796" s="17" t="s">
        <v>11</v>
      </c>
    </row>
    <row r="797" spans="1:11" ht="15.75" customHeight="1" x14ac:dyDescent="0.2">
      <c r="A797" s="15">
        <v>45600</v>
      </c>
      <c r="B797" s="3">
        <f>VLOOKUP(A797,'[1]BADI SID DATA'!A:B,2,0)</f>
        <v>218</v>
      </c>
      <c r="C797" s="11">
        <v>43544.79999999702</v>
      </c>
      <c r="D797" s="8">
        <v>4.28</v>
      </c>
      <c r="E797" s="23">
        <v>100</v>
      </c>
      <c r="F797" s="23">
        <v>100</v>
      </c>
      <c r="G797" s="16">
        <f>VLOOKUP(A797,'[1]DRDO Kolar Data'!$A:$E,5,0)*1000</f>
        <v>10900</v>
      </c>
      <c r="H797" s="24">
        <f t="shared" si="39"/>
        <v>3014049.3500000089</v>
      </c>
      <c r="I797" s="25">
        <f t="shared" si="37"/>
        <v>18.143666666665425</v>
      </c>
      <c r="J797" s="25">
        <f t="shared" si="38"/>
        <v>5.7607976873088855</v>
      </c>
      <c r="K797" s="17" t="s">
        <v>11</v>
      </c>
    </row>
    <row r="798" spans="1:11" ht="15.75" customHeight="1" x14ac:dyDescent="0.2">
      <c r="A798" s="15">
        <v>45601</v>
      </c>
      <c r="B798" s="3">
        <f>VLOOKUP(A798,'[1]BADI SID DATA'!A:B,2,0)</f>
        <v>219</v>
      </c>
      <c r="C798" s="11">
        <v>51352.59999999404</v>
      </c>
      <c r="D798" s="8">
        <v>5.12</v>
      </c>
      <c r="E798" s="23">
        <v>100</v>
      </c>
      <c r="F798" s="23">
        <v>100</v>
      </c>
      <c r="G798" s="16">
        <f>VLOOKUP(A798,'[1]DRDO Kolar Data'!$A:$E,5,0)*1000</f>
        <v>10000</v>
      </c>
      <c r="H798" s="24">
        <f t="shared" si="39"/>
        <v>3065401.950000003</v>
      </c>
      <c r="I798" s="25">
        <f t="shared" si="37"/>
        <v>21.396916666664183</v>
      </c>
      <c r="J798" s="25">
        <f t="shared" si="38"/>
        <v>5.8321954908675862</v>
      </c>
      <c r="K798" s="17" t="s">
        <v>11</v>
      </c>
    </row>
    <row r="799" spans="1:11" ht="15.75" customHeight="1" x14ac:dyDescent="0.2">
      <c r="A799" s="15">
        <v>45602</v>
      </c>
      <c r="B799" s="3">
        <f>VLOOKUP(A799,'[1]BADI SID DATA'!A:B,2,0)</f>
        <v>220</v>
      </c>
      <c r="C799" s="11">
        <v>48750</v>
      </c>
      <c r="D799" s="5">
        <v>4.71</v>
      </c>
      <c r="E799" s="23">
        <v>100</v>
      </c>
      <c r="F799" s="23">
        <v>100</v>
      </c>
      <c r="G799" s="16">
        <f>VLOOKUP(A799,'[1]DRDO Kolar Data'!$A:$E,5,0)*1000</f>
        <v>10200</v>
      </c>
      <c r="H799" s="24">
        <f t="shared" si="39"/>
        <v>3114151.950000003</v>
      </c>
      <c r="I799" s="25">
        <f t="shared" si="37"/>
        <v>20.3125</v>
      </c>
      <c r="J799" s="25">
        <f t="shared" si="38"/>
        <v>5.8980150568181875</v>
      </c>
      <c r="K799" s="17" t="s">
        <v>11</v>
      </c>
    </row>
    <row r="800" spans="1:11" ht="15.75" customHeight="1" x14ac:dyDescent="0.2">
      <c r="A800" s="15">
        <v>45603</v>
      </c>
      <c r="B800" s="3">
        <f>VLOOKUP(A800,'[1]BADI SID DATA'!A:B,2,0)</f>
        <v>221</v>
      </c>
      <c r="C800" s="11">
        <v>23398.70000000298</v>
      </c>
      <c r="D800" s="5">
        <v>2.2000000000000002</v>
      </c>
      <c r="E800" s="23">
        <v>100</v>
      </c>
      <c r="F800" s="23">
        <v>100</v>
      </c>
      <c r="G800" s="16">
        <f>VLOOKUP(A800,'[1]DRDO Kolar Data'!$A:$E,5,0)*1000</f>
        <v>9900</v>
      </c>
      <c r="H800" s="24">
        <f t="shared" si="39"/>
        <v>3137550.650000006</v>
      </c>
      <c r="I800" s="25">
        <f t="shared" si="37"/>
        <v>9.7494583333345748</v>
      </c>
      <c r="J800" s="25">
        <f t="shared" si="38"/>
        <v>5.9154424019607958</v>
      </c>
      <c r="K800" s="17" t="s">
        <v>10</v>
      </c>
    </row>
    <row r="801" spans="1:11" ht="15.75" customHeight="1" x14ac:dyDescent="0.2">
      <c r="A801" s="15">
        <v>45604</v>
      </c>
      <c r="B801" s="3">
        <f>VLOOKUP(A801,'[1]BADI SID DATA'!A:B,2,0)</f>
        <v>222</v>
      </c>
      <c r="C801" s="11">
        <v>53947.399999991059</v>
      </c>
      <c r="D801" s="8">
        <v>5.44</v>
      </c>
      <c r="E801" s="23">
        <v>100</v>
      </c>
      <c r="F801" s="23">
        <v>100</v>
      </c>
      <c r="G801" s="16">
        <f>VLOOKUP(A801,'[1]DRDO Kolar Data'!$A:$E,5,0)*1000</f>
        <v>10000</v>
      </c>
      <c r="H801" s="24">
        <f t="shared" si="39"/>
        <v>3191498.049999997</v>
      </c>
      <c r="I801" s="25">
        <f t="shared" si="37"/>
        <v>22.478083333329607</v>
      </c>
      <c r="J801" s="25">
        <f t="shared" si="38"/>
        <v>5.990048892642637</v>
      </c>
      <c r="K801" s="17" t="s">
        <v>11</v>
      </c>
    </row>
    <row r="802" spans="1:11" ht="15.75" customHeight="1" x14ac:dyDescent="0.2">
      <c r="A802" s="15">
        <v>45605</v>
      </c>
      <c r="B802" s="3">
        <f>VLOOKUP(A802,'[1]BADI SID DATA'!A:B,2,0)</f>
        <v>223</v>
      </c>
      <c r="C802" s="11">
        <v>59152.600000008941</v>
      </c>
      <c r="D802" s="8">
        <v>5.9</v>
      </c>
      <c r="E802" s="23">
        <v>100</v>
      </c>
      <c r="F802" s="23">
        <v>100</v>
      </c>
      <c r="G802" s="16">
        <f>VLOOKUP(A802,'[1]DRDO Kolar Data'!$A:$E,5,0)*1000</f>
        <v>9800</v>
      </c>
      <c r="H802" s="24">
        <f t="shared" si="39"/>
        <v>3250650.650000006</v>
      </c>
      <c r="I802" s="25">
        <f t="shared" si="37"/>
        <v>24.646916666670393</v>
      </c>
      <c r="J802" s="25">
        <f t="shared" si="38"/>
        <v>6.0737119768311025</v>
      </c>
      <c r="K802" s="17" t="s">
        <v>13</v>
      </c>
    </row>
    <row r="803" spans="1:11" ht="15.75" customHeight="1" x14ac:dyDescent="0.2">
      <c r="A803" s="15">
        <v>45606</v>
      </c>
      <c r="B803" s="3">
        <f>VLOOKUP(A803,'[1]BADI SID DATA'!A:B,2,0)</f>
        <v>224</v>
      </c>
      <c r="C803" s="11">
        <v>54597.399999991059</v>
      </c>
      <c r="D803" s="6">
        <v>5.52</v>
      </c>
      <c r="E803" s="23">
        <v>100</v>
      </c>
      <c r="F803" s="23">
        <v>74.930555555555557</v>
      </c>
      <c r="G803" s="16">
        <f>VLOOKUP(A803,'[1]DRDO Kolar Data'!$A:$E,5,0)*1000</f>
        <v>9900</v>
      </c>
      <c r="H803" s="24">
        <f t="shared" si="39"/>
        <v>3305248.049999997</v>
      </c>
      <c r="I803" s="25">
        <f t="shared" si="37"/>
        <v>22.748916666662939</v>
      </c>
      <c r="J803" s="25">
        <f t="shared" si="38"/>
        <v>6.1481548549107092</v>
      </c>
      <c r="K803" s="17" t="s">
        <v>11</v>
      </c>
    </row>
    <row r="804" spans="1:11" ht="15.75" customHeight="1" x14ac:dyDescent="0.2">
      <c r="A804" s="15">
        <v>45607</v>
      </c>
      <c r="B804" s="3">
        <f>VLOOKUP(A804,'[1]BADI SID DATA'!A:B,2,0)</f>
        <v>225</v>
      </c>
      <c r="C804" s="11">
        <v>50051.300000011921</v>
      </c>
      <c r="D804" s="6">
        <v>5.1100000000000003</v>
      </c>
      <c r="E804" s="23">
        <v>100</v>
      </c>
      <c r="F804" s="23">
        <v>73.611111111111114</v>
      </c>
      <c r="G804" s="16">
        <f>VLOOKUP(A804,'[1]DRDO Kolar Data'!$A:$E,5,0)*1000</f>
        <v>10000</v>
      </c>
      <c r="H804" s="24">
        <f t="shared" si="39"/>
        <v>3355299.3500000089</v>
      </c>
      <c r="I804" s="25">
        <f t="shared" si="37"/>
        <v>20.854708333338301</v>
      </c>
      <c r="J804" s="25">
        <f t="shared" si="38"/>
        <v>6.2135173148148315</v>
      </c>
      <c r="K804" s="17" t="s">
        <v>11</v>
      </c>
    </row>
    <row r="805" spans="1:11" ht="15.75" customHeight="1" x14ac:dyDescent="0.2">
      <c r="A805" s="15">
        <v>45608</v>
      </c>
      <c r="B805" s="3">
        <f>VLOOKUP(A805,'[1]BADI SID DATA'!A:B,2,0)</f>
        <v>226</v>
      </c>
      <c r="C805" s="11">
        <v>19503.249999985099</v>
      </c>
      <c r="D805" s="6">
        <v>1.65</v>
      </c>
      <c r="E805" s="23">
        <v>100</v>
      </c>
      <c r="F805" s="23">
        <v>100</v>
      </c>
      <c r="G805" s="16">
        <f>VLOOKUP(A805,'[1]DRDO Kolar Data'!$A:$E,5,0)*1000</f>
        <v>9800</v>
      </c>
      <c r="H805" s="24">
        <f t="shared" si="39"/>
        <v>3374802.599999994</v>
      </c>
      <c r="I805" s="25">
        <f t="shared" si="37"/>
        <v>8.1263541666604571</v>
      </c>
      <c r="J805" s="25">
        <f t="shared" si="38"/>
        <v>6.2219811946902546</v>
      </c>
      <c r="K805" s="17" t="s">
        <v>31</v>
      </c>
    </row>
    <row r="806" spans="1:11" ht="15.75" customHeight="1" x14ac:dyDescent="0.2">
      <c r="A806" s="15">
        <v>45609</v>
      </c>
      <c r="B806" s="3">
        <f>VLOOKUP(A806,'[1]BADI SID DATA'!A:B,2,0)</f>
        <v>227</v>
      </c>
      <c r="C806" s="11">
        <v>29897.400000020862</v>
      </c>
      <c r="D806" s="6">
        <v>2.75</v>
      </c>
      <c r="E806" s="23">
        <v>100</v>
      </c>
      <c r="F806" s="23">
        <v>100</v>
      </c>
      <c r="G806" s="16">
        <f>VLOOKUP(A806,'[1]DRDO Kolar Data'!$A:$E,5,0)*1000</f>
        <v>7900</v>
      </c>
      <c r="H806" s="24">
        <f t="shared" si="39"/>
        <v>3404700.0000000149</v>
      </c>
      <c r="I806" s="25">
        <f t="shared" si="37"/>
        <v>12.457250000008692</v>
      </c>
      <c r="J806" s="25">
        <f t="shared" si="38"/>
        <v>6.249449339207076</v>
      </c>
      <c r="K806" s="17" t="s">
        <v>31</v>
      </c>
    </row>
    <row r="807" spans="1:11" ht="15.75" customHeight="1" x14ac:dyDescent="0.2">
      <c r="A807" s="15">
        <v>45610</v>
      </c>
      <c r="B807" s="3">
        <f>VLOOKUP(A807,'[1]BADI SID DATA'!A:B,2,0)</f>
        <v>228</v>
      </c>
      <c r="C807" s="11">
        <v>22748.699999988079</v>
      </c>
      <c r="D807" s="6">
        <v>2.04</v>
      </c>
      <c r="E807" s="23">
        <v>100</v>
      </c>
      <c r="F807" s="23">
        <v>100</v>
      </c>
      <c r="G807" s="16">
        <f>VLOOKUP(A807,'[1]DRDO Kolar Data'!$A:$E,5,0)*1000</f>
        <v>11000</v>
      </c>
      <c r="H807" s="24">
        <f t="shared" si="39"/>
        <v>3427448.700000003</v>
      </c>
      <c r="I807" s="25">
        <f t="shared" si="37"/>
        <v>9.4786249999950343</v>
      </c>
      <c r="J807" s="25">
        <f t="shared" si="38"/>
        <v>6.2636123903508825</v>
      </c>
      <c r="K807" s="17" t="s">
        <v>31</v>
      </c>
    </row>
    <row r="808" spans="1:11" ht="15.75" customHeight="1" x14ac:dyDescent="0.2">
      <c r="A808" s="15">
        <v>45611</v>
      </c>
      <c r="B808" s="3">
        <f>VLOOKUP(A808,'[1]BADI SID DATA'!A:B,2,0)</f>
        <v>229</v>
      </c>
      <c r="C808" s="11">
        <v>33801.29999999702</v>
      </c>
      <c r="D808" s="6">
        <v>3.41</v>
      </c>
      <c r="E808" s="23">
        <v>100</v>
      </c>
      <c r="F808" s="23">
        <v>75.347222222222214</v>
      </c>
      <c r="G808" s="16">
        <f>VLOOKUP(A808,'[1]DRDO Kolar Data'!$A:$E,5,0)*1000</f>
        <v>10900</v>
      </c>
      <c r="H808" s="24">
        <f t="shared" si="39"/>
        <v>3461250</v>
      </c>
      <c r="I808" s="25">
        <f t="shared" si="37"/>
        <v>14.083874999998757</v>
      </c>
      <c r="J808" s="25">
        <f t="shared" si="38"/>
        <v>6.297762008733625</v>
      </c>
      <c r="K808" s="17" t="s">
        <v>31</v>
      </c>
    </row>
    <row r="809" spans="1:11" ht="15.75" customHeight="1" x14ac:dyDescent="0.2">
      <c r="A809" s="15">
        <v>45612</v>
      </c>
      <c r="B809" s="3">
        <f>VLOOKUP(A809,'[1]BADI SID DATA'!A:B,2,0)</f>
        <v>230</v>
      </c>
      <c r="C809" s="11">
        <v>31849.350000008941</v>
      </c>
      <c r="D809" s="6">
        <f>6.66-3.43</f>
        <v>3.23</v>
      </c>
      <c r="E809" s="23">
        <v>100</v>
      </c>
      <c r="F809" s="23">
        <v>74.513888888888886</v>
      </c>
      <c r="G809" s="16">
        <f>VLOOKUP(A809,'[1]DRDO Kolar Data'!$A:$E,5,0)*1000</f>
        <v>7500</v>
      </c>
      <c r="H809" s="24">
        <f t="shared" si="39"/>
        <v>3493099.3500000089</v>
      </c>
      <c r="I809" s="25">
        <f t="shared" si="37"/>
        <v>13.270562500003724</v>
      </c>
      <c r="J809" s="25">
        <f t="shared" si="38"/>
        <v>6.3280785326087123</v>
      </c>
      <c r="K809" s="17" t="s">
        <v>10</v>
      </c>
    </row>
    <row r="810" spans="1:11" ht="15.75" customHeight="1" x14ac:dyDescent="0.2">
      <c r="A810" s="15">
        <v>45613</v>
      </c>
      <c r="B810" s="3">
        <f>VLOOKUP(A810,'[1]BADI SID DATA'!A:B,2,0)</f>
        <v>231</v>
      </c>
      <c r="C810" s="11">
        <v>5204.5499999970198</v>
      </c>
      <c r="D810" s="6">
        <v>2.88</v>
      </c>
      <c r="E810" s="23">
        <v>100</v>
      </c>
      <c r="F810" s="23">
        <v>67.430555555555557</v>
      </c>
      <c r="G810" s="16">
        <f>VLOOKUP(A810,'[1]DRDO Kolar Data'!$A:$E,5,0)*1000</f>
        <v>4500</v>
      </c>
      <c r="H810" s="24">
        <f t="shared" si="39"/>
        <v>3498303.900000006</v>
      </c>
      <c r="I810" s="25">
        <f t="shared" si="37"/>
        <v>2.1685624999987585</v>
      </c>
      <c r="J810" s="25">
        <f t="shared" si="38"/>
        <v>6.3100719696969803</v>
      </c>
      <c r="K810" s="17" t="s">
        <v>34</v>
      </c>
    </row>
    <row r="811" spans="1:11" ht="15.75" customHeight="1" x14ac:dyDescent="0.2">
      <c r="A811" s="15">
        <v>45614</v>
      </c>
      <c r="B811" s="3">
        <f>VLOOKUP(A811,'[1]BADI SID DATA'!A:B,2,0)</f>
        <v>232</v>
      </c>
      <c r="C811" s="11">
        <v>41593.5</v>
      </c>
      <c r="D811" s="6">
        <v>4.38</v>
      </c>
      <c r="E811" s="23">
        <v>100</v>
      </c>
      <c r="F811" s="23">
        <v>76.041666666666657</v>
      </c>
      <c r="G811" s="16">
        <f>VLOOKUP(A811,'[1]DRDO Kolar Data'!$A:$E,5,0)*1000</f>
        <v>7900</v>
      </c>
      <c r="H811" s="24">
        <f t="shared" si="39"/>
        <v>3539897.400000006</v>
      </c>
      <c r="I811" s="25">
        <f t="shared" si="37"/>
        <v>17.330624999999998</v>
      </c>
      <c r="J811" s="25">
        <f t="shared" si="38"/>
        <v>6.3575743534482863</v>
      </c>
      <c r="K811" s="17" t="s">
        <v>11</v>
      </c>
    </row>
    <row r="812" spans="1:11" ht="15.75" customHeight="1" x14ac:dyDescent="0.2">
      <c r="A812" s="15">
        <v>45615</v>
      </c>
      <c r="B812" s="3">
        <f>VLOOKUP(A812,'[1]BADI SID DATA'!A:B,2,0)</f>
        <v>233</v>
      </c>
      <c r="C812" s="11">
        <v>46155.199999988079</v>
      </c>
      <c r="D812" s="6">
        <f>9.33-4.4</f>
        <v>4.93</v>
      </c>
      <c r="E812" s="23">
        <v>100</v>
      </c>
      <c r="F812" s="23">
        <v>73.958333333333343</v>
      </c>
      <c r="G812" s="16">
        <f>VLOOKUP(A812,'[1]DRDO Kolar Data'!$A:$E,5,0)*1000</f>
        <v>7000</v>
      </c>
      <c r="H812" s="24">
        <f t="shared" si="39"/>
        <v>3586052.599999994</v>
      </c>
      <c r="I812" s="25">
        <f t="shared" si="37"/>
        <v>19.231333333328365</v>
      </c>
      <c r="J812" s="25">
        <f t="shared" si="38"/>
        <v>6.4128265379112914</v>
      </c>
      <c r="K812" s="17" t="s">
        <v>11</v>
      </c>
    </row>
    <row r="813" spans="1:11" ht="15.75" customHeight="1" x14ac:dyDescent="0.2">
      <c r="A813" s="15">
        <v>45616</v>
      </c>
      <c r="B813" s="3">
        <f>VLOOKUP(A813,'[1]BADI SID DATA'!A:B,2,0)</f>
        <v>234</v>
      </c>
      <c r="C813" s="11">
        <v>31198.70000000298</v>
      </c>
      <c r="D813" s="6">
        <v>3.12</v>
      </c>
      <c r="E813" s="23">
        <v>100</v>
      </c>
      <c r="F813" s="23">
        <v>81.319444444444443</v>
      </c>
      <c r="G813" s="16">
        <f>VLOOKUP(A813,'[1]DRDO Kolar Data'!$A:$E,5,0)*1000</f>
        <v>10200</v>
      </c>
      <c r="H813" s="24">
        <f t="shared" si="39"/>
        <v>3617251.299999997</v>
      </c>
      <c r="I813" s="25">
        <f t="shared" si="37"/>
        <v>12.999458333334577</v>
      </c>
      <c r="J813" s="25">
        <f t="shared" si="38"/>
        <v>6.4409745370370324</v>
      </c>
      <c r="K813" s="17" t="s">
        <v>10</v>
      </c>
    </row>
    <row r="814" spans="1:11" ht="15.75" customHeight="1" x14ac:dyDescent="0.2">
      <c r="A814" s="15">
        <v>45617</v>
      </c>
      <c r="B814" s="3">
        <f>VLOOKUP(A814,'[1]BADI SID DATA'!A:B,2,0)</f>
        <v>235</v>
      </c>
      <c r="C814" s="11">
        <v>46147.400000020862</v>
      </c>
      <c r="D814" s="6">
        <v>8.2899999999999991</v>
      </c>
      <c r="E814" s="23">
        <v>100</v>
      </c>
      <c r="F814" s="23">
        <v>74.305555555555557</v>
      </c>
      <c r="G814" s="16">
        <f>VLOOKUP(A814,'[1]DRDO Kolar Data'!$A:$E,5,0)*1000</f>
        <v>10000</v>
      </c>
      <c r="H814" s="24">
        <f t="shared" si="39"/>
        <v>3663398.7000000179</v>
      </c>
      <c r="I814" s="25">
        <f t="shared" si="37"/>
        <v>19.228083333342024</v>
      </c>
      <c r="J814" s="25">
        <f t="shared" si="38"/>
        <v>6.4953877659574788</v>
      </c>
      <c r="K814" s="17" t="s">
        <v>11</v>
      </c>
    </row>
    <row r="815" spans="1:11" ht="15.75" customHeight="1" x14ac:dyDescent="0.2">
      <c r="A815" s="15">
        <v>45618</v>
      </c>
      <c r="B815" s="3">
        <f>VLOOKUP(A815,'[1]BADI SID DATA'!A:B,2,0)</f>
        <v>236</v>
      </c>
      <c r="C815" s="11">
        <v>62405.199999988079</v>
      </c>
      <c r="D815" s="6">
        <v>6.9</v>
      </c>
      <c r="E815" s="23">
        <v>100</v>
      </c>
      <c r="F815" s="23">
        <v>100</v>
      </c>
      <c r="G815" s="16">
        <f>VLOOKUP(A815,'[1]DRDO Kolar Data'!$A:$E,5,0)*1000</f>
        <v>9800</v>
      </c>
      <c r="H815" s="24">
        <f t="shared" si="39"/>
        <v>3725803.900000006</v>
      </c>
      <c r="I815" s="25">
        <f t="shared" si="37"/>
        <v>26.002166666661697</v>
      </c>
      <c r="J815" s="25">
        <f t="shared" si="38"/>
        <v>6.5780436087570724</v>
      </c>
      <c r="K815" s="17" t="s">
        <v>24</v>
      </c>
    </row>
    <row r="816" spans="1:11" ht="15.75" customHeight="1" x14ac:dyDescent="0.2">
      <c r="A816" s="15">
        <v>45619</v>
      </c>
      <c r="B816" s="3">
        <f>VLOOKUP(A816,'[1]BADI SID DATA'!A:B,2,0)</f>
        <v>237</v>
      </c>
      <c r="C816" s="11">
        <v>52646.100000008941</v>
      </c>
      <c r="D816" s="6">
        <v>5.65</v>
      </c>
      <c r="E816" s="23">
        <v>100</v>
      </c>
      <c r="F816" s="23">
        <v>100</v>
      </c>
      <c r="G816" s="16">
        <f>VLOOKUP(A816,'[1]DRDO Kolar Data'!$A:$E,5,0)*1000</f>
        <v>9500</v>
      </c>
      <c r="H816" s="24">
        <f t="shared" si="39"/>
        <v>3778450.0000000149</v>
      </c>
      <c r="I816" s="25">
        <f t="shared" si="37"/>
        <v>21.935875000003723</v>
      </c>
      <c r="J816" s="25">
        <f t="shared" si="38"/>
        <v>6.6428445850914466</v>
      </c>
      <c r="K816" s="17" t="s">
        <v>11</v>
      </c>
    </row>
    <row r="817" spans="1:11" ht="15.75" customHeight="1" x14ac:dyDescent="0.2">
      <c r="A817" s="15">
        <v>45620</v>
      </c>
      <c r="B817" s="3">
        <f>VLOOKUP(A817,'[1]BADI SID DATA'!A:B,2,0)</f>
        <v>238</v>
      </c>
      <c r="C817" s="11">
        <v>40299.999999985099</v>
      </c>
      <c r="D817" s="6">
        <v>4.16</v>
      </c>
      <c r="E817" s="23">
        <v>100</v>
      </c>
      <c r="F817" s="23">
        <v>100</v>
      </c>
      <c r="G817" s="16">
        <f>VLOOKUP(A817,'[1]DRDO Kolar Data'!$A:$E,5,0)*1000</f>
        <v>10000</v>
      </c>
      <c r="H817" s="24">
        <f t="shared" si="39"/>
        <v>3818750</v>
      </c>
      <c r="I817" s="25">
        <f t="shared" si="37"/>
        <v>16.791666666660458</v>
      </c>
      <c r="J817" s="25">
        <f t="shared" si="38"/>
        <v>6.6854866946778708</v>
      </c>
      <c r="K817" s="17" t="s">
        <v>11</v>
      </c>
    </row>
    <row r="818" spans="1:11" ht="15.75" customHeight="1" x14ac:dyDescent="0.2">
      <c r="A818" s="15">
        <v>45621</v>
      </c>
      <c r="B818" s="3">
        <f>VLOOKUP(A818,'[1]BADI SID DATA'!A:B,2,0)</f>
        <v>239</v>
      </c>
      <c r="C818" s="11">
        <v>46147.40000000596</v>
      </c>
      <c r="D818" s="6">
        <v>4.72</v>
      </c>
      <c r="E818" s="23">
        <v>100</v>
      </c>
      <c r="F818" s="23">
        <v>100</v>
      </c>
      <c r="G818" s="16">
        <f>VLOOKUP(A818,'[1]DRDO Kolar Data'!$A:$E,5,0)*1000</f>
        <v>9500</v>
      </c>
      <c r="H818" s="24">
        <f t="shared" si="39"/>
        <v>3864897.400000006</v>
      </c>
      <c r="I818" s="25">
        <f t="shared" si="37"/>
        <v>19.228083333335817</v>
      </c>
      <c r="J818" s="25">
        <f t="shared" si="38"/>
        <v>6.7379661785216287</v>
      </c>
      <c r="K818" s="17" t="s">
        <v>11</v>
      </c>
    </row>
    <row r="819" spans="1:11" ht="15.75" customHeight="1" x14ac:dyDescent="0.2">
      <c r="A819" s="15">
        <v>45622</v>
      </c>
      <c r="B819" s="3">
        <f>VLOOKUP(A819,'[1]BADI SID DATA'!A:B,2,0)</f>
        <v>240</v>
      </c>
      <c r="C819" s="11">
        <v>17551.29999999702</v>
      </c>
      <c r="D819" s="7">
        <v>1.61</v>
      </c>
      <c r="E819" s="23">
        <v>100</v>
      </c>
      <c r="F819" s="23">
        <v>100</v>
      </c>
      <c r="G819" s="16">
        <f>VLOOKUP(A819,'[1]DRDO Kolar Data'!$A:$E,5,0)*1000</f>
        <v>8500</v>
      </c>
      <c r="H819" s="24">
        <f t="shared" si="39"/>
        <v>3882448.700000003</v>
      </c>
      <c r="I819" s="25">
        <f t="shared" si="37"/>
        <v>7.3130416666654252</v>
      </c>
      <c r="J819" s="25">
        <f t="shared" si="38"/>
        <v>6.7403623263888939</v>
      </c>
      <c r="K819" s="17" t="s">
        <v>31</v>
      </c>
    </row>
    <row r="820" spans="1:11" ht="15.75" customHeight="1" x14ac:dyDescent="0.2">
      <c r="A820" s="15">
        <v>45623</v>
      </c>
      <c r="B820" s="3">
        <f>VLOOKUP(A820,'[1]BADI SID DATA'!A:B,2,0)</f>
        <v>241</v>
      </c>
      <c r="C820" s="11">
        <v>24049.34999999404</v>
      </c>
      <c r="D820" s="6">
        <v>2.15</v>
      </c>
      <c r="E820" s="23">
        <v>100</v>
      </c>
      <c r="F820" s="23">
        <v>100</v>
      </c>
      <c r="G820" s="16">
        <f>VLOOKUP(A820,'[1]DRDO Kolar Data'!$A:$E,5,0)*1000</f>
        <v>6500</v>
      </c>
      <c r="H820" s="24">
        <f t="shared" si="39"/>
        <v>3906498.049999997</v>
      </c>
      <c r="I820" s="25">
        <f t="shared" si="37"/>
        <v>10.020562499997517</v>
      </c>
      <c r="J820" s="25">
        <f t="shared" si="38"/>
        <v>6.7539731154910045</v>
      </c>
      <c r="K820" s="17" t="s">
        <v>31</v>
      </c>
    </row>
    <row r="821" spans="1:11" ht="15.75" customHeight="1" x14ac:dyDescent="0.2">
      <c r="A821" s="15">
        <v>45624</v>
      </c>
      <c r="B821" s="3">
        <f>VLOOKUP(A821,'[1]BADI SID DATA'!A:B,2,0)</f>
        <v>242</v>
      </c>
      <c r="C821" s="11">
        <v>44853.90000000596</v>
      </c>
      <c r="D821" s="7">
        <v>4.53</v>
      </c>
      <c r="E821" s="23">
        <v>100</v>
      </c>
      <c r="F821" s="23">
        <v>100</v>
      </c>
      <c r="G821" s="16">
        <f>VLOOKUP(A821,'[1]DRDO Kolar Data'!$A:$E,5,0)*1000</f>
        <v>5900</v>
      </c>
      <c r="H821" s="24">
        <f t="shared" si="39"/>
        <v>3951351.950000003</v>
      </c>
      <c r="I821" s="25">
        <f t="shared" si="37"/>
        <v>18.689125000002484</v>
      </c>
      <c r="J821" s="25">
        <f t="shared" si="38"/>
        <v>6.803291924931135</v>
      </c>
      <c r="K821" s="17" t="s">
        <v>11</v>
      </c>
    </row>
    <row r="822" spans="1:11" ht="15.75" customHeight="1" x14ac:dyDescent="0.2">
      <c r="A822" s="15">
        <v>45625</v>
      </c>
      <c r="B822" s="3">
        <f>VLOOKUP(A822,'[1]BADI SID DATA'!A:B,2,0)</f>
        <v>243</v>
      </c>
      <c r="C822" s="11">
        <v>28596.75</v>
      </c>
      <c r="D822" s="7">
        <v>2.57</v>
      </c>
      <c r="E822" s="23">
        <v>100</v>
      </c>
      <c r="F822" s="23">
        <v>100</v>
      </c>
      <c r="G822" s="16">
        <f>VLOOKUP(A822,'[1]DRDO Kolar Data'!$A:$E,5,0)*1000</f>
        <v>4900</v>
      </c>
      <c r="H822" s="24">
        <f t="shared" si="39"/>
        <v>3979948.700000003</v>
      </c>
      <c r="I822" s="25">
        <f t="shared" si="37"/>
        <v>11.915312500000001</v>
      </c>
      <c r="J822" s="25">
        <f t="shared" si="38"/>
        <v>6.824329046639237</v>
      </c>
      <c r="K822" s="17" t="s">
        <v>31</v>
      </c>
    </row>
    <row r="823" spans="1:11" ht="15.75" customHeight="1" x14ac:dyDescent="0.2">
      <c r="A823" s="15">
        <v>45626</v>
      </c>
      <c r="B823" s="3">
        <f>VLOOKUP(A823,'[1]BADI SID DATA'!A:B,2,0)</f>
        <v>244</v>
      </c>
      <c r="C823" s="11">
        <v>3252.6000000089407</v>
      </c>
      <c r="D823" s="6">
        <v>0.18</v>
      </c>
      <c r="E823" s="23">
        <v>100</v>
      </c>
      <c r="F823" s="23">
        <v>91.180555555555557</v>
      </c>
      <c r="G823" s="16">
        <f>VLOOKUP(A823,'[1]DRDO Kolar Data'!$A:$E,5,0)*1000</f>
        <v>1000</v>
      </c>
      <c r="H823" s="24">
        <f t="shared" si="39"/>
        <v>3983201.3000000119</v>
      </c>
      <c r="I823" s="25">
        <f t="shared" si="37"/>
        <v>1.3552500000037253</v>
      </c>
      <c r="J823" s="25">
        <f t="shared" si="38"/>
        <v>6.8019147882513868</v>
      </c>
      <c r="K823" s="17" t="s">
        <v>35</v>
      </c>
    </row>
    <row r="824" spans="1:11" ht="15.75" customHeight="1" x14ac:dyDescent="0.2">
      <c r="A824" s="15">
        <v>45627</v>
      </c>
      <c r="B824" s="3">
        <f>VLOOKUP(A824,'[1]BADI SID DATA'!A:B,2,0)</f>
        <v>245</v>
      </c>
      <c r="C824" s="11">
        <v>7149.3499999940395</v>
      </c>
      <c r="D824" s="8">
        <v>0.52</v>
      </c>
      <c r="E824" s="23">
        <v>100</v>
      </c>
      <c r="F824" s="23">
        <v>100</v>
      </c>
      <c r="G824" s="16">
        <f>VLOOKUP(A824,'[1]DRDO Kolar Data'!$A:$E,5,0)*1000</f>
        <v>2000</v>
      </c>
      <c r="H824" s="24">
        <f t="shared" si="39"/>
        <v>3990350.650000006</v>
      </c>
      <c r="I824" s="25">
        <f t="shared" si="37"/>
        <v>2.9788958333308502</v>
      </c>
      <c r="J824" s="25">
        <f t="shared" si="38"/>
        <v>6.7863106292517115</v>
      </c>
      <c r="K824" s="17" t="s">
        <v>35</v>
      </c>
    </row>
    <row r="825" spans="1:11" ht="15.75" customHeight="1" x14ac:dyDescent="0.2">
      <c r="A825" s="15">
        <v>45628</v>
      </c>
      <c r="B825" s="3">
        <f>VLOOKUP(A825,'[1]BADI SID DATA'!A:B,2,0)</f>
        <v>246</v>
      </c>
      <c r="C825" s="11">
        <v>11052.59999999404</v>
      </c>
      <c r="D825" s="8">
        <v>0.86</v>
      </c>
      <c r="E825" s="23">
        <v>100</v>
      </c>
      <c r="F825" s="23">
        <v>98.402777777777771</v>
      </c>
      <c r="G825" s="16">
        <f>VLOOKUP(A825,'[1]DRDO Kolar Data'!$A:$E,5,0)*1000</f>
        <v>3000</v>
      </c>
      <c r="H825" s="24">
        <f t="shared" si="39"/>
        <v>4001403.25</v>
      </c>
      <c r="I825" s="25">
        <f t="shared" si="37"/>
        <v>4.6052499999975165</v>
      </c>
      <c r="J825" s="25">
        <f t="shared" si="38"/>
        <v>6.7774445291327909</v>
      </c>
      <c r="K825" s="17" t="s">
        <v>35</v>
      </c>
    </row>
    <row r="826" spans="1:11" ht="15.75" customHeight="1" x14ac:dyDescent="0.2">
      <c r="A826" s="15">
        <v>45629</v>
      </c>
      <c r="B826" s="3">
        <f>VLOOKUP(A826,'[1]BADI SID DATA'!A:B,2,0)</f>
        <v>247</v>
      </c>
      <c r="C826" s="11">
        <v>25994.15000000596</v>
      </c>
      <c r="D826" s="5">
        <v>2.44</v>
      </c>
      <c r="E826" s="23">
        <v>100</v>
      </c>
      <c r="F826" s="23">
        <v>100</v>
      </c>
      <c r="G826" s="16">
        <f>VLOOKUP(A826,'[1]DRDO Kolar Data'!$A:$E,5,0)*1000</f>
        <v>11000</v>
      </c>
      <c r="H826" s="24">
        <f t="shared" si="39"/>
        <v>4027397.400000006</v>
      </c>
      <c r="I826" s="25">
        <f t="shared" si="37"/>
        <v>10.830895833335816</v>
      </c>
      <c r="J826" s="25">
        <f t="shared" si="38"/>
        <v>6.793855263157905</v>
      </c>
      <c r="K826" s="17" t="s">
        <v>31</v>
      </c>
    </row>
    <row r="827" spans="1:11" ht="15.75" customHeight="1" x14ac:dyDescent="0.2">
      <c r="A827" s="15">
        <v>45630</v>
      </c>
      <c r="B827" s="3">
        <f>VLOOKUP(A827,'[1]BADI SID DATA'!A:B,2,0)</f>
        <v>248</v>
      </c>
      <c r="C827" s="11">
        <v>27953.25</v>
      </c>
      <c r="D827" s="8">
        <v>2.83</v>
      </c>
      <c r="E827" s="23">
        <v>100</v>
      </c>
      <c r="F827" s="23">
        <v>100</v>
      </c>
      <c r="G827" s="16">
        <f>VLOOKUP(A827,'[1]DRDO Kolar Data'!$A:$E,5,0)*1000</f>
        <v>11000</v>
      </c>
      <c r="H827" s="24">
        <f t="shared" si="39"/>
        <v>4055350.650000006</v>
      </c>
      <c r="I827" s="25">
        <f t="shared" si="37"/>
        <v>11.647187500000001</v>
      </c>
      <c r="J827" s="25">
        <f t="shared" si="38"/>
        <v>6.8134251512096871</v>
      </c>
      <c r="K827" s="17" t="s">
        <v>31</v>
      </c>
    </row>
    <row r="828" spans="1:11" ht="15.75" customHeight="1" x14ac:dyDescent="0.2">
      <c r="A828" s="15">
        <v>45631</v>
      </c>
      <c r="B828" s="3">
        <f>VLOOKUP(A828,'[1]BADI SID DATA'!A:B,2,0)</f>
        <v>249</v>
      </c>
      <c r="C828" s="11">
        <v>45496.75</v>
      </c>
      <c r="D828" s="8">
        <v>5.01</v>
      </c>
      <c r="E828" s="23">
        <v>100</v>
      </c>
      <c r="F828" s="23">
        <v>100</v>
      </c>
      <c r="G828" s="16">
        <f>VLOOKUP(A828,'[1]DRDO Kolar Data'!$A:$E,5,0)*1000</f>
        <v>10800</v>
      </c>
      <c r="H828" s="24">
        <f t="shared" si="39"/>
        <v>4100847.400000006</v>
      </c>
      <c r="I828" s="25">
        <f t="shared" si="37"/>
        <v>18.956979166666667</v>
      </c>
      <c r="J828" s="25">
        <f t="shared" si="38"/>
        <v>6.8621944444444543</v>
      </c>
      <c r="K828" s="17" t="s">
        <v>11</v>
      </c>
    </row>
    <row r="829" spans="1:11" ht="15.75" customHeight="1" x14ac:dyDescent="0.2">
      <c r="A829" s="15">
        <v>45632</v>
      </c>
      <c r="B829" s="3">
        <f>VLOOKUP(A829,'[1]BADI SID DATA'!A:B,2,0)</f>
        <v>250</v>
      </c>
      <c r="C829" s="11">
        <v>55907.15000000596</v>
      </c>
      <c r="D829" s="5">
        <v>6.28</v>
      </c>
      <c r="E829" s="23">
        <v>100</v>
      </c>
      <c r="F829" s="23">
        <v>100</v>
      </c>
      <c r="G829" s="16">
        <f>VLOOKUP(A829,'[1]DRDO Kolar Data'!$A:$E,5,0)*1000</f>
        <v>10900</v>
      </c>
      <c r="H829" s="24">
        <f t="shared" si="39"/>
        <v>4156754.5500000119</v>
      </c>
      <c r="I829" s="25">
        <f t="shared" si="37"/>
        <v>23.294645833335817</v>
      </c>
      <c r="J829" s="25">
        <f t="shared" si="38"/>
        <v>6.9279242500000198</v>
      </c>
      <c r="K829" s="17" t="s">
        <v>13</v>
      </c>
    </row>
    <row r="830" spans="1:11" ht="15.75" customHeight="1" x14ac:dyDescent="0.2">
      <c r="A830" s="15">
        <v>45633</v>
      </c>
      <c r="B830" s="3">
        <f>VLOOKUP(A830,'[1]BADI SID DATA'!A:B,2,0)</f>
        <v>251</v>
      </c>
      <c r="C830" s="11">
        <v>48750</v>
      </c>
      <c r="D830" s="5">
        <v>4.7699999999999996</v>
      </c>
      <c r="E830" s="23">
        <v>100</v>
      </c>
      <c r="F830" s="23">
        <v>100</v>
      </c>
      <c r="G830" s="16">
        <f>VLOOKUP(A830,'[1]DRDO Kolar Data'!$A:$E,5,0)*1000</f>
        <v>10500</v>
      </c>
      <c r="H830" s="24">
        <f t="shared" si="39"/>
        <v>4205504.5500000119</v>
      </c>
      <c r="I830" s="25">
        <f t="shared" si="37"/>
        <v>20.3125</v>
      </c>
      <c r="J830" s="25">
        <f t="shared" si="38"/>
        <v>6.981249252988067</v>
      </c>
      <c r="K830" s="17" t="s">
        <v>11</v>
      </c>
    </row>
    <row r="831" spans="1:11" ht="15.75" customHeight="1" x14ac:dyDescent="0.2">
      <c r="A831" s="15">
        <v>45634</v>
      </c>
      <c r="B831" s="3">
        <f>VLOOKUP(A831,'[1]BADI SID DATA'!A:B,2,0)</f>
        <v>252</v>
      </c>
      <c r="C831" s="11">
        <v>61746.749999985099</v>
      </c>
      <c r="D831" s="8">
        <v>6.79</v>
      </c>
      <c r="E831" s="23">
        <v>100</v>
      </c>
      <c r="F831" s="23">
        <v>100</v>
      </c>
      <c r="G831" s="16">
        <f>VLOOKUP(A831,'[1]DRDO Kolar Data'!$A:$E,5,0)*1000</f>
        <v>10100</v>
      </c>
      <c r="H831" s="24">
        <f t="shared" si="39"/>
        <v>4267251.299999997</v>
      </c>
      <c r="I831" s="25">
        <f t="shared" si="37"/>
        <v>25.727812499993792</v>
      </c>
      <c r="J831" s="25">
        <f t="shared" si="38"/>
        <v>7.0556403769841225</v>
      </c>
      <c r="K831" s="17" t="s">
        <v>13</v>
      </c>
    </row>
    <row r="832" spans="1:11" ht="15.75" customHeight="1" x14ac:dyDescent="0.2">
      <c r="A832" s="15">
        <v>45635</v>
      </c>
      <c r="B832" s="3">
        <f>VLOOKUP(A832,'[1]BADI SID DATA'!A:B,2,0)</f>
        <v>253</v>
      </c>
      <c r="C832" s="11">
        <v>50701.950000017881</v>
      </c>
      <c r="D832" s="8">
        <v>5.59</v>
      </c>
      <c r="E832" s="23">
        <v>100</v>
      </c>
      <c r="F832" s="23">
        <v>100</v>
      </c>
      <c r="G832" s="16">
        <f>VLOOKUP(A832,'[1]DRDO Kolar Data'!$A:$E,5,0)*1000</f>
        <v>9900</v>
      </c>
      <c r="H832" s="24">
        <f t="shared" si="39"/>
        <v>4317953.2500000149</v>
      </c>
      <c r="I832" s="25">
        <f t="shared" si="37"/>
        <v>21.125812500007452</v>
      </c>
      <c r="J832" s="25">
        <f t="shared" si="38"/>
        <v>7.1112537055336213</v>
      </c>
      <c r="K832" s="17" t="s">
        <v>11</v>
      </c>
    </row>
    <row r="833" spans="1:11" ht="15.75" customHeight="1" x14ac:dyDescent="0.2">
      <c r="A833" s="15">
        <v>45636</v>
      </c>
      <c r="B833" s="3">
        <f>VLOOKUP(A833,'[1]BADI SID DATA'!A:B,2,0)</f>
        <v>254</v>
      </c>
      <c r="C833" s="11">
        <v>51344.79999999702</v>
      </c>
      <c r="D833" s="6">
        <v>5.53</v>
      </c>
      <c r="E833" s="23">
        <v>100</v>
      </c>
      <c r="F833" s="23">
        <v>100</v>
      </c>
      <c r="G833" s="16">
        <f>VLOOKUP(A833,'[1]DRDO Kolar Data'!$A:$E,5,0)*1000</f>
        <v>9500</v>
      </c>
      <c r="H833" s="24">
        <f t="shared" si="39"/>
        <v>4369298.0500000119</v>
      </c>
      <c r="I833" s="25">
        <f t="shared" si="37"/>
        <v>21.393666666665425</v>
      </c>
      <c r="J833" s="25">
        <f t="shared" si="38"/>
        <v>7.1674836778215418</v>
      </c>
      <c r="K833" s="17" t="s">
        <v>11</v>
      </c>
    </row>
    <row r="834" spans="1:11" ht="15.75" customHeight="1" x14ac:dyDescent="0.2">
      <c r="A834" s="15">
        <v>45637</v>
      </c>
      <c r="B834" s="3">
        <f>VLOOKUP(A834,'[1]BADI SID DATA'!A:B,2,0)</f>
        <v>255</v>
      </c>
      <c r="C834" s="11">
        <v>29254.549999982119</v>
      </c>
      <c r="D834" s="6">
        <v>2.76</v>
      </c>
      <c r="E834" s="23">
        <v>100</v>
      </c>
      <c r="F834" s="23">
        <v>100</v>
      </c>
      <c r="G834" s="16">
        <f>VLOOKUP(A834,'[1]DRDO Kolar Data'!$A:$E,5,0)*1000</f>
        <v>9200</v>
      </c>
      <c r="H834" s="24">
        <f t="shared" si="39"/>
        <v>4398552.599999994</v>
      </c>
      <c r="I834" s="25">
        <f t="shared" si="37"/>
        <v>12.189395833325884</v>
      </c>
      <c r="J834" s="25">
        <f t="shared" si="38"/>
        <v>7.1871774509803821</v>
      </c>
      <c r="K834" s="17" t="s">
        <v>15</v>
      </c>
    </row>
    <row r="835" spans="1:11" ht="15.75" customHeight="1" x14ac:dyDescent="0.2">
      <c r="A835" s="15">
        <v>45638</v>
      </c>
      <c r="B835" s="3">
        <f>VLOOKUP(A835,'[1]BADI SID DATA'!A:B,2,0)</f>
        <v>256</v>
      </c>
      <c r="C835" s="11">
        <v>7799.3500000089407</v>
      </c>
      <c r="D835" s="6">
        <v>0.5</v>
      </c>
      <c r="E835" s="23">
        <v>100</v>
      </c>
      <c r="F835" s="23">
        <v>98.125</v>
      </c>
      <c r="G835" s="16">
        <f>VLOOKUP(A835,'[1]DRDO Kolar Data'!$A:$E,5,0)*1000</f>
        <v>1500</v>
      </c>
      <c r="H835" s="24">
        <f t="shared" si="39"/>
        <v>4406351.950000003</v>
      </c>
      <c r="I835" s="25">
        <f t="shared" ref="I835:I898" si="40">(C835/(10*24*1000))*100</f>
        <v>3.249729166670392</v>
      </c>
      <c r="J835" s="25">
        <f t="shared" ref="J835:J898" si="41">(H835/(24*B835*10*1000))*100</f>
        <v>7.1717967936197962</v>
      </c>
      <c r="K835" s="17" t="s">
        <v>35</v>
      </c>
    </row>
    <row r="836" spans="1:11" ht="15.75" customHeight="1" x14ac:dyDescent="0.2">
      <c r="A836" s="15">
        <v>45639</v>
      </c>
      <c r="B836" s="3">
        <f>VLOOKUP(A836,'[1]BADI SID DATA'!A:B,2,0)</f>
        <v>257</v>
      </c>
      <c r="C836" s="11">
        <v>15599.350000008941</v>
      </c>
      <c r="D836" s="6">
        <v>1.87</v>
      </c>
      <c r="E836" s="23">
        <v>100</v>
      </c>
      <c r="F836" s="23">
        <v>100</v>
      </c>
      <c r="G836" s="16">
        <f>VLOOKUP(A836,'[1]DRDO Kolar Data'!$A:$E,5,0)*1000</f>
        <v>2000</v>
      </c>
      <c r="H836" s="24">
        <f t="shared" si="39"/>
        <v>4421951.3000000119</v>
      </c>
      <c r="I836" s="25">
        <f t="shared" si="40"/>
        <v>6.4997291666703916</v>
      </c>
      <c r="J836" s="25">
        <f t="shared" si="41"/>
        <v>7.1691817444876973</v>
      </c>
      <c r="K836" s="17" t="s">
        <v>15</v>
      </c>
    </row>
    <row r="837" spans="1:11" ht="15.75" customHeight="1" x14ac:dyDescent="0.2">
      <c r="A837" s="15">
        <v>45640</v>
      </c>
      <c r="B837" s="3">
        <f>VLOOKUP(A837,'[1]BADI SID DATA'!A:B,2,0)</f>
        <v>258</v>
      </c>
      <c r="C837" s="11">
        <v>46148.04999999702</v>
      </c>
      <c r="D837" s="6">
        <v>4.95</v>
      </c>
      <c r="E837" s="23">
        <v>100</v>
      </c>
      <c r="F837" s="23">
        <v>100</v>
      </c>
      <c r="G837" s="16">
        <f>VLOOKUP(A837,'[1]DRDO Kolar Data'!$A:$E,5,0)*1000</f>
        <v>10500</v>
      </c>
      <c r="H837" s="24">
        <f t="shared" ref="H837:H900" si="42">C837+H836</f>
        <v>4468099.3500000089</v>
      </c>
      <c r="I837" s="25">
        <f t="shared" si="40"/>
        <v>19.228354166665426</v>
      </c>
      <c r="J837" s="25">
        <f t="shared" si="41"/>
        <v>7.2159227228682319</v>
      </c>
      <c r="K837" s="17" t="s">
        <v>13</v>
      </c>
    </row>
    <row r="838" spans="1:11" ht="15.75" customHeight="1" x14ac:dyDescent="0.2">
      <c r="A838" s="15">
        <v>45641</v>
      </c>
      <c r="B838" s="3">
        <f>VLOOKUP(A838,'[1]BADI SID DATA'!A:B,2,0)</f>
        <v>259</v>
      </c>
      <c r="C838" s="11">
        <v>57200</v>
      </c>
      <c r="D838" s="6">
        <v>6.13</v>
      </c>
      <c r="E838" s="23">
        <v>100</v>
      </c>
      <c r="F838" s="23">
        <v>100</v>
      </c>
      <c r="G838" s="16">
        <f>VLOOKUP(A838,'[1]DRDO Kolar Data'!$A:$E,5,0)*1000</f>
        <v>11100</v>
      </c>
      <c r="H838" s="24">
        <f t="shared" si="42"/>
        <v>4525299.3500000089</v>
      </c>
      <c r="I838" s="25">
        <f t="shared" si="40"/>
        <v>23.833333333333336</v>
      </c>
      <c r="J838" s="25">
        <f t="shared" si="41"/>
        <v>7.2800826093951239</v>
      </c>
      <c r="K838" s="17" t="s">
        <v>13</v>
      </c>
    </row>
    <row r="839" spans="1:11" ht="15.75" customHeight="1" x14ac:dyDescent="0.2">
      <c r="A839" s="15">
        <v>45642</v>
      </c>
      <c r="B839" s="3">
        <f>VLOOKUP(A839,'[1]BADI SID DATA'!A:B,2,0)</f>
        <v>260</v>
      </c>
      <c r="C839" s="11">
        <v>55899.34999999404</v>
      </c>
      <c r="D839" s="6">
        <v>6.06</v>
      </c>
      <c r="E839" s="23">
        <v>100</v>
      </c>
      <c r="F839" s="23">
        <v>100</v>
      </c>
      <c r="G839" s="16">
        <f>VLOOKUP(A839,'[1]DRDO Kolar Data'!$A:$E,5,0)*1000</f>
        <v>10900</v>
      </c>
      <c r="H839" s="24">
        <f t="shared" si="42"/>
        <v>4581198.700000003</v>
      </c>
      <c r="I839" s="25">
        <f t="shared" si="40"/>
        <v>23.291395833330849</v>
      </c>
      <c r="J839" s="25">
        <f t="shared" si="41"/>
        <v>7.3416645833333378</v>
      </c>
      <c r="K839" s="17" t="s">
        <v>13</v>
      </c>
    </row>
    <row r="840" spans="1:11" ht="15.75" customHeight="1" x14ac:dyDescent="0.2">
      <c r="A840" s="15">
        <v>45643</v>
      </c>
      <c r="B840" s="3">
        <f>VLOOKUP(A840,'[1]BADI SID DATA'!A:B,2,0)</f>
        <v>261</v>
      </c>
      <c r="C840" s="11">
        <v>47448.70000000298</v>
      </c>
      <c r="D840" s="6">
        <v>5.17</v>
      </c>
      <c r="E840" s="23">
        <v>100</v>
      </c>
      <c r="F840" s="23">
        <v>100</v>
      </c>
      <c r="G840" s="16">
        <f>VLOOKUP(A840,'[1]DRDO Kolar Data'!$A:$E,5,0)*1000</f>
        <v>10800</v>
      </c>
      <c r="H840" s="24">
        <f t="shared" si="42"/>
        <v>4628647.400000006</v>
      </c>
      <c r="I840" s="25">
        <f t="shared" si="40"/>
        <v>19.770291666667909</v>
      </c>
      <c r="J840" s="25">
        <f t="shared" si="41"/>
        <v>7.3892838441890261</v>
      </c>
      <c r="K840" s="17" t="s">
        <v>13</v>
      </c>
    </row>
    <row r="841" spans="1:11" ht="15.75" customHeight="1" x14ac:dyDescent="0.2">
      <c r="A841" s="15">
        <v>45644</v>
      </c>
      <c r="B841" s="3">
        <f>VLOOKUP(A841,'[1]BADI SID DATA'!A:B,2,0)</f>
        <v>262</v>
      </c>
      <c r="C841" s="11">
        <v>25350.649999991059</v>
      </c>
      <c r="D841" s="6">
        <v>2.41</v>
      </c>
      <c r="E841" s="23">
        <v>100</v>
      </c>
      <c r="F841" s="23">
        <v>100</v>
      </c>
      <c r="G841" s="16">
        <f>VLOOKUP(A841,'[1]DRDO Kolar Data'!$A:$E,5,0)*1000</f>
        <v>8200</v>
      </c>
      <c r="H841" s="24">
        <f t="shared" si="42"/>
        <v>4653998.049999997</v>
      </c>
      <c r="I841" s="25">
        <f t="shared" si="40"/>
        <v>10.562770833329608</v>
      </c>
      <c r="J841" s="25">
        <f t="shared" si="41"/>
        <v>7.4013963899491051</v>
      </c>
      <c r="K841" s="17" t="s">
        <v>11</v>
      </c>
    </row>
    <row r="842" spans="1:11" ht="15.75" customHeight="1" x14ac:dyDescent="0.2">
      <c r="A842" s="15">
        <v>45645</v>
      </c>
      <c r="B842" s="3">
        <f>VLOOKUP(A842,'[1]BADI SID DATA'!A:B,2,0)</f>
        <v>263</v>
      </c>
      <c r="C842" s="11">
        <v>29254.550000011921</v>
      </c>
      <c r="D842" s="6">
        <v>2.89</v>
      </c>
      <c r="E842" s="23">
        <v>100</v>
      </c>
      <c r="F842" s="23">
        <v>100</v>
      </c>
      <c r="G842" s="16">
        <f>VLOOKUP(A842,'[1]DRDO Kolar Data'!$A:$E,5,0)*1000</f>
        <v>9200</v>
      </c>
      <c r="H842" s="24">
        <f t="shared" si="42"/>
        <v>4683252.6000000089</v>
      </c>
      <c r="I842" s="25">
        <f t="shared" si="40"/>
        <v>12.189395833338299</v>
      </c>
      <c r="J842" s="25">
        <f t="shared" si="41"/>
        <v>7.4196017110266297</v>
      </c>
      <c r="K842" s="17" t="s">
        <v>11</v>
      </c>
    </row>
    <row r="843" spans="1:11" ht="15.75" customHeight="1" x14ac:dyDescent="0.2">
      <c r="A843" s="15">
        <v>45646</v>
      </c>
      <c r="B843" s="3">
        <f>VLOOKUP(A843,'[1]BADI SID DATA'!A:B,2,0)</f>
        <v>264</v>
      </c>
      <c r="C843" s="11">
        <v>23399.34999999404</v>
      </c>
      <c r="D843" s="6">
        <v>2.06</v>
      </c>
      <c r="E843" s="23">
        <v>100</v>
      </c>
      <c r="F843" s="23">
        <v>100</v>
      </c>
      <c r="G843" s="16">
        <f>VLOOKUP(A843,'[1]DRDO Kolar Data'!$A:$E,5,0)*1000</f>
        <v>8600</v>
      </c>
      <c r="H843" s="24">
        <f t="shared" si="42"/>
        <v>4706651.950000003</v>
      </c>
      <c r="I843" s="25">
        <f t="shared" si="40"/>
        <v>9.7497291666641832</v>
      </c>
      <c r="J843" s="25">
        <f t="shared" si="41"/>
        <v>7.428427951388894</v>
      </c>
      <c r="K843" s="17" t="s">
        <v>11</v>
      </c>
    </row>
    <row r="844" spans="1:11" ht="15.75" customHeight="1" x14ac:dyDescent="0.2">
      <c r="A844" s="15">
        <v>45647</v>
      </c>
      <c r="B844" s="3">
        <f>VLOOKUP(A844,'[1]BADI SID DATA'!A:B,2,0)</f>
        <v>265</v>
      </c>
      <c r="C844" s="11">
        <v>53296.75</v>
      </c>
      <c r="D844" s="6">
        <v>7.94</v>
      </c>
      <c r="E844" s="23">
        <v>100</v>
      </c>
      <c r="F844" s="23">
        <v>100</v>
      </c>
      <c r="G844" s="16">
        <f>VLOOKUP(A844,'[1]DRDO Kolar Data'!$A:$E,5,0)*1000</f>
        <v>10700</v>
      </c>
      <c r="H844" s="24">
        <f t="shared" si="42"/>
        <v>4759948.700000003</v>
      </c>
      <c r="I844" s="25">
        <f t="shared" si="40"/>
        <v>22.206979166666667</v>
      </c>
      <c r="J844" s="25">
        <f t="shared" si="41"/>
        <v>7.4841960691823948</v>
      </c>
      <c r="K844" s="17" t="s">
        <v>13</v>
      </c>
    </row>
    <row r="845" spans="1:11" ht="15.75" customHeight="1" x14ac:dyDescent="0.2">
      <c r="A845" s="15">
        <v>45648</v>
      </c>
      <c r="B845" s="3">
        <f>VLOOKUP(A845,'[1]BADI SID DATA'!A:B,2,0)</f>
        <v>266</v>
      </c>
      <c r="C845" s="11">
        <v>36403.25</v>
      </c>
      <c r="D845" s="6">
        <v>3.77</v>
      </c>
      <c r="E845" s="23">
        <v>100</v>
      </c>
      <c r="F845" s="23">
        <v>100</v>
      </c>
      <c r="G845" s="16">
        <f>VLOOKUP(A845,'[1]DRDO Kolar Data'!$A:$E,5,0)*1000</f>
        <v>9800</v>
      </c>
      <c r="H845" s="24">
        <f t="shared" si="42"/>
        <v>4796351.950000003</v>
      </c>
      <c r="I845" s="25">
        <f t="shared" si="40"/>
        <v>15.168020833333335</v>
      </c>
      <c r="J845" s="25">
        <f t="shared" si="41"/>
        <v>7.5130826284461198</v>
      </c>
      <c r="K845" s="17" t="s">
        <v>13</v>
      </c>
    </row>
    <row r="846" spans="1:11" ht="15.75" customHeight="1" x14ac:dyDescent="0.2">
      <c r="A846" s="15">
        <v>45649</v>
      </c>
      <c r="B846" s="3">
        <f>VLOOKUP(A846,'[1]BADI SID DATA'!A:B,2,0)</f>
        <v>267</v>
      </c>
      <c r="C846" s="11">
        <v>48750</v>
      </c>
      <c r="D846" s="6">
        <v>5.27</v>
      </c>
      <c r="E846" s="23">
        <v>100</v>
      </c>
      <c r="F846" s="23">
        <v>100</v>
      </c>
      <c r="G846" s="16">
        <f>VLOOKUP(A846,'[1]DRDO Kolar Data'!$A:$E,5,0)*1000</f>
        <v>11100</v>
      </c>
      <c r="H846" s="24">
        <f t="shared" si="42"/>
        <v>4845101.950000003</v>
      </c>
      <c r="I846" s="25">
        <f t="shared" si="40"/>
        <v>20.3125</v>
      </c>
      <c r="J846" s="25">
        <f t="shared" si="41"/>
        <v>7.561020521223476</v>
      </c>
      <c r="K846" s="17" t="s">
        <v>13</v>
      </c>
    </row>
    <row r="847" spans="1:11" ht="15.75" customHeight="1" x14ac:dyDescent="0.2">
      <c r="A847" s="15">
        <v>45650</v>
      </c>
      <c r="B847" s="3">
        <f>VLOOKUP(A847,'[1]BADI SID DATA'!A:B,2,0)</f>
        <v>268</v>
      </c>
      <c r="C847" s="11">
        <v>33150.65000000596</v>
      </c>
      <c r="D847" s="6">
        <v>3.16</v>
      </c>
      <c r="E847" s="23">
        <v>100</v>
      </c>
      <c r="F847" s="23">
        <v>100</v>
      </c>
      <c r="G847" s="16">
        <f>VLOOKUP(A847,'[1]DRDO Kolar Data'!$A:$E,5,0)*1000</f>
        <v>9300</v>
      </c>
      <c r="H847" s="24">
        <f t="shared" si="42"/>
        <v>4878252.6000000089</v>
      </c>
      <c r="I847" s="25">
        <f t="shared" si="40"/>
        <v>13.812770833335817</v>
      </c>
      <c r="J847" s="25">
        <f t="shared" si="41"/>
        <v>7.5843479477612084</v>
      </c>
      <c r="K847" s="17" t="s">
        <v>11</v>
      </c>
    </row>
    <row r="848" spans="1:11" ht="15.75" customHeight="1" x14ac:dyDescent="0.2">
      <c r="A848" s="15">
        <v>45651</v>
      </c>
      <c r="B848" s="3">
        <f>VLOOKUP(A848,'[1]BADI SID DATA'!A:B,2,0)</f>
        <v>269</v>
      </c>
      <c r="C848" s="11">
        <v>31849.34999999404</v>
      </c>
      <c r="D848" s="6">
        <v>3.28</v>
      </c>
      <c r="E848" s="23">
        <v>100</v>
      </c>
      <c r="F848" s="23">
        <v>100</v>
      </c>
      <c r="G848" s="16">
        <f>VLOOKUP(A848,'[1]DRDO Kolar Data'!$A:$E,5,0)*1000</f>
        <v>8600</v>
      </c>
      <c r="H848" s="24">
        <f t="shared" si="42"/>
        <v>4910101.950000003</v>
      </c>
      <c r="I848" s="25">
        <f t="shared" si="40"/>
        <v>13.270562499997515</v>
      </c>
      <c r="J848" s="25">
        <f t="shared" si="41"/>
        <v>7.605486291821566</v>
      </c>
      <c r="K848" s="17" t="s">
        <v>11</v>
      </c>
    </row>
    <row r="849" spans="1:11" ht="15.75" customHeight="1" x14ac:dyDescent="0.2">
      <c r="A849" s="15">
        <v>45652</v>
      </c>
      <c r="B849" s="3">
        <f>VLOOKUP(A849,'[1]BADI SID DATA'!A:B,2,0)</f>
        <v>270</v>
      </c>
      <c r="C849" s="11">
        <v>14948.70000000298</v>
      </c>
      <c r="D849" s="7">
        <v>1.29</v>
      </c>
      <c r="E849" s="23">
        <v>100</v>
      </c>
      <c r="F849" s="23">
        <v>100</v>
      </c>
      <c r="G849" s="16">
        <f>VLOOKUP(A849,'[1]DRDO Kolar Data'!$A:$E,5,0)*1000</f>
        <v>3200</v>
      </c>
      <c r="H849" s="24">
        <f t="shared" si="42"/>
        <v>4925050.650000006</v>
      </c>
      <c r="I849" s="25">
        <f t="shared" si="40"/>
        <v>6.2286250000012418</v>
      </c>
      <c r="J849" s="25">
        <f t="shared" si="41"/>
        <v>7.6003868055555648</v>
      </c>
      <c r="K849" s="17" t="s">
        <v>35</v>
      </c>
    </row>
    <row r="850" spans="1:11" ht="15.75" customHeight="1" x14ac:dyDescent="0.2">
      <c r="A850" s="15">
        <v>45653</v>
      </c>
      <c r="B850" s="3">
        <f>VLOOKUP(A850,'[1]BADI SID DATA'!A:B,2,0)</f>
        <v>271</v>
      </c>
      <c r="C850" s="11">
        <v>16250</v>
      </c>
      <c r="D850" s="6">
        <v>1.33</v>
      </c>
      <c r="E850" s="23">
        <v>100</v>
      </c>
      <c r="F850" s="23">
        <v>100</v>
      </c>
      <c r="G850" s="16">
        <f>VLOOKUP(A850,'[1]DRDO Kolar Data'!$A:$E,5,0)*1000</f>
        <v>3500</v>
      </c>
      <c r="H850" s="24">
        <f t="shared" si="42"/>
        <v>4941300.650000006</v>
      </c>
      <c r="I850" s="25">
        <f t="shared" si="40"/>
        <v>6.770833333333333</v>
      </c>
      <c r="J850" s="25">
        <f t="shared" si="41"/>
        <v>7.5973257226322355</v>
      </c>
      <c r="K850" s="17" t="s">
        <v>35</v>
      </c>
    </row>
    <row r="851" spans="1:11" ht="15.75" customHeight="1" x14ac:dyDescent="0.2">
      <c r="A851" s="15">
        <v>45654</v>
      </c>
      <c r="B851" s="3">
        <f>VLOOKUP(A851,'[1]BADI SID DATA'!A:B,2,0)</f>
        <v>272</v>
      </c>
      <c r="C851" s="11">
        <v>45497.40000000596</v>
      </c>
      <c r="D851" s="7">
        <v>4.6100000000000003</v>
      </c>
      <c r="E851" s="23">
        <v>100</v>
      </c>
      <c r="F851" s="23">
        <v>100</v>
      </c>
      <c r="G851" s="16">
        <f>VLOOKUP(A851,'[1]DRDO Kolar Data'!$A:$E,5,0)*1000</f>
        <v>9200</v>
      </c>
      <c r="H851" s="24">
        <f t="shared" si="42"/>
        <v>4986798.0500000119</v>
      </c>
      <c r="I851" s="25">
        <f t="shared" si="40"/>
        <v>18.957250000002485</v>
      </c>
      <c r="J851" s="25">
        <f t="shared" si="41"/>
        <v>7.6390901501225672</v>
      </c>
      <c r="K851" s="17" t="s">
        <v>13</v>
      </c>
    </row>
    <row r="852" spans="1:11" ht="15.75" customHeight="1" x14ac:dyDescent="0.2">
      <c r="A852" s="15">
        <v>45655</v>
      </c>
      <c r="B852" s="3">
        <f>VLOOKUP(A852,'[1]BADI SID DATA'!A:B,2,0)</f>
        <v>273</v>
      </c>
      <c r="C852" s="11">
        <v>54605.199999988079</v>
      </c>
      <c r="D852" s="7">
        <v>5.78</v>
      </c>
      <c r="E852" s="23">
        <v>100</v>
      </c>
      <c r="F852" s="23">
        <v>100</v>
      </c>
      <c r="G852" s="16">
        <f>VLOOKUP(A852,'[1]DRDO Kolar Data'!$A:$E,5,0)*1000</f>
        <v>10600</v>
      </c>
      <c r="H852" s="24">
        <f t="shared" si="42"/>
        <v>5041403.25</v>
      </c>
      <c r="I852" s="25">
        <f t="shared" si="40"/>
        <v>22.752166666661701</v>
      </c>
      <c r="J852" s="25">
        <f t="shared" si="41"/>
        <v>7.6944494047619045</v>
      </c>
      <c r="K852" s="17" t="s">
        <v>13</v>
      </c>
    </row>
    <row r="853" spans="1:11" ht="15.75" customHeight="1" x14ac:dyDescent="0.2">
      <c r="A853" s="15">
        <v>45656</v>
      </c>
      <c r="B853" s="3">
        <f>VLOOKUP(A853,'[1]BADI SID DATA'!A:B,2,0)</f>
        <v>274</v>
      </c>
      <c r="C853" s="11">
        <v>36396.100000008941</v>
      </c>
      <c r="D853" s="7">
        <v>3.65</v>
      </c>
      <c r="E853" s="23">
        <v>100</v>
      </c>
      <c r="F853" s="23">
        <v>100</v>
      </c>
      <c r="G853" s="16">
        <f>VLOOKUP(A853,'[1]DRDO Kolar Data'!$A:$E,5,0)*1000</f>
        <v>9100</v>
      </c>
      <c r="H853" s="24">
        <f t="shared" si="42"/>
        <v>5077799.3500000089</v>
      </c>
      <c r="I853" s="25">
        <f t="shared" si="40"/>
        <v>15.165041666670392</v>
      </c>
      <c r="J853" s="25">
        <f t="shared" si="41"/>
        <v>7.7217143400243451</v>
      </c>
      <c r="K853" s="17" t="s">
        <v>13</v>
      </c>
    </row>
    <row r="854" spans="1:11" ht="15.75" customHeight="1" x14ac:dyDescent="0.2">
      <c r="A854" s="15">
        <v>45657</v>
      </c>
      <c r="B854" s="3">
        <f>VLOOKUP(A854,'[1]BADI SID DATA'!A:B,2,0)</f>
        <v>275</v>
      </c>
      <c r="C854" s="11">
        <v>65000</v>
      </c>
      <c r="D854" s="6">
        <v>7.06</v>
      </c>
      <c r="E854" s="23">
        <v>100</v>
      </c>
      <c r="F854" s="23">
        <v>100</v>
      </c>
      <c r="G854" s="16">
        <f>VLOOKUP(A854,'[1]DRDO Kolar Data'!$A:$E,5,0)*1000</f>
        <v>10900</v>
      </c>
      <c r="H854" s="24">
        <f t="shared" si="42"/>
        <v>5142799.3500000089</v>
      </c>
      <c r="I854" s="25">
        <f t="shared" si="40"/>
        <v>27.083333333333332</v>
      </c>
      <c r="J854" s="25">
        <f t="shared" si="41"/>
        <v>7.7921202272727408</v>
      </c>
      <c r="K854" s="17" t="s">
        <v>13</v>
      </c>
    </row>
    <row r="855" spans="1:11" ht="15.75" customHeight="1" x14ac:dyDescent="0.2">
      <c r="A855" s="15">
        <v>45658</v>
      </c>
      <c r="B855" s="3">
        <f>VLOOKUP(A855,'[1]BADI SID DATA'!A:B,2,0)</f>
        <v>276</v>
      </c>
      <c r="C855" s="11">
        <v>61754.54999999702</v>
      </c>
      <c r="D855" s="8">
        <v>6.56</v>
      </c>
      <c r="E855" s="23">
        <v>100</v>
      </c>
      <c r="F855" s="23">
        <v>100</v>
      </c>
      <c r="G855" s="16">
        <f>VLOOKUP(A855,'[1]DRDO Kolar Data'!$A:$E,5,0)*1000</f>
        <v>10100</v>
      </c>
      <c r="H855" s="24">
        <f t="shared" si="42"/>
        <v>5204553.900000006</v>
      </c>
      <c r="I855" s="25">
        <f t="shared" si="40"/>
        <v>25.731062499998757</v>
      </c>
      <c r="J855" s="25">
        <f t="shared" si="41"/>
        <v>7.8571163949275453</v>
      </c>
      <c r="K855" s="17" t="s">
        <v>13</v>
      </c>
    </row>
    <row r="856" spans="1:11" ht="15.75" customHeight="1" x14ac:dyDescent="0.2">
      <c r="A856" s="15">
        <v>45659</v>
      </c>
      <c r="B856" s="3">
        <f>VLOOKUP(A856,'[1]BADI SID DATA'!A:B,2,0)</f>
        <v>277</v>
      </c>
      <c r="C856" s="11">
        <v>61746.75</v>
      </c>
      <c r="D856" s="8">
        <v>6.62</v>
      </c>
      <c r="E856" s="23">
        <v>100</v>
      </c>
      <c r="F856" s="23">
        <v>100</v>
      </c>
      <c r="G856" s="16">
        <f>VLOOKUP(A856,'[1]DRDO Kolar Data'!$A:$E,5,0)*1000</f>
        <v>10600</v>
      </c>
      <c r="H856" s="24">
        <f t="shared" si="42"/>
        <v>5266300.650000006</v>
      </c>
      <c r="I856" s="25">
        <f t="shared" si="40"/>
        <v>25.727812500000002</v>
      </c>
      <c r="J856" s="25">
        <f t="shared" si="41"/>
        <v>7.9216315433213085</v>
      </c>
      <c r="K856" s="17" t="s">
        <v>13</v>
      </c>
    </row>
    <row r="857" spans="1:11" ht="15.75" customHeight="1" x14ac:dyDescent="0.2">
      <c r="A857" s="15">
        <v>45660</v>
      </c>
      <c r="B857" s="3">
        <f>VLOOKUP(A857,'[1]BADI SID DATA'!A:B,2,0)</f>
        <v>278</v>
      </c>
      <c r="C857" s="11">
        <v>63048.70000000298</v>
      </c>
      <c r="D857" s="5">
        <v>6.7</v>
      </c>
      <c r="E857" s="23">
        <v>100</v>
      </c>
      <c r="F857" s="23">
        <v>100</v>
      </c>
      <c r="G857" s="16">
        <f>VLOOKUP(A857,'[1]DRDO Kolar Data'!$A:$E,5,0)*1000</f>
        <v>10300</v>
      </c>
      <c r="H857" s="24">
        <f t="shared" si="42"/>
        <v>5329349.3500000089</v>
      </c>
      <c r="I857" s="25">
        <f t="shared" si="40"/>
        <v>26.270291666667912</v>
      </c>
      <c r="J857" s="25">
        <f t="shared" si="41"/>
        <v>7.9876339178657201</v>
      </c>
      <c r="K857" s="17" t="s">
        <v>13</v>
      </c>
    </row>
    <row r="858" spans="1:11" ht="15.75" customHeight="1" x14ac:dyDescent="0.2">
      <c r="A858" s="15">
        <v>45661</v>
      </c>
      <c r="B858" s="3">
        <f>VLOOKUP(A858,'[1]BADI SID DATA'!A:B,2,0)</f>
        <v>279</v>
      </c>
      <c r="C858" s="11">
        <v>61754.54999999702</v>
      </c>
      <c r="D858" s="8">
        <v>6.6</v>
      </c>
      <c r="E858" s="23">
        <v>100</v>
      </c>
      <c r="F858" s="23">
        <v>100</v>
      </c>
      <c r="G858" s="16">
        <f>VLOOKUP(A858,'[1]DRDO Kolar Data'!$A:$E,5,0)*1000</f>
        <v>10800</v>
      </c>
      <c r="H858" s="24">
        <f t="shared" si="42"/>
        <v>5391103.900000006</v>
      </c>
      <c r="I858" s="25">
        <f t="shared" si="40"/>
        <v>25.731062499998757</v>
      </c>
      <c r="J858" s="25">
        <f t="shared" si="41"/>
        <v>8.0512304360812514</v>
      </c>
      <c r="K858" s="17" t="s">
        <v>13</v>
      </c>
    </row>
    <row r="859" spans="1:11" ht="15.75" customHeight="1" x14ac:dyDescent="0.2">
      <c r="A859" s="15">
        <v>45662</v>
      </c>
      <c r="B859" s="3">
        <f>VLOOKUP(A859,'[1]BADI SID DATA'!A:B,2,0)</f>
        <v>280</v>
      </c>
      <c r="C859" s="11">
        <v>63048.04999999702</v>
      </c>
      <c r="D859" s="8">
        <v>6.81</v>
      </c>
      <c r="E859" s="23">
        <v>100</v>
      </c>
      <c r="F859" s="23">
        <v>100</v>
      </c>
      <c r="G859" s="16">
        <f>VLOOKUP(A859,'[1]DRDO Kolar Data'!$A:$E,5,0)*1000</f>
        <v>10500</v>
      </c>
      <c r="H859" s="24">
        <f t="shared" si="42"/>
        <v>5454151.950000003</v>
      </c>
      <c r="I859" s="25">
        <f t="shared" si="40"/>
        <v>26.27002083333209</v>
      </c>
      <c r="J859" s="25">
        <f t="shared" si="41"/>
        <v>8.1162975446428618</v>
      </c>
      <c r="K859" s="17" t="s">
        <v>13</v>
      </c>
    </row>
    <row r="860" spans="1:11" ht="15.75" customHeight="1" x14ac:dyDescent="0.2">
      <c r="A860" s="15">
        <v>45663</v>
      </c>
      <c r="B860" s="3">
        <f>VLOOKUP(A860,'[1]BADI SID DATA'!A:B,2,0)</f>
        <v>281</v>
      </c>
      <c r="C860" s="11">
        <v>61746.750000014901</v>
      </c>
      <c r="D860" s="5">
        <v>6.83</v>
      </c>
      <c r="E860" s="23">
        <v>100</v>
      </c>
      <c r="F860" s="23">
        <v>100</v>
      </c>
      <c r="G860" s="16">
        <f>VLOOKUP(A860,'[1]DRDO Kolar Data'!$A:$E,5,0)*1000</f>
        <v>10400</v>
      </c>
      <c r="H860" s="24">
        <f t="shared" si="42"/>
        <v>5515898.7000000179</v>
      </c>
      <c r="I860" s="25">
        <f t="shared" si="40"/>
        <v>25.727812500006209</v>
      </c>
      <c r="J860" s="25">
        <f t="shared" si="41"/>
        <v>8.1789719750889951</v>
      </c>
      <c r="K860" s="17" t="s">
        <v>13</v>
      </c>
    </row>
    <row r="861" spans="1:11" ht="15.75" customHeight="1" x14ac:dyDescent="0.2">
      <c r="A861" s="15">
        <v>45664</v>
      </c>
      <c r="B861" s="3">
        <f>VLOOKUP(A861,'[1]BADI SID DATA'!A:B,2,0)</f>
        <v>282</v>
      </c>
      <c r="C861" s="11">
        <v>56549.999999985099</v>
      </c>
      <c r="D861" s="5">
        <v>6.11</v>
      </c>
      <c r="E861" s="23">
        <v>100</v>
      </c>
      <c r="F861" s="23">
        <v>100</v>
      </c>
      <c r="G861" s="16">
        <f>VLOOKUP(A861,'[1]DRDO Kolar Data'!$A:$E,5,0)*1000</f>
        <v>10200</v>
      </c>
      <c r="H861" s="24">
        <f t="shared" si="42"/>
        <v>5572448.700000003</v>
      </c>
      <c r="I861" s="25">
        <f t="shared" si="40"/>
        <v>23.56249999999379</v>
      </c>
      <c r="J861" s="25">
        <f t="shared" si="41"/>
        <v>8.2335234929078052</v>
      </c>
      <c r="K861" s="17" t="s">
        <v>13</v>
      </c>
    </row>
    <row r="862" spans="1:11" ht="15.75" customHeight="1" x14ac:dyDescent="0.2">
      <c r="A862" s="15">
        <v>45665</v>
      </c>
      <c r="B862" s="3">
        <f>VLOOKUP(A862,'[1]BADI SID DATA'!A:B,2,0)</f>
        <v>283</v>
      </c>
      <c r="C862" s="11">
        <v>64349.350000008941</v>
      </c>
      <c r="D862" s="8">
        <v>6.92</v>
      </c>
      <c r="E862" s="23">
        <v>100</v>
      </c>
      <c r="F862" s="23">
        <v>100</v>
      </c>
      <c r="G862" s="16">
        <f>VLOOKUP(A862,'[1]DRDO Kolar Data'!$A:$E,5,0)*1000</f>
        <v>10900</v>
      </c>
      <c r="H862" s="24">
        <f t="shared" si="42"/>
        <v>5636798.0500000119</v>
      </c>
      <c r="I862" s="25">
        <f t="shared" si="40"/>
        <v>26.812229166670392</v>
      </c>
      <c r="J862" s="25">
        <f t="shared" si="41"/>
        <v>8.299172629564211</v>
      </c>
      <c r="K862" s="17" t="s">
        <v>13</v>
      </c>
    </row>
    <row r="863" spans="1:11" ht="15.75" customHeight="1" x14ac:dyDescent="0.2">
      <c r="A863" s="15">
        <v>45666</v>
      </c>
      <c r="B863" s="3">
        <f>VLOOKUP(A863,'[1]BADI SID DATA'!A:B,2,0)</f>
        <v>284</v>
      </c>
      <c r="C863" s="11">
        <v>48750</v>
      </c>
      <c r="D863" s="8">
        <v>5.08</v>
      </c>
      <c r="E863" s="23">
        <v>100</v>
      </c>
      <c r="F863" s="23">
        <v>100</v>
      </c>
      <c r="G863" s="16">
        <f>VLOOKUP(A863,'[1]DRDO Kolar Data'!$A:$E,5,0)*1000</f>
        <v>10500</v>
      </c>
      <c r="H863" s="24">
        <f t="shared" si="42"/>
        <v>5685548.0500000119</v>
      </c>
      <c r="I863" s="25">
        <f t="shared" si="40"/>
        <v>20.3125</v>
      </c>
      <c r="J863" s="25">
        <f t="shared" si="41"/>
        <v>8.3414730780516599</v>
      </c>
      <c r="K863" s="17" t="s">
        <v>13</v>
      </c>
    </row>
    <row r="864" spans="1:11" ht="15.75" customHeight="1" x14ac:dyDescent="0.2">
      <c r="A864" s="15">
        <v>45667</v>
      </c>
      <c r="B864" s="3">
        <f>VLOOKUP(A864,'[1]BADI SID DATA'!A:B,2,0)</f>
        <v>285</v>
      </c>
      <c r="C864" s="11">
        <v>33150.649999991059</v>
      </c>
      <c r="D864" s="6">
        <v>3.31</v>
      </c>
      <c r="E864" s="23">
        <v>100</v>
      </c>
      <c r="F864" s="23">
        <v>100</v>
      </c>
      <c r="G864" s="16">
        <f>VLOOKUP(A864,'[1]DRDO Kolar Data'!$A:$E,5,0)*1000</f>
        <v>10100</v>
      </c>
      <c r="H864" s="24">
        <f t="shared" si="42"/>
        <v>5718698.700000003</v>
      </c>
      <c r="I864" s="25">
        <f t="shared" si="40"/>
        <v>13.812770833329607</v>
      </c>
      <c r="J864" s="25">
        <f t="shared" si="41"/>
        <v>8.3606706140350919</v>
      </c>
      <c r="K864" s="17" t="s">
        <v>13</v>
      </c>
    </row>
    <row r="865" spans="1:11" ht="15.75" customHeight="1" x14ac:dyDescent="0.2">
      <c r="A865" s="15">
        <v>45668</v>
      </c>
      <c r="B865" s="3">
        <f>VLOOKUP(A865,'[1]BADI SID DATA'!A:B,2,0)</f>
        <v>286</v>
      </c>
      <c r="C865" s="11">
        <v>20803.90000000596</v>
      </c>
      <c r="D865" s="6">
        <v>1.79</v>
      </c>
      <c r="E865" s="23">
        <v>100</v>
      </c>
      <c r="F865" s="23">
        <v>100</v>
      </c>
      <c r="G865" s="16">
        <f>VLOOKUP(A865,'[1]DRDO Kolar Data'!$A:$E,5,0)*1000</f>
        <v>8200</v>
      </c>
      <c r="H865" s="24">
        <f t="shared" si="42"/>
        <v>5739502.6000000089</v>
      </c>
      <c r="I865" s="25">
        <f t="shared" si="40"/>
        <v>8.6682916666691501</v>
      </c>
      <c r="J865" s="25">
        <f t="shared" si="41"/>
        <v>8.3617462121212256</v>
      </c>
      <c r="K865" s="17" t="s">
        <v>11</v>
      </c>
    </row>
    <row r="866" spans="1:11" ht="15.75" customHeight="1" x14ac:dyDescent="0.2">
      <c r="A866" s="15">
        <v>45669</v>
      </c>
      <c r="B866" s="3">
        <f>VLOOKUP(A866,'[1]BADI SID DATA'!A:B,2,0)</f>
        <v>287</v>
      </c>
      <c r="C866" s="11">
        <v>57851.29999999702</v>
      </c>
      <c r="D866" s="6">
        <v>6.32</v>
      </c>
      <c r="E866" s="23">
        <v>100</v>
      </c>
      <c r="F866" s="23">
        <v>100</v>
      </c>
      <c r="G866" s="16">
        <f>VLOOKUP(A866,'[1]DRDO Kolar Data'!$A:$E,5,0)*1000</f>
        <v>10600</v>
      </c>
      <c r="H866" s="24">
        <f t="shared" si="42"/>
        <v>5797353.900000006</v>
      </c>
      <c r="I866" s="25">
        <f t="shared" si="40"/>
        <v>24.104708333332091</v>
      </c>
      <c r="J866" s="25">
        <f t="shared" si="41"/>
        <v>8.4165997386759663</v>
      </c>
      <c r="K866" s="17" t="s">
        <v>13</v>
      </c>
    </row>
    <row r="867" spans="1:11" ht="15.75" customHeight="1" x14ac:dyDescent="0.2">
      <c r="A867" s="15">
        <v>45670</v>
      </c>
      <c r="B867" s="3">
        <f>VLOOKUP(A867,'[1]BADI SID DATA'!A:B,2,0)</f>
        <v>288</v>
      </c>
      <c r="C867" s="11">
        <v>24700</v>
      </c>
      <c r="D867" s="6">
        <v>2.2999999999999998</v>
      </c>
      <c r="E867" s="23">
        <v>100</v>
      </c>
      <c r="F867" s="23">
        <v>100</v>
      </c>
      <c r="G867" s="16">
        <f>VLOOKUP(A867,'[1]DRDO Kolar Data'!$A:$E,5,0)*1000</f>
        <v>8900</v>
      </c>
      <c r="H867" s="24">
        <f t="shared" si="42"/>
        <v>5822053.900000006</v>
      </c>
      <c r="I867" s="25">
        <f t="shared" si="40"/>
        <v>10.291666666666668</v>
      </c>
      <c r="J867" s="25">
        <f t="shared" si="41"/>
        <v>8.4231103877314908</v>
      </c>
      <c r="K867" s="17" t="s">
        <v>11</v>
      </c>
    </row>
    <row r="868" spans="1:11" ht="15.75" customHeight="1" x14ac:dyDescent="0.2">
      <c r="A868" s="15">
        <v>45671</v>
      </c>
      <c r="B868" s="3">
        <f>VLOOKUP(A868,'[1]BADI SID DATA'!A:B,2,0)</f>
        <v>289</v>
      </c>
      <c r="C868" s="11">
        <v>29246.75</v>
      </c>
      <c r="D868" s="6">
        <v>2.75</v>
      </c>
      <c r="E868" s="23">
        <v>100</v>
      </c>
      <c r="F868" s="23">
        <v>100</v>
      </c>
      <c r="G868" s="16">
        <f>VLOOKUP(A868,'[1]DRDO Kolar Data'!$A:$E,5,0)*1000</f>
        <v>8200</v>
      </c>
      <c r="H868" s="24">
        <f t="shared" si="42"/>
        <v>5851300.650000006</v>
      </c>
      <c r="I868" s="25">
        <f t="shared" si="40"/>
        <v>12.186145833333335</v>
      </c>
      <c r="J868" s="25">
        <f t="shared" si="41"/>
        <v>8.4361312716263051</v>
      </c>
      <c r="K868" s="17" t="s">
        <v>11</v>
      </c>
    </row>
    <row r="869" spans="1:11" ht="15.75" customHeight="1" x14ac:dyDescent="0.2">
      <c r="A869" s="15">
        <v>45672</v>
      </c>
      <c r="B869" s="3">
        <f>VLOOKUP(A869,'[1]BADI SID DATA'!A:B,2,0)</f>
        <v>290</v>
      </c>
      <c r="C869" s="11">
        <v>40300</v>
      </c>
      <c r="D869" s="6">
        <v>4.3</v>
      </c>
      <c r="E869" s="23">
        <v>100</v>
      </c>
      <c r="F869" s="23">
        <v>100</v>
      </c>
      <c r="G869" s="16">
        <f>VLOOKUP(A869,'[1]DRDO Kolar Data'!$A:$E,5,0)*1000</f>
        <v>10900</v>
      </c>
      <c r="H869" s="24">
        <f t="shared" si="42"/>
        <v>5891600.650000006</v>
      </c>
      <c r="I869" s="25">
        <f t="shared" si="40"/>
        <v>16.791666666666664</v>
      </c>
      <c r="J869" s="25">
        <f t="shared" si="41"/>
        <v>8.4649434626436868</v>
      </c>
      <c r="K869" s="17" t="s">
        <v>13</v>
      </c>
    </row>
    <row r="870" spans="1:11" ht="15.75" customHeight="1" x14ac:dyDescent="0.2">
      <c r="A870" s="15">
        <v>45673</v>
      </c>
      <c r="B870" s="3">
        <f>VLOOKUP(A870,'[1]BADI SID DATA'!A:B,2,0)</f>
        <v>291</v>
      </c>
      <c r="C870" s="11">
        <v>53297.40000000596</v>
      </c>
      <c r="D870" s="6">
        <v>5.2</v>
      </c>
      <c r="E870" s="23">
        <v>100</v>
      </c>
      <c r="F870" s="23">
        <v>100</v>
      </c>
      <c r="G870" s="16">
        <f>VLOOKUP(A870,'[1]DRDO Kolar Data'!$A:$E,5,0)*1000</f>
        <v>10700</v>
      </c>
      <c r="H870" s="24">
        <f t="shared" si="42"/>
        <v>5944898.0500000119</v>
      </c>
      <c r="I870" s="25">
        <f t="shared" si="40"/>
        <v>22.207250000002485</v>
      </c>
      <c r="J870" s="25">
        <f t="shared" si="41"/>
        <v>8.5121678837342678</v>
      </c>
      <c r="K870" s="17" t="s">
        <v>13</v>
      </c>
    </row>
    <row r="871" spans="1:11" ht="15.75" customHeight="1" x14ac:dyDescent="0.2">
      <c r="A871" s="15">
        <v>45674</v>
      </c>
      <c r="B871" s="3">
        <f>VLOOKUP(A871,'[1]BADI SID DATA'!A:B,2,0)</f>
        <v>292</v>
      </c>
      <c r="C871" s="11">
        <v>41599.999999985099</v>
      </c>
      <c r="D871" s="6">
        <v>4.2</v>
      </c>
      <c r="E871" s="23">
        <v>100</v>
      </c>
      <c r="F871" s="23">
        <v>100</v>
      </c>
      <c r="G871" s="16">
        <f>VLOOKUP(A871,'[1]DRDO Kolar Data'!$A:$E,5,0)*1000</f>
        <v>10500</v>
      </c>
      <c r="H871" s="24">
        <f t="shared" si="42"/>
        <v>5986498.049999997</v>
      </c>
      <c r="I871" s="25">
        <f t="shared" si="40"/>
        <v>17.333333333327126</v>
      </c>
      <c r="J871" s="25">
        <f t="shared" si="41"/>
        <v>8.54237735445205</v>
      </c>
      <c r="K871" s="17" t="s">
        <v>13</v>
      </c>
    </row>
    <row r="872" spans="1:11" ht="15.75" customHeight="1" x14ac:dyDescent="0.2">
      <c r="A872" s="15">
        <v>45675</v>
      </c>
      <c r="B872" s="3">
        <f>VLOOKUP(A872,'[1]BADI SID DATA'!A:B,2,0)</f>
        <v>293</v>
      </c>
      <c r="C872" s="11">
        <v>52003.25</v>
      </c>
      <c r="D872" s="6">
        <v>5.43</v>
      </c>
      <c r="E872" s="23">
        <v>100</v>
      </c>
      <c r="F872" s="23">
        <v>100</v>
      </c>
      <c r="G872" s="16">
        <f>VLOOKUP(A872,'[1]DRDO Kolar Data'!$A:$E,5,0)*1000</f>
        <v>10800</v>
      </c>
      <c r="H872" s="24">
        <f t="shared" si="42"/>
        <v>6038501.299999997</v>
      </c>
      <c r="I872" s="25">
        <f t="shared" si="40"/>
        <v>21.668020833333333</v>
      </c>
      <c r="J872" s="25">
        <f t="shared" si="41"/>
        <v>8.5871747724687104</v>
      </c>
      <c r="K872" s="17" t="s">
        <v>13</v>
      </c>
    </row>
    <row r="873" spans="1:11" ht="15.75" customHeight="1" x14ac:dyDescent="0.2">
      <c r="A873" s="15">
        <v>45676</v>
      </c>
      <c r="B873" s="3">
        <f>VLOOKUP(A873,'[1]BADI SID DATA'!A:B,2,0)</f>
        <v>294</v>
      </c>
      <c r="C873" s="11">
        <v>8450.0000000149012</v>
      </c>
      <c r="D873" s="6">
        <v>0.55000000000000004</v>
      </c>
      <c r="E873" s="23">
        <v>100</v>
      </c>
      <c r="F873" s="23">
        <v>100</v>
      </c>
      <c r="G873" s="16">
        <f>VLOOKUP(A873,'[1]DRDO Kolar Data'!$A:$E,5,0)*1000</f>
        <v>5200</v>
      </c>
      <c r="H873" s="24">
        <f t="shared" si="42"/>
        <v>6046951.3000000119</v>
      </c>
      <c r="I873" s="25">
        <f t="shared" si="40"/>
        <v>3.5208333333395423</v>
      </c>
      <c r="J873" s="25">
        <f t="shared" si="41"/>
        <v>8.569942318594121</v>
      </c>
      <c r="K873" s="17" t="s">
        <v>11</v>
      </c>
    </row>
    <row r="874" spans="1:11" ht="15.75" customHeight="1" x14ac:dyDescent="0.2">
      <c r="A874" s="15">
        <v>45677</v>
      </c>
      <c r="B874" s="3">
        <f>VLOOKUP(A874,'[1]BADI SID DATA'!A:B,2,0)</f>
        <v>295</v>
      </c>
      <c r="C874" s="11">
        <v>57200.649999991059</v>
      </c>
      <c r="D874" s="6">
        <v>6.18</v>
      </c>
      <c r="E874" s="23">
        <v>100</v>
      </c>
      <c r="F874" s="23">
        <v>100</v>
      </c>
      <c r="G874" s="16">
        <f>VLOOKUP(A874,'[1]DRDO Kolar Data'!$A:$E,5,0)*1000</f>
        <v>10700</v>
      </c>
      <c r="H874" s="24">
        <f t="shared" si="42"/>
        <v>6104151.950000003</v>
      </c>
      <c r="I874" s="25">
        <f t="shared" si="40"/>
        <v>23.833604166662941</v>
      </c>
      <c r="J874" s="25">
        <f t="shared" si="41"/>
        <v>8.6216835451977438</v>
      </c>
      <c r="K874" s="17" t="s">
        <v>13</v>
      </c>
    </row>
    <row r="875" spans="1:11" ht="15.75" customHeight="1" x14ac:dyDescent="0.2">
      <c r="A875" s="15">
        <v>45678</v>
      </c>
      <c r="B875" s="3">
        <f>VLOOKUP(A875,'[1]BADI SID DATA'!A:B,2,0)</f>
        <v>296</v>
      </c>
      <c r="C875" s="11">
        <v>66301.300000011921</v>
      </c>
      <c r="D875" s="6">
        <v>7.06</v>
      </c>
      <c r="E875" s="23">
        <v>100</v>
      </c>
      <c r="F875" s="23">
        <v>100</v>
      </c>
      <c r="G875" s="16">
        <f>VLOOKUP(A875,'[1]DRDO Kolar Data'!$A:$E,5,0)*1000</f>
        <v>10500</v>
      </c>
      <c r="H875" s="24">
        <f t="shared" si="42"/>
        <v>6170453.2500000149</v>
      </c>
      <c r="I875" s="25">
        <f t="shared" si="40"/>
        <v>27.625541666671634</v>
      </c>
      <c r="J875" s="25">
        <f t="shared" si="41"/>
        <v>8.6858857685811017</v>
      </c>
      <c r="K875" s="17" t="s">
        <v>13</v>
      </c>
    </row>
    <row r="876" spans="1:11" ht="15.75" customHeight="1" x14ac:dyDescent="0.2">
      <c r="A876" s="15">
        <v>45679</v>
      </c>
      <c r="B876" s="3">
        <f>VLOOKUP(A876,'[1]BADI SID DATA'!A:B,2,0)</f>
        <v>297</v>
      </c>
      <c r="C876" s="11">
        <v>63698.699999988079</v>
      </c>
      <c r="D876" s="6">
        <v>6.89</v>
      </c>
      <c r="E876" s="23">
        <v>100</v>
      </c>
      <c r="F876" s="23">
        <v>100</v>
      </c>
      <c r="G876" s="16">
        <f>VLOOKUP(A876,'[1]DRDO Kolar Data'!$A:$E,5,0)*1000</f>
        <v>10900</v>
      </c>
      <c r="H876" s="24">
        <f t="shared" si="42"/>
        <v>6234151.950000003</v>
      </c>
      <c r="I876" s="25">
        <f t="shared" si="40"/>
        <v>26.541124999995031</v>
      </c>
      <c r="J876" s="25">
        <f t="shared" si="41"/>
        <v>8.7460044191919231</v>
      </c>
      <c r="K876" s="17" t="s">
        <v>13</v>
      </c>
    </row>
    <row r="877" spans="1:11" ht="15.75" customHeight="1" x14ac:dyDescent="0.2">
      <c r="A877" s="15">
        <v>45680</v>
      </c>
      <c r="B877" s="3">
        <f>VLOOKUP(A877,'[1]BADI SID DATA'!A:B,2,0)</f>
        <v>298</v>
      </c>
      <c r="C877" s="11">
        <v>54598.04999999702</v>
      </c>
      <c r="D877" s="6">
        <v>5.73</v>
      </c>
      <c r="E877" s="23">
        <v>100</v>
      </c>
      <c r="F877" s="23">
        <v>100</v>
      </c>
      <c r="G877" s="16">
        <f>VLOOKUP(A877,'[1]DRDO Kolar Data'!$A:$E,5,0)*1000</f>
        <v>10800</v>
      </c>
      <c r="H877" s="24">
        <f t="shared" si="42"/>
        <v>6288750</v>
      </c>
      <c r="I877" s="25">
        <f t="shared" si="40"/>
        <v>22.749187499998758</v>
      </c>
      <c r="J877" s="25">
        <f t="shared" si="41"/>
        <v>8.7929949664429525</v>
      </c>
      <c r="K877" s="17" t="s">
        <v>13</v>
      </c>
    </row>
    <row r="878" spans="1:11" ht="15.75" customHeight="1" x14ac:dyDescent="0.2">
      <c r="A878" s="15">
        <v>45681</v>
      </c>
      <c r="B878" s="3">
        <f>VLOOKUP(A878,'[1]BADI SID DATA'!A:B,2,0)</f>
        <v>299</v>
      </c>
      <c r="C878" s="11">
        <v>63698.70000000298</v>
      </c>
      <c r="D878" s="6">
        <v>6.91</v>
      </c>
      <c r="E878" s="23">
        <v>100</v>
      </c>
      <c r="F878" s="23">
        <v>100</v>
      </c>
      <c r="G878" s="16">
        <f>VLOOKUP(A878,'[1]DRDO Kolar Data'!$A:$E,5,0)*1000</f>
        <v>10600</v>
      </c>
      <c r="H878" s="24">
        <f t="shared" si="42"/>
        <v>6352448.700000003</v>
      </c>
      <c r="I878" s="25">
        <f t="shared" si="40"/>
        <v>26.541125000001241</v>
      </c>
      <c r="J878" s="25">
        <f t="shared" si="41"/>
        <v>8.8523532608695685</v>
      </c>
      <c r="K878" s="17" t="s">
        <v>13</v>
      </c>
    </row>
    <row r="879" spans="1:11" ht="15.75" customHeight="1" x14ac:dyDescent="0.2">
      <c r="A879" s="15">
        <v>45682</v>
      </c>
      <c r="B879" s="3">
        <f>VLOOKUP(A879,'[1]BADI SID DATA'!A:B,2,0)</f>
        <v>300</v>
      </c>
      <c r="C879" s="11">
        <v>66301.29999999702</v>
      </c>
      <c r="D879" s="6">
        <v>7.14</v>
      </c>
      <c r="E879" s="23">
        <v>100</v>
      </c>
      <c r="F879" s="23">
        <v>100</v>
      </c>
      <c r="G879" s="16">
        <f>VLOOKUP(A879,'[1]DRDO Kolar Data'!$A:$E,5,0)*1000</f>
        <v>10400</v>
      </c>
      <c r="H879" s="24">
        <f t="shared" si="42"/>
        <v>6418750</v>
      </c>
      <c r="I879" s="25">
        <f t="shared" si="40"/>
        <v>27.625541666665427</v>
      </c>
      <c r="J879" s="25">
        <f t="shared" si="41"/>
        <v>8.9149305555555554</v>
      </c>
      <c r="K879" s="17" t="s">
        <v>13</v>
      </c>
    </row>
    <row r="880" spans="1:11" ht="15.75" customHeight="1" x14ac:dyDescent="0.2">
      <c r="A880" s="15">
        <v>45683</v>
      </c>
      <c r="B880" s="3">
        <f>VLOOKUP(A880,'[1]BADI SID DATA'!A:B,2,0)</f>
        <v>301</v>
      </c>
      <c r="C880" s="11">
        <v>70196.75</v>
      </c>
      <c r="D880" s="7">
        <v>7.51</v>
      </c>
      <c r="E880" s="23">
        <v>100</v>
      </c>
      <c r="F880" s="23">
        <v>100</v>
      </c>
      <c r="G880" s="16">
        <f>VLOOKUP(A880,'[1]DRDO Kolar Data'!$A:$E,5,0)*1000</f>
        <v>10800</v>
      </c>
      <c r="H880" s="24">
        <f t="shared" si="42"/>
        <v>6488946.75</v>
      </c>
      <c r="I880" s="25">
        <f t="shared" si="40"/>
        <v>29.248645833333331</v>
      </c>
      <c r="J880" s="25">
        <f t="shared" si="41"/>
        <v>8.9824844269102986</v>
      </c>
      <c r="K880" s="17" t="s">
        <v>13</v>
      </c>
    </row>
    <row r="881" spans="1:11" ht="15.75" customHeight="1" x14ac:dyDescent="0.2">
      <c r="A881" s="15">
        <v>45684</v>
      </c>
      <c r="B881" s="3">
        <f>VLOOKUP(A881,'[1]BADI SID DATA'!A:B,2,0)</f>
        <v>302</v>
      </c>
      <c r="C881" s="11">
        <v>68253.250000014901</v>
      </c>
      <c r="D881" s="6">
        <v>7.38</v>
      </c>
      <c r="E881" s="23">
        <v>100</v>
      </c>
      <c r="F881" s="23">
        <v>100</v>
      </c>
      <c r="G881" s="16">
        <f>VLOOKUP(A881,'[1]DRDO Kolar Data'!$A:$E,5,0)*1000</f>
        <v>10900</v>
      </c>
      <c r="H881" s="24">
        <f t="shared" si="42"/>
        <v>6557200.0000000149</v>
      </c>
      <c r="I881" s="25">
        <f t="shared" si="40"/>
        <v>28.438854166672879</v>
      </c>
      <c r="J881" s="25">
        <f t="shared" si="41"/>
        <v>9.0469094922737519</v>
      </c>
      <c r="K881" s="17" t="s">
        <v>13</v>
      </c>
    </row>
    <row r="882" spans="1:11" ht="15.75" customHeight="1" x14ac:dyDescent="0.2">
      <c r="A882" s="15">
        <v>45685</v>
      </c>
      <c r="B882" s="3">
        <f>VLOOKUP(A882,'[1]BADI SID DATA'!A:B,2,0)</f>
        <v>303</v>
      </c>
      <c r="C882" s="11">
        <v>63698.70000000298</v>
      </c>
      <c r="D882" s="7">
        <v>6.76</v>
      </c>
      <c r="E882" s="23">
        <v>100</v>
      </c>
      <c r="F882" s="23">
        <v>100</v>
      </c>
      <c r="G882" s="16">
        <f>VLOOKUP(A882,'[1]DRDO Kolar Data'!$A:$E,5,0)*1000</f>
        <v>10700</v>
      </c>
      <c r="H882" s="24">
        <f t="shared" si="42"/>
        <v>6620898.7000000179</v>
      </c>
      <c r="I882" s="25">
        <f t="shared" si="40"/>
        <v>26.541125000001241</v>
      </c>
      <c r="J882" s="25">
        <f t="shared" si="41"/>
        <v>9.1046461771177363</v>
      </c>
      <c r="K882" s="17" t="s">
        <v>13</v>
      </c>
    </row>
    <row r="883" spans="1:11" ht="15.75" customHeight="1" x14ac:dyDescent="0.2">
      <c r="A883" s="15">
        <v>45686</v>
      </c>
      <c r="B883" s="3">
        <f>VLOOKUP(A883,'[1]BADI SID DATA'!A:B,2,0)</f>
        <v>304</v>
      </c>
      <c r="C883" s="11">
        <v>63048.049999982119</v>
      </c>
      <c r="D883" s="7">
        <v>6.78</v>
      </c>
      <c r="E883" s="23">
        <v>100</v>
      </c>
      <c r="F883" s="23">
        <v>100</v>
      </c>
      <c r="G883" s="16">
        <f>VLOOKUP(A883,'[1]DRDO Kolar Data'!$A:$E,5,0)*1000</f>
        <v>10400</v>
      </c>
      <c r="H883" s="24">
        <f t="shared" si="42"/>
        <v>6683946.75</v>
      </c>
      <c r="I883" s="25">
        <f t="shared" si="40"/>
        <v>26.27002083332588</v>
      </c>
      <c r="J883" s="25">
        <f t="shared" si="41"/>
        <v>9.1611112253289466</v>
      </c>
      <c r="K883" s="17" t="s">
        <v>13</v>
      </c>
    </row>
    <row r="884" spans="1:11" ht="15.75" customHeight="1" x14ac:dyDescent="0.2">
      <c r="A884" s="15">
        <v>45687</v>
      </c>
      <c r="B884" s="3">
        <f>VLOOKUP(A884,'[1]BADI SID DATA'!A:B,2,0)</f>
        <v>305</v>
      </c>
      <c r="C884" s="11">
        <v>59152.600000008941</v>
      </c>
      <c r="D884" s="7">
        <v>6.42</v>
      </c>
      <c r="E884" s="23">
        <v>100</v>
      </c>
      <c r="F884" s="23">
        <v>100</v>
      </c>
      <c r="G884" s="16">
        <f>VLOOKUP(A884,'[1]DRDO Kolar Data'!$A:$E,5,0)*1000</f>
        <v>10200</v>
      </c>
      <c r="H884" s="24">
        <f t="shared" si="42"/>
        <v>6743099.3500000089</v>
      </c>
      <c r="I884" s="25">
        <f t="shared" si="40"/>
        <v>24.646916666670393</v>
      </c>
      <c r="J884" s="25">
        <f t="shared" si="41"/>
        <v>9.211884357923509</v>
      </c>
      <c r="K884" s="17" t="s">
        <v>13</v>
      </c>
    </row>
    <row r="885" spans="1:11" ht="15.75" customHeight="1" x14ac:dyDescent="0.2">
      <c r="A885" s="15">
        <v>45688</v>
      </c>
      <c r="B885" s="3">
        <f>VLOOKUP(A885,'[1]BADI SID DATA'!A:B,2,0)</f>
        <v>306</v>
      </c>
      <c r="C885" s="11">
        <v>64349.34999999404</v>
      </c>
      <c r="D885" s="6">
        <v>7.05</v>
      </c>
      <c r="E885" s="23">
        <v>100</v>
      </c>
      <c r="F885" s="23">
        <v>100</v>
      </c>
      <c r="G885" s="16">
        <f>VLOOKUP(A885,'[1]DRDO Kolar Data'!$A:$E,5,0)*1000</f>
        <v>10500</v>
      </c>
      <c r="H885" s="24">
        <f t="shared" si="42"/>
        <v>6807448.700000003</v>
      </c>
      <c r="I885" s="25">
        <f t="shared" si="40"/>
        <v>26.812229166664181</v>
      </c>
      <c r="J885" s="25">
        <f t="shared" si="41"/>
        <v>9.2694018246187415</v>
      </c>
      <c r="K885" s="17" t="s">
        <v>13</v>
      </c>
    </row>
    <row r="886" spans="1:11" ht="15.75" customHeight="1" x14ac:dyDescent="0.2">
      <c r="A886" s="15">
        <v>45689</v>
      </c>
      <c r="B886" s="3">
        <f>VLOOKUP(A886,'[1]BADI SID DATA'!A:B,2,0)</f>
        <v>307</v>
      </c>
      <c r="C886" s="11">
        <v>58501.300000011921</v>
      </c>
      <c r="D886" s="8">
        <v>6.25</v>
      </c>
      <c r="E886" s="23">
        <v>100</v>
      </c>
      <c r="F886" s="23">
        <v>100</v>
      </c>
      <c r="G886" s="16">
        <f>VLOOKUP(A886,'[1]DRDO Kolar Data'!$A:$E,5,0)*1000</f>
        <v>10600</v>
      </c>
      <c r="H886" s="24">
        <f t="shared" si="42"/>
        <v>6865950.0000000149</v>
      </c>
      <c r="I886" s="25">
        <f t="shared" si="40"/>
        <v>24.375541666671634</v>
      </c>
      <c r="J886" s="25">
        <f t="shared" si="41"/>
        <v>9.3186074918566977</v>
      </c>
      <c r="K886" s="17" t="s">
        <v>13</v>
      </c>
    </row>
    <row r="887" spans="1:11" ht="15.75" customHeight="1" x14ac:dyDescent="0.2">
      <c r="A887" s="15">
        <v>45690</v>
      </c>
      <c r="B887" s="3">
        <f>VLOOKUP(A887,'[1]BADI SID DATA'!A:B,2,0)</f>
        <v>308</v>
      </c>
      <c r="C887" s="11">
        <v>70197.399999991059</v>
      </c>
      <c r="D887" s="8">
        <v>7.7</v>
      </c>
      <c r="E887" s="23">
        <v>100</v>
      </c>
      <c r="F887" s="23">
        <v>100</v>
      </c>
      <c r="G887" s="16">
        <f>VLOOKUP(A887,'[1]DRDO Kolar Data'!$A:$E,5,0)*1000</f>
        <v>10800</v>
      </c>
      <c r="H887" s="24">
        <f t="shared" si="42"/>
        <v>6936147.400000006</v>
      </c>
      <c r="I887" s="25">
        <f t="shared" si="40"/>
        <v>29.248916666662943</v>
      </c>
      <c r="J887" s="25">
        <f t="shared" si="41"/>
        <v>9.3833162878787952</v>
      </c>
      <c r="K887" s="17" t="s">
        <v>13</v>
      </c>
    </row>
    <row r="888" spans="1:11" ht="15.75" customHeight="1" x14ac:dyDescent="0.2">
      <c r="A888" s="15">
        <v>45691</v>
      </c>
      <c r="B888" s="3">
        <f>VLOOKUP(A888,'[1]BADI SID DATA'!A:B,2,0)</f>
        <v>309</v>
      </c>
      <c r="C888" s="11">
        <v>68253.25</v>
      </c>
      <c r="D888" s="5">
        <v>7.49</v>
      </c>
      <c r="E888" s="23">
        <v>100</v>
      </c>
      <c r="F888" s="23">
        <v>100</v>
      </c>
      <c r="G888" s="16">
        <f>VLOOKUP(A888,'[1]DRDO Kolar Data'!$A:$E,5,0)*1000</f>
        <v>10400</v>
      </c>
      <c r="H888" s="24">
        <f t="shared" si="42"/>
        <v>7004400.650000006</v>
      </c>
      <c r="I888" s="25">
        <f t="shared" si="40"/>
        <v>28.438854166666665</v>
      </c>
      <c r="J888" s="25">
        <f t="shared" si="41"/>
        <v>9.4449846952535133</v>
      </c>
      <c r="K888" s="17" t="s">
        <v>13</v>
      </c>
    </row>
    <row r="889" spans="1:11" ht="15.75" customHeight="1" x14ac:dyDescent="0.2">
      <c r="A889" s="15">
        <v>45692</v>
      </c>
      <c r="B889" s="3">
        <f>VLOOKUP(A889,'[1]BADI SID DATA'!A:B,2,0)</f>
        <v>310</v>
      </c>
      <c r="C889" s="11">
        <v>67601.95000000298</v>
      </c>
      <c r="D889" s="8">
        <v>7.2</v>
      </c>
      <c r="E889" s="23">
        <v>100</v>
      </c>
      <c r="F889" s="23">
        <v>100</v>
      </c>
      <c r="G889" s="16">
        <f>VLOOKUP(A889,'[1]DRDO Kolar Data'!$A:$E,5,0)*1000</f>
        <v>10200</v>
      </c>
      <c r="H889" s="24">
        <f t="shared" si="42"/>
        <v>7072002.6000000089</v>
      </c>
      <c r="I889" s="25">
        <f t="shared" si="40"/>
        <v>28.16747916666791</v>
      </c>
      <c r="J889" s="25">
        <f t="shared" si="41"/>
        <v>9.5053798387096897</v>
      </c>
      <c r="K889" s="17" t="s">
        <v>13</v>
      </c>
    </row>
    <row r="890" spans="1:11" ht="15.75" customHeight="1" x14ac:dyDescent="0.2">
      <c r="A890" s="15">
        <v>45693</v>
      </c>
      <c r="B890" s="3">
        <f>VLOOKUP(A890,'[1]BADI SID DATA'!A:B,2,0)</f>
        <v>311</v>
      </c>
      <c r="C890" s="11">
        <v>66944.149999991059</v>
      </c>
      <c r="D890" s="8">
        <v>7.13</v>
      </c>
      <c r="E890" s="23">
        <v>100</v>
      </c>
      <c r="F890" s="23">
        <v>100</v>
      </c>
      <c r="G890" s="16">
        <f>VLOOKUP(A890,'[1]DRDO Kolar Data'!$A:$E,5,0)*1000</f>
        <v>10900</v>
      </c>
      <c r="H890" s="24">
        <f t="shared" si="42"/>
        <v>7138946.75</v>
      </c>
      <c r="I890" s="25">
        <f t="shared" si="40"/>
        <v>27.89339583332961</v>
      </c>
      <c r="J890" s="25">
        <f t="shared" si="41"/>
        <v>9.5645052920685973</v>
      </c>
      <c r="K890" s="17" t="s">
        <v>13</v>
      </c>
    </row>
    <row r="891" spans="1:11" ht="15.75" customHeight="1" x14ac:dyDescent="0.2">
      <c r="A891" s="15">
        <v>45694</v>
      </c>
      <c r="B891" s="3">
        <f>VLOOKUP(A891,'[1]BADI SID DATA'!A:B,2,0)</f>
        <v>312</v>
      </c>
      <c r="C891" s="11">
        <v>70205.20000000298</v>
      </c>
      <c r="D891" s="5">
        <v>7.09</v>
      </c>
      <c r="E891" s="23">
        <v>100</v>
      </c>
      <c r="F891" s="23">
        <v>100</v>
      </c>
      <c r="G891" s="16">
        <f>VLOOKUP(A891,'[1]DRDO Kolar Data'!$A:$E,5,0)*1000</f>
        <v>10800</v>
      </c>
      <c r="H891" s="24">
        <f t="shared" si="42"/>
        <v>7209151.950000003</v>
      </c>
      <c r="I891" s="25">
        <f t="shared" si="40"/>
        <v>29.252166666667907</v>
      </c>
      <c r="J891" s="25">
        <f t="shared" si="41"/>
        <v>9.6276067708333368</v>
      </c>
      <c r="K891" s="17" t="s">
        <v>13</v>
      </c>
    </row>
    <row r="892" spans="1:11" ht="15.75" customHeight="1" x14ac:dyDescent="0.2">
      <c r="A892" s="15">
        <v>45695</v>
      </c>
      <c r="B892" s="3">
        <f>VLOOKUP(A892,'[1]BADI SID DATA'!A:B,2,0)</f>
        <v>313</v>
      </c>
      <c r="C892" s="11">
        <v>70848.04999999702</v>
      </c>
      <c r="D892" s="5">
        <v>7.51</v>
      </c>
      <c r="E892" s="23">
        <v>100</v>
      </c>
      <c r="F892" s="23">
        <v>100</v>
      </c>
      <c r="G892" s="16">
        <f>VLOOKUP(A892,'[1]DRDO Kolar Data'!$A:$E,5,0)*1000</f>
        <v>10600</v>
      </c>
      <c r="H892" s="24">
        <f t="shared" si="42"/>
        <v>7280000</v>
      </c>
      <c r="I892" s="25">
        <f t="shared" si="40"/>
        <v>29.52002083333209</v>
      </c>
      <c r="J892" s="25">
        <f t="shared" si="41"/>
        <v>9.6911608093716719</v>
      </c>
      <c r="K892" s="17" t="s">
        <v>13</v>
      </c>
    </row>
    <row r="893" spans="1:11" ht="15.75" customHeight="1" x14ac:dyDescent="0.2">
      <c r="A893" s="15">
        <v>45696</v>
      </c>
      <c r="B893" s="3">
        <f>VLOOKUP(A893,'[1]BADI SID DATA'!A:B,2,0)</f>
        <v>314</v>
      </c>
      <c r="C893" s="11">
        <v>63698.70000000298</v>
      </c>
      <c r="D893" s="8">
        <v>6.72</v>
      </c>
      <c r="E893" s="23">
        <v>100</v>
      </c>
      <c r="F893" s="23">
        <v>100</v>
      </c>
      <c r="G893" s="16">
        <f>VLOOKUP(A893,'[1]DRDO Kolar Data'!$A:$E,5,0)*1000</f>
        <v>10400</v>
      </c>
      <c r="H893" s="24">
        <f t="shared" si="42"/>
        <v>7343698.700000003</v>
      </c>
      <c r="I893" s="25">
        <f t="shared" si="40"/>
        <v>26.541125000001241</v>
      </c>
      <c r="J893" s="25">
        <f t="shared" si="41"/>
        <v>9.7448231157112577</v>
      </c>
      <c r="K893" s="17" t="s">
        <v>13</v>
      </c>
    </row>
    <row r="894" spans="1:11" ht="15.75" customHeight="1" x14ac:dyDescent="0.2">
      <c r="A894" s="15">
        <v>45697</v>
      </c>
      <c r="B894" s="3">
        <f>VLOOKUP(A894,'[1]BADI SID DATA'!A:B,2,0)</f>
        <v>315</v>
      </c>
      <c r="C894" s="11">
        <v>63698.70000000298</v>
      </c>
      <c r="D894" s="8">
        <v>6.72</v>
      </c>
      <c r="E894" s="23">
        <v>100</v>
      </c>
      <c r="F894" s="23">
        <v>100</v>
      </c>
      <c r="G894" s="16">
        <f>VLOOKUP(A894,'[1]DRDO Kolar Data'!$A:$E,5,0)*1000</f>
        <v>10000</v>
      </c>
      <c r="H894" s="24">
        <f t="shared" si="42"/>
        <v>7407397.400000006</v>
      </c>
      <c r="I894" s="25">
        <f t="shared" si="40"/>
        <v>26.541125000001241</v>
      </c>
      <c r="J894" s="25">
        <f t="shared" si="41"/>
        <v>9.7981447089947178</v>
      </c>
      <c r="K894" s="17" t="s">
        <v>13</v>
      </c>
    </row>
    <row r="895" spans="1:11" ht="15.75" customHeight="1" x14ac:dyDescent="0.2">
      <c r="A895" s="15">
        <v>45698</v>
      </c>
      <c r="B895" s="3">
        <f>VLOOKUP(A895,'[1]BADI SID DATA'!A:B,2,0)</f>
        <v>316</v>
      </c>
      <c r="C895" s="11">
        <v>59802.600000008941</v>
      </c>
      <c r="D895" s="6">
        <v>6.33</v>
      </c>
      <c r="E895" s="23">
        <v>100</v>
      </c>
      <c r="F895" s="23">
        <v>100</v>
      </c>
      <c r="G895" s="16">
        <f>VLOOKUP(A895,'[1]DRDO Kolar Data'!$A:$E,5,0)*1000</f>
        <v>10900</v>
      </c>
      <c r="H895" s="24">
        <f t="shared" si="42"/>
        <v>7467200.0000000149</v>
      </c>
      <c r="I895" s="25">
        <f t="shared" si="40"/>
        <v>24.917750000003725</v>
      </c>
      <c r="J895" s="25">
        <f t="shared" si="41"/>
        <v>9.845991561181453</v>
      </c>
      <c r="K895" s="17" t="s">
        <v>13</v>
      </c>
    </row>
    <row r="896" spans="1:11" ht="15.75" customHeight="1" x14ac:dyDescent="0.2">
      <c r="A896" s="15">
        <v>45699</v>
      </c>
      <c r="B896" s="3">
        <f>VLOOKUP(A896,'[1]BADI SID DATA'!A:B,2,0)</f>
        <v>317</v>
      </c>
      <c r="C896" s="11">
        <v>68253.25</v>
      </c>
      <c r="D896" s="6">
        <v>7.39</v>
      </c>
      <c r="E896" s="23">
        <v>100</v>
      </c>
      <c r="F896" s="23">
        <v>100</v>
      </c>
      <c r="G896" s="16">
        <f>VLOOKUP(A896,'[1]DRDO Kolar Data'!$A:$E,5,0)*1000</f>
        <v>10800</v>
      </c>
      <c r="H896" s="24">
        <f t="shared" si="42"/>
        <v>7535453.2500000149</v>
      </c>
      <c r="I896" s="25">
        <f t="shared" si="40"/>
        <v>28.438854166666665</v>
      </c>
      <c r="J896" s="25">
        <f t="shared" si="41"/>
        <v>9.9046441246056975</v>
      </c>
      <c r="K896" s="17" t="s">
        <v>13</v>
      </c>
    </row>
    <row r="897" spans="1:11" ht="15.75" customHeight="1" x14ac:dyDescent="0.2">
      <c r="A897" s="15">
        <v>45700</v>
      </c>
      <c r="B897" s="3">
        <f>VLOOKUP(A897,'[1]BADI SID DATA'!A:B,2,0)</f>
        <v>318</v>
      </c>
      <c r="C897" s="11">
        <v>71498.04999999702</v>
      </c>
      <c r="D897" s="6">
        <v>7.68</v>
      </c>
      <c r="E897" s="23">
        <v>100</v>
      </c>
      <c r="F897" s="23">
        <v>100</v>
      </c>
      <c r="G897" s="16">
        <f>VLOOKUP(A897,'[1]DRDO Kolar Data'!$A:$E,5,0)*1000</f>
        <v>10500</v>
      </c>
      <c r="H897" s="24">
        <f t="shared" si="42"/>
        <v>7606951.3000000119</v>
      </c>
      <c r="I897" s="25">
        <f t="shared" si="40"/>
        <v>29.790854166665426</v>
      </c>
      <c r="J897" s="25">
        <f t="shared" si="41"/>
        <v>9.9671793763102876</v>
      </c>
      <c r="K897" s="17" t="s">
        <v>13</v>
      </c>
    </row>
    <row r="898" spans="1:11" ht="15.75" customHeight="1" x14ac:dyDescent="0.2">
      <c r="A898" s="15">
        <v>45701</v>
      </c>
      <c r="B898" s="3">
        <f>VLOOKUP(A898,'[1]BADI SID DATA'!A:B,2,0)</f>
        <v>319</v>
      </c>
      <c r="C898" s="11">
        <v>65650.649999991059</v>
      </c>
      <c r="D898" s="6">
        <v>7.05</v>
      </c>
      <c r="E898" s="23">
        <v>100</v>
      </c>
      <c r="F898" s="23">
        <v>100</v>
      </c>
      <c r="G898" s="16">
        <f>VLOOKUP(A898,'[1]DRDO Kolar Data'!$A:$E,5,0)*1000</f>
        <v>10400</v>
      </c>
      <c r="H898" s="24">
        <f t="shared" si="42"/>
        <v>7672601.950000003</v>
      </c>
      <c r="I898" s="25">
        <f t="shared" si="40"/>
        <v>27.354437499996276</v>
      </c>
      <c r="J898" s="25">
        <f t="shared" si="41"/>
        <v>10.021684887669807</v>
      </c>
      <c r="K898" s="17" t="s">
        <v>13</v>
      </c>
    </row>
    <row r="899" spans="1:11" ht="15.75" customHeight="1" x14ac:dyDescent="0.2">
      <c r="A899" s="15">
        <v>45702</v>
      </c>
      <c r="B899" s="3">
        <f>VLOOKUP(A899,'[1]BADI SID DATA'!A:B,2,0)</f>
        <v>320</v>
      </c>
      <c r="C899" s="11">
        <v>65000</v>
      </c>
      <c r="D899" s="6">
        <v>6.93</v>
      </c>
      <c r="E899" s="23">
        <v>100</v>
      </c>
      <c r="F899" s="23">
        <v>100</v>
      </c>
      <c r="G899" s="16">
        <f>VLOOKUP(A899,'[1]DRDO Kolar Data'!$A:$E,5,0)*1000</f>
        <v>10800</v>
      </c>
      <c r="H899" s="24">
        <f t="shared" si="42"/>
        <v>7737601.950000003</v>
      </c>
      <c r="I899" s="25">
        <f t="shared" ref="I899:I962" si="43">(C899/(10*24*1000))*100</f>
        <v>27.083333333333332</v>
      </c>
      <c r="J899" s="25">
        <f t="shared" ref="J899:J962" si="44">(H899/(24*B899*10*1000))*100</f>
        <v>10.075002539062504</v>
      </c>
      <c r="K899" s="17" t="s">
        <v>13</v>
      </c>
    </row>
    <row r="900" spans="1:11" ht="15.75" customHeight="1" x14ac:dyDescent="0.2">
      <c r="A900" s="15">
        <v>45703</v>
      </c>
      <c r="B900" s="3">
        <f>VLOOKUP(A900,'[1]BADI SID DATA'!A:B,2,0)</f>
        <v>321</v>
      </c>
      <c r="C900" s="11">
        <v>63698.70000000298</v>
      </c>
      <c r="D900" s="6">
        <v>6.81</v>
      </c>
      <c r="E900" s="23">
        <v>100</v>
      </c>
      <c r="F900" s="23">
        <v>100</v>
      </c>
      <c r="G900" s="16">
        <f>VLOOKUP(A900,'[1]DRDO Kolar Data'!$A:$E,5,0)*1000</f>
        <v>10200</v>
      </c>
      <c r="H900" s="24">
        <f t="shared" si="42"/>
        <v>7801300.650000006</v>
      </c>
      <c r="I900" s="25">
        <f t="shared" si="43"/>
        <v>26.541125000001241</v>
      </c>
      <c r="J900" s="25">
        <f t="shared" si="44"/>
        <v>10.126298870716518</v>
      </c>
      <c r="K900" s="17" t="s">
        <v>13</v>
      </c>
    </row>
    <row r="901" spans="1:11" ht="15.75" customHeight="1" x14ac:dyDescent="0.2">
      <c r="A901" s="15">
        <v>45704</v>
      </c>
      <c r="B901" s="3">
        <f>VLOOKUP(A901,'[1]BADI SID DATA'!A:B,2,0)</f>
        <v>322</v>
      </c>
      <c r="C901" s="11">
        <v>66951.95000000298</v>
      </c>
      <c r="D901" s="6">
        <v>7.08</v>
      </c>
      <c r="E901" s="23">
        <v>100</v>
      </c>
      <c r="F901" s="23">
        <v>100</v>
      </c>
      <c r="G901" s="16">
        <f>VLOOKUP(A901,'[1]DRDO Kolar Data'!$A:$E,5,0)*1000</f>
        <v>10700</v>
      </c>
      <c r="H901" s="24">
        <f t="shared" ref="H901:H964" si="45">C901+H900</f>
        <v>7868252.6000000089</v>
      </c>
      <c r="I901" s="25">
        <f t="shared" si="43"/>
        <v>27.896645833334578</v>
      </c>
      <c r="J901" s="25">
        <f t="shared" si="44"/>
        <v>10.181486283643903</v>
      </c>
      <c r="K901" s="17" t="s">
        <v>13</v>
      </c>
    </row>
    <row r="902" spans="1:11" ht="15.75" customHeight="1" x14ac:dyDescent="0.2">
      <c r="A902" s="15">
        <v>45705</v>
      </c>
      <c r="B902" s="3">
        <f>VLOOKUP(A902,'[1]BADI SID DATA'!A:B,2,0)</f>
        <v>323</v>
      </c>
      <c r="C902" s="11">
        <v>66944.149999991059</v>
      </c>
      <c r="D902" s="6">
        <v>7.1</v>
      </c>
      <c r="E902" s="23">
        <v>100</v>
      </c>
      <c r="F902" s="23">
        <v>100</v>
      </c>
      <c r="G902" s="16">
        <f>VLOOKUP(A902,'[1]DRDO Kolar Data'!$A:$E,5,0)*1000</f>
        <v>10900</v>
      </c>
      <c r="H902" s="24">
        <f t="shared" si="45"/>
        <v>7935196.75</v>
      </c>
      <c r="I902" s="25">
        <f t="shared" si="43"/>
        <v>27.89339583332961</v>
      </c>
      <c r="J902" s="25">
        <f t="shared" si="44"/>
        <v>10.236321916924664</v>
      </c>
      <c r="K902" s="17" t="s">
        <v>13</v>
      </c>
    </row>
    <row r="903" spans="1:11" ht="15.75" customHeight="1" x14ac:dyDescent="0.2">
      <c r="A903" s="15">
        <v>45706</v>
      </c>
      <c r="B903" s="3">
        <f>VLOOKUP(A903,'[1]BADI SID DATA'!A:B,2,0)</f>
        <v>324</v>
      </c>
      <c r="C903" s="11">
        <v>66301.29999999702</v>
      </c>
      <c r="D903" s="6">
        <v>7.08</v>
      </c>
      <c r="E903" s="23">
        <v>100</v>
      </c>
      <c r="F903" s="23">
        <v>100</v>
      </c>
      <c r="G903" s="16">
        <f>VLOOKUP(A903,'[1]DRDO Kolar Data'!$A:$E,5,0)*1000</f>
        <v>10300</v>
      </c>
      <c r="H903" s="24">
        <f t="shared" si="45"/>
        <v>8001498.049999997</v>
      </c>
      <c r="I903" s="25">
        <f t="shared" si="43"/>
        <v>27.625541666665427</v>
      </c>
      <c r="J903" s="25">
        <f t="shared" si="44"/>
        <v>10.289992348251024</v>
      </c>
      <c r="K903" s="17" t="s">
        <v>13</v>
      </c>
    </row>
    <row r="904" spans="1:11" ht="15.75" customHeight="1" x14ac:dyDescent="0.2">
      <c r="A904" s="15">
        <v>45707</v>
      </c>
      <c r="B904" s="3">
        <f>VLOOKUP(A904,'[1]BADI SID DATA'!A:B,2,0)</f>
        <v>325</v>
      </c>
      <c r="C904" s="11">
        <v>65000</v>
      </c>
      <c r="D904" s="6">
        <v>6.92</v>
      </c>
      <c r="E904" s="23">
        <v>100</v>
      </c>
      <c r="F904" s="23">
        <v>100</v>
      </c>
      <c r="G904" s="16">
        <f>VLOOKUP(A904,'[1]DRDO Kolar Data'!$A:$E,5,0)*1000</f>
        <v>10800</v>
      </c>
      <c r="H904" s="24">
        <f t="shared" si="45"/>
        <v>8066498.049999997</v>
      </c>
      <c r="I904" s="25">
        <f t="shared" si="43"/>
        <v>27.083333333333332</v>
      </c>
      <c r="J904" s="25">
        <f t="shared" si="44"/>
        <v>10.341664166666662</v>
      </c>
      <c r="K904" s="17" t="s">
        <v>13</v>
      </c>
    </row>
    <row r="905" spans="1:11" ht="15.75" customHeight="1" x14ac:dyDescent="0.2">
      <c r="A905" s="15">
        <v>45708</v>
      </c>
      <c r="B905" s="3">
        <f>VLOOKUP(A905,'[1]BADI SID DATA'!A:B,2,0)</f>
        <v>326</v>
      </c>
      <c r="C905" s="11">
        <v>63055.850000008941</v>
      </c>
      <c r="D905" s="6">
        <v>6.81</v>
      </c>
      <c r="E905" s="23">
        <v>100</v>
      </c>
      <c r="F905" s="23">
        <v>100</v>
      </c>
      <c r="G905" s="16">
        <f>VLOOKUP(A905,'[1]DRDO Kolar Data'!$A:$E,5,0)*1000</f>
        <v>10400</v>
      </c>
      <c r="H905" s="24">
        <f t="shared" si="45"/>
        <v>8129553.900000006</v>
      </c>
      <c r="I905" s="25">
        <f t="shared" si="43"/>
        <v>26.273270833337058</v>
      </c>
      <c r="J905" s="25">
        <f t="shared" si="44"/>
        <v>10.390534125766878</v>
      </c>
      <c r="K905" s="17" t="s">
        <v>13</v>
      </c>
    </row>
    <row r="906" spans="1:11" ht="15.75" customHeight="1" x14ac:dyDescent="0.2">
      <c r="A906" s="15">
        <v>45709</v>
      </c>
      <c r="B906" s="3">
        <f>VLOOKUP(A906,'[1]BADI SID DATA'!A:B,2,0)</f>
        <v>327</v>
      </c>
      <c r="C906" s="11">
        <v>63698.70000000298</v>
      </c>
      <c r="D906" s="6">
        <v>6.71</v>
      </c>
      <c r="E906" s="23">
        <v>100</v>
      </c>
      <c r="F906" s="23">
        <v>100</v>
      </c>
      <c r="G906" s="16">
        <f>VLOOKUP(A906,'[1]DRDO Kolar Data'!$A:$E,5,0)*1000</f>
        <v>10700</v>
      </c>
      <c r="H906" s="24">
        <f t="shared" si="45"/>
        <v>8193252.6000000089</v>
      </c>
      <c r="I906" s="25">
        <f t="shared" si="43"/>
        <v>26.541125000001241</v>
      </c>
      <c r="J906" s="25">
        <f t="shared" si="44"/>
        <v>10.439924311926617</v>
      </c>
      <c r="K906" s="17" t="s">
        <v>13</v>
      </c>
    </row>
    <row r="907" spans="1:11" ht="15.75" customHeight="1" x14ac:dyDescent="0.2">
      <c r="A907" s="15">
        <v>45710</v>
      </c>
      <c r="B907" s="3">
        <f>VLOOKUP(A907,'[1]BADI SID DATA'!A:B,2,0)</f>
        <v>328</v>
      </c>
      <c r="C907" s="11">
        <v>60446.09999999404</v>
      </c>
      <c r="D907" s="6">
        <v>6.68</v>
      </c>
      <c r="E907" s="23">
        <v>100</v>
      </c>
      <c r="F907" s="23">
        <v>100</v>
      </c>
      <c r="G907" s="16">
        <f>VLOOKUP(A907,'[1]DRDO Kolar Data'!$A:$E,5,0)*1000</f>
        <v>10500</v>
      </c>
      <c r="H907" s="24">
        <f t="shared" si="45"/>
        <v>8253698.700000003</v>
      </c>
      <c r="I907" s="25">
        <f t="shared" si="43"/>
        <v>25.185874999997516</v>
      </c>
      <c r="J907" s="25">
        <f t="shared" si="44"/>
        <v>10.48488147865854</v>
      </c>
      <c r="K907" s="17" t="s">
        <v>13</v>
      </c>
    </row>
    <row r="908" spans="1:11" ht="15.75" customHeight="1" x14ac:dyDescent="0.2">
      <c r="A908" s="15">
        <v>45711</v>
      </c>
      <c r="B908" s="3">
        <f>VLOOKUP(A908,'[1]BADI SID DATA'!A:B,2,0)</f>
        <v>329</v>
      </c>
      <c r="C908" s="11">
        <v>61103.899999991059</v>
      </c>
      <c r="D908" s="6">
        <v>6.38</v>
      </c>
      <c r="E908" s="23">
        <v>100</v>
      </c>
      <c r="F908" s="23">
        <v>100</v>
      </c>
      <c r="G908" s="16">
        <f>VLOOKUP(A908,'[1]DRDO Kolar Data'!$A:$E,5,0)*1000</f>
        <v>10900</v>
      </c>
      <c r="H908" s="24">
        <f t="shared" si="45"/>
        <v>8314802.599999994</v>
      </c>
      <c r="I908" s="25">
        <f t="shared" si="43"/>
        <v>25.459958333329606</v>
      </c>
      <c r="J908" s="25">
        <f t="shared" si="44"/>
        <v>10.530398429584592</v>
      </c>
      <c r="K908" s="17" t="s">
        <v>13</v>
      </c>
    </row>
    <row r="909" spans="1:11" ht="15.75" customHeight="1" x14ac:dyDescent="0.2">
      <c r="A909" s="15">
        <v>45712</v>
      </c>
      <c r="B909" s="3">
        <f>VLOOKUP(A909,'[1]BADI SID DATA'!A:B,2,0)</f>
        <v>330</v>
      </c>
      <c r="C909" s="11">
        <v>69546.750000014901</v>
      </c>
      <c r="D909" s="6">
        <v>7.28</v>
      </c>
      <c r="E909" s="23">
        <v>100</v>
      </c>
      <c r="F909" s="23">
        <v>100</v>
      </c>
      <c r="G909" s="16">
        <f>VLOOKUP(A909,'[1]DRDO Kolar Data'!$A:$E,5,0)*1000</f>
        <v>10400</v>
      </c>
      <c r="H909" s="24">
        <f t="shared" si="45"/>
        <v>8384349.3500000089</v>
      </c>
      <c r="I909" s="25">
        <f t="shared" si="43"/>
        <v>28.977812500006213</v>
      </c>
      <c r="J909" s="25">
        <f t="shared" si="44"/>
        <v>10.586299684343446</v>
      </c>
      <c r="K909" s="17" t="s">
        <v>13</v>
      </c>
    </row>
    <row r="910" spans="1:11" ht="15.75" customHeight="1" x14ac:dyDescent="0.2">
      <c r="A910" s="15">
        <v>45713</v>
      </c>
      <c r="B910" s="3">
        <f>VLOOKUP(A910,'[1]BADI SID DATA'!A:B,2,0)</f>
        <v>331</v>
      </c>
      <c r="C910" s="11">
        <v>67601.95000000298</v>
      </c>
      <c r="D910" s="6">
        <v>7</v>
      </c>
      <c r="E910" s="23">
        <v>100</v>
      </c>
      <c r="F910" s="23">
        <v>100</v>
      </c>
      <c r="G910" s="16">
        <f>VLOOKUP(A910,'[1]DRDO Kolar Data'!$A:$E,5,0)*1000</f>
        <v>10600</v>
      </c>
      <c r="H910" s="24">
        <f t="shared" si="45"/>
        <v>8451951.3000000119</v>
      </c>
      <c r="I910" s="25">
        <f t="shared" si="43"/>
        <v>28.16747916666791</v>
      </c>
      <c r="J910" s="25">
        <f t="shared" si="44"/>
        <v>10.639415030211495</v>
      </c>
      <c r="K910" s="17" t="s">
        <v>13</v>
      </c>
    </row>
    <row r="911" spans="1:11" ht="15.75" customHeight="1" x14ac:dyDescent="0.2">
      <c r="A911" s="15">
        <v>45714</v>
      </c>
      <c r="B911" s="3">
        <f>VLOOKUP(A911,'[1]BADI SID DATA'!A:B,2,0)</f>
        <v>332</v>
      </c>
      <c r="C911" s="11">
        <v>66301.29999999702</v>
      </c>
      <c r="D911" s="7">
        <v>6.87</v>
      </c>
      <c r="E911" s="23">
        <v>100</v>
      </c>
      <c r="F911" s="23">
        <v>100</v>
      </c>
      <c r="G911" s="16">
        <f>VLOOKUP(A911,'[1]DRDO Kolar Data'!$A:$E,5,0)*1000</f>
        <v>10200</v>
      </c>
      <c r="H911" s="24">
        <f t="shared" si="45"/>
        <v>8518252.6000000089</v>
      </c>
      <c r="I911" s="25">
        <f t="shared" si="43"/>
        <v>27.625541666665427</v>
      </c>
      <c r="J911" s="25">
        <f t="shared" si="44"/>
        <v>10.690578062249006</v>
      </c>
      <c r="K911" s="17" t="s">
        <v>13</v>
      </c>
    </row>
    <row r="912" spans="1:11" ht="15.75" customHeight="1" x14ac:dyDescent="0.2">
      <c r="A912" s="15">
        <v>45715</v>
      </c>
      <c r="B912" s="3">
        <f>VLOOKUP(A912,'[1]BADI SID DATA'!A:B,2,0)</f>
        <v>333</v>
      </c>
      <c r="C912" s="11">
        <v>67594.79999999702</v>
      </c>
      <c r="D912" s="6">
        <v>7.07</v>
      </c>
      <c r="E912" s="23">
        <v>100</v>
      </c>
      <c r="F912" s="23">
        <v>100</v>
      </c>
      <c r="G912" s="16">
        <f>VLOOKUP(A912,'[1]DRDO Kolar Data'!$A:$E,5,0)*1000</f>
        <v>10900</v>
      </c>
      <c r="H912" s="24">
        <f t="shared" si="45"/>
        <v>8585847.400000006</v>
      </c>
      <c r="I912" s="25">
        <f t="shared" si="43"/>
        <v>28.16449999999876</v>
      </c>
      <c r="J912" s="25">
        <f t="shared" si="44"/>
        <v>10.74305230230231</v>
      </c>
      <c r="K912" s="17" t="s">
        <v>13</v>
      </c>
    </row>
    <row r="913" spans="1:11" ht="15.75" customHeight="1" x14ac:dyDescent="0.2">
      <c r="A913" s="15">
        <v>45716</v>
      </c>
      <c r="B913" s="3">
        <f>VLOOKUP(A913,'[1]BADI SID DATA'!A:B,2,0)</f>
        <v>334</v>
      </c>
      <c r="C913" s="11">
        <v>63055.84999999404</v>
      </c>
      <c r="D913" s="7">
        <v>6.5</v>
      </c>
      <c r="E913" s="23">
        <v>100</v>
      </c>
      <c r="F913" s="23">
        <v>100</v>
      </c>
      <c r="G913" s="16">
        <f>VLOOKUP(A913,'[1]DRDO Kolar Data'!$A:$E,5,0)*1000</f>
        <v>10800</v>
      </c>
      <c r="H913" s="24">
        <f t="shared" si="45"/>
        <v>8648903.25</v>
      </c>
      <c r="I913" s="25">
        <f t="shared" si="43"/>
        <v>26.273270833330848</v>
      </c>
      <c r="J913" s="25">
        <f t="shared" si="44"/>
        <v>10.789549962574849</v>
      </c>
      <c r="K913" s="17" t="s">
        <v>13</v>
      </c>
    </row>
    <row r="914" spans="1:11" ht="15.75" customHeight="1" x14ac:dyDescent="0.2">
      <c r="A914" s="15">
        <v>45717</v>
      </c>
      <c r="B914" s="3">
        <f>VLOOKUP(A914,'[1]BADI SID DATA'!A:B,2,0)</f>
        <v>335</v>
      </c>
      <c r="C914" s="11">
        <v>55899.34999999404</v>
      </c>
      <c r="D914" s="8">
        <v>5.85</v>
      </c>
      <c r="E914" s="23">
        <v>100</v>
      </c>
      <c r="F914" s="23">
        <v>100</v>
      </c>
      <c r="G914" s="16">
        <f>VLOOKUP(A914,'[1]DRDO Kolar Data'!$A:$E,5,0)*1000</f>
        <v>10900</v>
      </c>
      <c r="H914" s="24">
        <f t="shared" si="45"/>
        <v>8704802.599999994</v>
      </c>
      <c r="I914" s="25">
        <f t="shared" si="43"/>
        <v>23.291395833330849</v>
      </c>
      <c r="J914" s="25">
        <f t="shared" si="44"/>
        <v>10.826868905472629</v>
      </c>
      <c r="K914" s="17" t="s">
        <v>13</v>
      </c>
    </row>
    <row r="915" spans="1:11" ht="15.75" customHeight="1" x14ac:dyDescent="0.2">
      <c r="A915" s="15">
        <v>45718</v>
      </c>
      <c r="B915" s="3">
        <f>VLOOKUP(A915,'[1]BADI SID DATA'!A:B,2,0)</f>
        <v>336</v>
      </c>
      <c r="C915" s="11">
        <v>63698.70000000298</v>
      </c>
      <c r="D915" s="8">
        <v>6.85</v>
      </c>
      <c r="E915" s="23">
        <v>100</v>
      </c>
      <c r="F915" s="23">
        <v>100</v>
      </c>
      <c r="G915" s="16">
        <f>VLOOKUP(A915,'[1]DRDO Kolar Data'!$A:$E,5,0)*1000</f>
        <v>10600</v>
      </c>
      <c r="H915" s="24">
        <f t="shared" si="45"/>
        <v>8768501.299999997</v>
      </c>
      <c r="I915" s="25">
        <f t="shared" si="43"/>
        <v>26.541125000001241</v>
      </c>
      <c r="J915" s="25">
        <f t="shared" si="44"/>
        <v>10.873637524801584</v>
      </c>
      <c r="K915" s="17" t="s">
        <v>13</v>
      </c>
    </row>
    <row r="916" spans="1:11" ht="15.75" customHeight="1" x14ac:dyDescent="0.2">
      <c r="A916" s="15">
        <v>45719</v>
      </c>
      <c r="B916" s="3">
        <f>VLOOKUP(A916,'[1]BADI SID DATA'!A:B,2,0)</f>
        <v>337</v>
      </c>
      <c r="C916" s="11">
        <v>63698.700000017881</v>
      </c>
      <c r="D916" s="5">
        <v>6.67</v>
      </c>
      <c r="E916" s="23">
        <v>100</v>
      </c>
      <c r="F916" s="23">
        <v>100</v>
      </c>
      <c r="G916" s="16">
        <f>VLOOKUP(A916,'[1]DRDO Kolar Data'!$A:$E,5,0)*1000</f>
        <v>10400</v>
      </c>
      <c r="H916" s="24">
        <f t="shared" si="45"/>
        <v>8832200.0000000149</v>
      </c>
      <c r="I916" s="25">
        <f t="shared" si="43"/>
        <v>26.541125000007447</v>
      </c>
      <c r="J916" s="25">
        <f t="shared" si="44"/>
        <v>10.920128585558871</v>
      </c>
      <c r="K916" s="17" t="s">
        <v>13</v>
      </c>
    </row>
    <row r="917" spans="1:11" ht="15.75" customHeight="1" x14ac:dyDescent="0.2">
      <c r="A917" s="15">
        <v>45720</v>
      </c>
      <c r="B917" s="3">
        <f>VLOOKUP(A917,'[1]BADI SID DATA'!A:B,2,0)</f>
        <v>338</v>
      </c>
      <c r="C917" s="11">
        <v>54598.04999999702</v>
      </c>
      <c r="D917" s="8">
        <v>5.5</v>
      </c>
      <c r="E917" s="23">
        <v>100</v>
      </c>
      <c r="F917" s="23">
        <v>100</v>
      </c>
      <c r="G917" s="16">
        <f>VLOOKUP(A917,'[1]DRDO Kolar Data'!$A:$E,5,0)*1000</f>
        <v>10200</v>
      </c>
      <c r="H917" s="24">
        <f t="shared" si="45"/>
        <v>8886798.0500000119</v>
      </c>
      <c r="I917" s="25">
        <f t="shared" si="43"/>
        <v>22.749187499998758</v>
      </c>
      <c r="J917" s="25">
        <f t="shared" si="44"/>
        <v>10.955125801282065</v>
      </c>
      <c r="K917" s="17" t="s">
        <v>13</v>
      </c>
    </row>
    <row r="918" spans="1:11" ht="15.75" customHeight="1" x14ac:dyDescent="0.2">
      <c r="A918" s="15">
        <v>45721</v>
      </c>
      <c r="B918" s="3">
        <f>VLOOKUP(A918,'[1]BADI SID DATA'!A:B,2,0)</f>
        <v>339</v>
      </c>
      <c r="C918" s="11">
        <v>56549.34999999404</v>
      </c>
      <c r="D918" s="8">
        <v>5.85</v>
      </c>
      <c r="E918" s="23">
        <v>100</v>
      </c>
      <c r="F918" s="23">
        <v>100</v>
      </c>
      <c r="G918" s="16">
        <f>VLOOKUP(A918,'[1]DRDO Kolar Data'!$A:$E,5,0)*1000</f>
        <v>10800</v>
      </c>
      <c r="H918" s="24">
        <f t="shared" si="45"/>
        <v>8943347.400000006</v>
      </c>
      <c r="I918" s="25">
        <f t="shared" si="43"/>
        <v>23.562229166664185</v>
      </c>
      <c r="J918" s="25">
        <f t="shared" si="44"/>
        <v>10.992314896755168</v>
      </c>
      <c r="K918" s="17" t="s">
        <v>13</v>
      </c>
    </row>
    <row r="919" spans="1:11" ht="15.75" customHeight="1" x14ac:dyDescent="0.2">
      <c r="A919" s="15">
        <v>45722</v>
      </c>
      <c r="B919" s="3">
        <f>VLOOKUP(A919,'[1]BADI SID DATA'!A:B,2,0)</f>
        <v>340</v>
      </c>
      <c r="C919" s="11">
        <v>57200.65000000596</v>
      </c>
      <c r="D919" s="5">
        <v>5.98</v>
      </c>
      <c r="E919" s="23">
        <v>100</v>
      </c>
      <c r="F919" s="23">
        <v>100</v>
      </c>
      <c r="G919" s="16">
        <f>VLOOKUP(A919,'[1]DRDO Kolar Data'!$A:$E,5,0)*1000</f>
        <v>10700</v>
      </c>
      <c r="H919" s="24">
        <f t="shared" si="45"/>
        <v>9000548.0500000119</v>
      </c>
      <c r="I919" s="25">
        <f t="shared" si="43"/>
        <v>23.833604166669151</v>
      </c>
      <c r="J919" s="25">
        <f t="shared" si="44"/>
        <v>11.030083394607857</v>
      </c>
      <c r="K919" s="17" t="s">
        <v>13</v>
      </c>
    </row>
    <row r="920" spans="1:11" ht="15.75" customHeight="1" x14ac:dyDescent="0.2">
      <c r="A920" s="15">
        <v>45723</v>
      </c>
      <c r="B920" s="3">
        <f>VLOOKUP(A920,'[1]BADI SID DATA'!A:B,2,0)</f>
        <v>341</v>
      </c>
      <c r="C920" s="11">
        <v>65650.649999991059</v>
      </c>
      <c r="D920" s="5">
        <v>7.01</v>
      </c>
      <c r="E920" s="23">
        <v>100</v>
      </c>
      <c r="F920" s="23">
        <v>100</v>
      </c>
      <c r="G920" s="16">
        <f>VLOOKUP(A920,'[1]DRDO Kolar Data'!$A:$E,5,0)*1000</f>
        <v>10500</v>
      </c>
      <c r="H920" s="24">
        <f t="shared" si="45"/>
        <v>9066198.700000003</v>
      </c>
      <c r="I920" s="25">
        <f t="shared" si="43"/>
        <v>27.354437499996276</v>
      </c>
      <c r="J920" s="25">
        <f t="shared" si="44"/>
        <v>11.077955400782018</v>
      </c>
      <c r="K920" s="17" t="s">
        <v>13</v>
      </c>
    </row>
    <row r="921" spans="1:11" ht="15.75" customHeight="1" x14ac:dyDescent="0.2">
      <c r="A921" s="15">
        <v>45724</v>
      </c>
      <c r="B921" s="3">
        <f>VLOOKUP(A921,'[1]BADI SID DATA'!A:B,2,0)</f>
        <v>342</v>
      </c>
      <c r="C921" s="11">
        <v>60453.25</v>
      </c>
      <c r="D921" s="8">
        <v>6.34</v>
      </c>
      <c r="E921" s="23">
        <v>100</v>
      </c>
      <c r="F921" s="23">
        <v>100</v>
      </c>
      <c r="G921" s="16">
        <f>VLOOKUP(A921,'[1]DRDO Kolar Data'!$A:$E,5,0)*1000</f>
        <v>10800</v>
      </c>
      <c r="H921" s="24">
        <f t="shared" si="45"/>
        <v>9126651.950000003</v>
      </c>
      <c r="I921" s="25">
        <f t="shared" si="43"/>
        <v>25.188854166666669</v>
      </c>
      <c r="J921" s="25">
        <f t="shared" si="44"/>
        <v>11.119215338693961</v>
      </c>
      <c r="K921" s="17" t="s">
        <v>13</v>
      </c>
    </row>
    <row r="922" spans="1:11" ht="15.75" customHeight="1" x14ac:dyDescent="0.2">
      <c r="A922" s="15">
        <v>45725</v>
      </c>
      <c r="B922" s="3">
        <f>VLOOKUP(A922,'[1]BADI SID DATA'!A:B,2,0)</f>
        <v>343</v>
      </c>
      <c r="C922" s="11">
        <v>63048.050000011921</v>
      </c>
      <c r="D922" s="8">
        <v>6.6</v>
      </c>
      <c r="E922" s="23">
        <v>100</v>
      </c>
      <c r="F922" s="23">
        <v>100</v>
      </c>
      <c r="G922" s="16">
        <f>VLOOKUP(A922,'[1]DRDO Kolar Data'!$A:$E,5,0)*1000</f>
        <v>10600</v>
      </c>
      <c r="H922" s="24">
        <f t="shared" si="45"/>
        <v>9189700.0000000149</v>
      </c>
      <c r="I922" s="25">
        <f t="shared" si="43"/>
        <v>26.270020833338297</v>
      </c>
      <c r="J922" s="25">
        <f t="shared" si="44"/>
        <v>11.163386783284761</v>
      </c>
      <c r="K922" s="17" t="s">
        <v>13</v>
      </c>
    </row>
    <row r="923" spans="1:11" ht="15.75" customHeight="1" x14ac:dyDescent="0.2">
      <c r="A923" s="15">
        <v>45726</v>
      </c>
      <c r="B923" s="3">
        <f>VLOOKUP(A923,'[1]BADI SID DATA'!A:B,2,0)</f>
        <v>344</v>
      </c>
      <c r="C923" s="11">
        <v>65650.649999991059</v>
      </c>
      <c r="D923" s="6">
        <v>6.9</v>
      </c>
      <c r="E923" s="23">
        <v>100</v>
      </c>
      <c r="F923" s="23">
        <v>100</v>
      </c>
      <c r="G923" s="16">
        <f>VLOOKUP(A923,'[1]DRDO Kolar Data'!$A:$E,5,0)*1000</f>
        <v>10900</v>
      </c>
      <c r="H923" s="24">
        <f t="shared" si="45"/>
        <v>9255350.650000006</v>
      </c>
      <c r="I923" s="25">
        <f t="shared" si="43"/>
        <v>27.354437499996276</v>
      </c>
      <c r="J923" s="25">
        <f t="shared" si="44"/>
        <v>11.210453791182177</v>
      </c>
      <c r="K923" s="17" t="s">
        <v>13</v>
      </c>
    </row>
    <row r="924" spans="1:11" ht="15.75" customHeight="1" x14ac:dyDescent="0.2">
      <c r="A924" s="15">
        <v>45727</v>
      </c>
      <c r="B924" s="3">
        <f>VLOOKUP(A924,'[1]BADI SID DATA'!A:B,2,0)</f>
        <v>345</v>
      </c>
      <c r="C924" s="11">
        <v>61096.09999999404</v>
      </c>
      <c r="D924" s="6">
        <v>5.97</v>
      </c>
      <c r="E924" s="23">
        <v>100</v>
      </c>
      <c r="F924" s="23">
        <v>100</v>
      </c>
      <c r="G924" s="16">
        <f>VLOOKUP(A924,'[1]DRDO Kolar Data'!$A:$E,5,0)*1000</f>
        <v>10500</v>
      </c>
      <c r="H924" s="24">
        <f t="shared" si="45"/>
        <v>9316446.75</v>
      </c>
      <c r="I924" s="25">
        <f t="shared" si="43"/>
        <v>25.456708333330852</v>
      </c>
      <c r="J924" s="25">
        <f t="shared" si="44"/>
        <v>11.251747282608695</v>
      </c>
      <c r="K924" s="17" t="s">
        <v>13</v>
      </c>
    </row>
    <row r="925" spans="1:11" ht="15.75" customHeight="1" x14ac:dyDescent="0.2">
      <c r="A925" s="15">
        <v>45728</v>
      </c>
      <c r="B925" s="3">
        <f>VLOOKUP(A925,'[1]BADI SID DATA'!A:B,2,0)</f>
        <v>346</v>
      </c>
      <c r="C925" s="11">
        <v>57200.65000000596</v>
      </c>
      <c r="D925" s="6">
        <v>6</v>
      </c>
      <c r="E925" s="23">
        <v>100</v>
      </c>
      <c r="F925" s="23">
        <v>100</v>
      </c>
      <c r="G925" s="16">
        <f>VLOOKUP(A925,'[1]DRDO Kolar Data'!$A:$E,5,0)*1000</f>
        <v>10400</v>
      </c>
      <c r="H925" s="24">
        <f t="shared" si="45"/>
        <v>9373647.400000006</v>
      </c>
      <c r="I925" s="25">
        <f t="shared" si="43"/>
        <v>23.833604166669151</v>
      </c>
      <c r="J925" s="25">
        <f t="shared" si="44"/>
        <v>11.288111030828524</v>
      </c>
      <c r="K925" s="17" t="s">
        <v>13</v>
      </c>
    </row>
    <row r="926" spans="1:11" ht="15.75" customHeight="1" x14ac:dyDescent="0.2">
      <c r="A926" s="15">
        <v>45729</v>
      </c>
      <c r="B926" s="3">
        <f>VLOOKUP(A926,'[1]BADI SID DATA'!A:B,2,0)</f>
        <v>347</v>
      </c>
      <c r="C926" s="11">
        <v>66301.29999999702</v>
      </c>
      <c r="D926" s="6">
        <v>7.21</v>
      </c>
      <c r="E926" s="23">
        <v>100</v>
      </c>
      <c r="F926" s="23">
        <v>100</v>
      </c>
      <c r="G926" s="16">
        <f>VLOOKUP(A926,'[1]DRDO Kolar Data'!$A:$E,5,0)*1000</f>
        <v>10800</v>
      </c>
      <c r="H926" s="24">
        <f t="shared" si="45"/>
        <v>9439948.700000003</v>
      </c>
      <c r="I926" s="25">
        <f t="shared" si="43"/>
        <v>27.625541666665427</v>
      </c>
      <c r="J926" s="25">
        <f t="shared" si="44"/>
        <v>11.335192963496642</v>
      </c>
      <c r="K926" s="17" t="s">
        <v>13</v>
      </c>
    </row>
    <row r="927" spans="1:11" ht="15.75" customHeight="1" x14ac:dyDescent="0.2">
      <c r="A927" s="15">
        <v>45730</v>
      </c>
      <c r="B927" s="3">
        <f>VLOOKUP(A927,'[1]BADI SID DATA'!A:B,2,0)</f>
        <v>348</v>
      </c>
      <c r="C927" s="11">
        <v>65650.65000000596</v>
      </c>
      <c r="D927" s="6">
        <v>6.98</v>
      </c>
      <c r="E927" s="23">
        <v>100</v>
      </c>
      <c r="F927" s="23">
        <v>100</v>
      </c>
      <c r="G927" s="16">
        <f>VLOOKUP(A927,'[1]DRDO Kolar Data'!$A:$E,5,0)*1000</f>
        <v>10700</v>
      </c>
      <c r="H927" s="24">
        <f t="shared" si="45"/>
        <v>9505599.3500000089</v>
      </c>
      <c r="I927" s="25">
        <f t="shared" si="43"/>
        <v>27.354437500002483</v>
      </c>
      <c r="J927" s="25">
        <f t="shared" si="44"/>
        <v>11.381225275383153</v>
      </c>
      <c r="K927" s="17" t="s">
        <v>13</v>
      </c>
    </row>
    <row r="928" spans="1:11" ht="15.75" customHeight="1" x14ac:dyDescent="0.2">
      <c r="A928" s="15">
        <v>45731</v>
      </c>
      <c r="B928" s="3">
        <f>VLOOKUP(A928,'[1]BADI SID DATA'!A:B,2,0)</f>
        <v>349</v>
      </c>
      <c r="C928" s="11">
        <v>67601.95000000298</v>
      </c>
      <c r="D928" s="6">
        <v>7.22</v>
      </c>
      <c r="E928" s="23">
        <v>100</v>
      </c>
      <c r="F928" s="23">
        <v>100</v>
      </c>
      <c r="G928" s="16">
        <f>VLOOKUP(A928,'[1]DRDO Kolar Data'!$A:$E,5,0)*1000</f>
        <v>10300</v>
      </c>
      <c r="H928" s="24">
        <f t="shared" si="45"/>
        <v>9573201.3000000119</v>
      </c>
      <c r="I928" s="25">
        <f t="shared" si="43"/>
        <v>28.16747916666791</v>
      </c>
      <c r="J928" s="25">
        <f t="shared" si="44"/>
        <v>11.429323424068782</v>
      </c>
      <c r="K928" s="17" t="s">
        <v>13</v>
      </c>
    </row>
    <row r="929" spans="1:11" ht="15.75" customHeight="1" x14ac:dyDescent="0.2">
      <c r="A929" s="15">
        <v>45732</v>
      </c>
      <c r="B929" s="3">
        <f>VLOOKUP(A929,'[1]BADI SID DATA'!A:B,2,0)</f>
        <v>350</v>
      </c>
      <c r="C929" s="11">
        <v>66301.29999999702</v>
      </c>
      <c r="D929" s="6">
        <v>7.09</v>
      </c>
      <c r="E929" s="23">
        <v>100</v>
      </c>
      <c r="F929" s="23">
        <v>100</v>
      </c>
      <c r="G929" s="16">
        <f>VLOOKUP(A929,'[1]DRDO Kolar Data'!$A:$E,5,0)*1000</f>
        <v>10800</v>
      </c>
      <c r="H929" s="24">
        <f t="shared" si="45"/>
        <v>9639502.6000000089</v>
      </c>
      <c r="I929" s="25">
        <f t="shared" si="43"/>
        <v>27.625541666665427</v>
      </c>
      <c r="J929" s="25">
        <f t="shared" si="44"/>
        <v>11.475598333333343</v>
      </c>
      <c r="K929" s="17" t="s">
        <v>13</v>
      </c>
    </row>
    <row r="930" spans="1:11" ht="15.75" customHeight="1" x14ac:dyDescent="0.2">
      <c r="A930" s="15">
        <v>45733</v>
      </c>
      <c r="B930" s="3">
        <f>VLOOKUP(A930,'[1]BADI SID DATA'!A:B,2,0)</f>
        <v>351</v>
      </c>
      <c r="C930" s="11">
        <v>61747.399999991059</v>
      </c>
      <c r="D930" s="6">
        <v>6.46</v>
      </c>
      <c r="E930" s="23">
        <v>100</v>
      </c>
      <c r="F930" s="23">
        <v>100</v>
      </c>
      <c r="G930" s="16">
        <f>VLOOKUP(A930,'[1]DRDO Kolar Data'!$A:$E,5,0)*1000</f>
        <v>10700</v>
      </c>
      <c r="H930" s="24">
        <f t="shared" si="45"/>
        <v>9701250</v>
      </c>
      <c r="I930" s="25">
        <f t="shared" si="43"/>
        <v>25.728083333329611</v>
      </c>
      <c r="J930" s="25">
        <f t="shared" si="44"/>
        <v>11.516203703703704</v>
      </c>
      <c r="K930" s="17" t="s">
        <v>13</v>
      </c>
    </row>
    <row r="931" spans="1:11" ht="15.75" customHeight="1" x14ac:dyDescent="0.2">
      <c r="A931" s="15">
        <v>45734</v>
      </c>
      <c r="B931" s="3">
        <f>VLOOKUP(A931,'[1]BADI SID DATA'!A:B,2,0)</f>
        <v>352</v>
      </c>
      <c r="C931" s="11">
        <v>61103.90000000596</v>
      </c>
      <c r="D931" s="6">
        <v>6.64</v>
      </c>
      <c r="E931" s="23">
        <v>100</v>
      </c>
      <c r="F931" s="23">
        <v>100</v>
      </c>
      <c r="G931" s="16">
        <f>VLOOKUP(A931,'[1]DRDO Kolar Data'!$A:$E,5,0)*1000</f>
        <v>10500</v>
      </c>
      <c r="H931" s="24">
        <f t="shared" si="45"/>
        <v>9762353.900000006</v>
      </c>
      <c r="I931" s="25">
        <f t="shared" si="43"/>
        <v>25.45995833333582</v>
      </c>
      <c r="J931" s="25">
        <f t="shared" si="44"/>
        <v>11.555816642992431</v>
      </c>
      <c r="K931" s="17" t="s">
        <v>13</v>
      </c>
    </row>
    <row r="932" spans="1:11" ht="15.75" customHeight="1" x14ac:dyDescent="0.2">
      <c r="A932" s="15">
        <v>45735</v>
      </c>
      <c r="B932" s="3">
        <f>VLOOKUP(A932,'[1]BADI SID DATA'!A:B,2,0)</f>
        <v>353</v>
      </c>
      <c r="C932" s="11">
        <v>65000</v>
      </c>
      <c r="D932" s="6">
        <v>6.92</v>
      </c>
      <c r="E932" s="23">
        <v>100</v>
      </c>
      <c r="F932" s="23">
        <v>100</v>
      </c>
      <c r="G932" s="16">
        <f>VLOOKUP(A932,'[1]DRDO Kolar Data'!$A:$E,5,0)*1000</f>
        <v>10800</v>
      </c>
      <c r="H932" s="24">
        <f t="shared" si="45"/>
        <v>9827353.900000006</v>
      </c>
      <c r="I932" s="25">
        <f t="shared" si="43"/>
        <v>27.083333333333332</v>
      </c>
      <c r="J932" s="25">
        <f t="shared" si="44"/>
        <v>11.599803942398495</v>
      </c>
      <c r="K932" s="17" t="s">
        <v>13</v>
      </c>
    </row>
    <row r="933" spans="1:11" ht="15.75" customHeight="1" x14ac:dyDescent="0.2">
      <c r="A933" s="15">
        <v>45736</v>
      </c>
      <c r="B933" s="3">
        <f>VLOOKUP(A933,'[1]BADI SID DATA'!A:B,2,0)</f>
        <v>354</v>
      </c>
      <c r="C933" s="11">
        <v>66293.5</v>
      </c>
      <c r="D933" s="6">
        <v>7.06</v>
      </c>
      <c r="E933" s="23">
        <v>100</v>
      </c>
      <c r="F933" s="23">
        <v>100</v>
      </c>
      <c r="G933" s="16">
        <f>VLOOKUP(A933,'[1]DRDO Kolar Data'!$A:$E,5,0)*1000</f>
        <v>10900</v>
      </c>
      <c r="H933" s="24">
        <f t="shared" si="45"/>
        <v>9893647.400000006</v>
      </c>
      <c r="I933" s="25">
        <f t="shared" si="43"/>
        <v>27.622291666666666</v>
      </c>
      <c r="J933" s="25">
        <f t="shared" si="44"/>
        <v>11.645065207156316</v>
      </c>
      <c r="K933" s="17" t="s">
        <v>13</v>
      </c>
    </row>
    <row r="934" spans="1:11" ht="15.75" customHeight="1" x14ac:dyDescent="0.2">
      <c r="A934" s="15">
        <v>45737</v>
      </c>
      <c r="B934" s="3">
        <f>VLOOKUP(A934,'[1]BADI SID DATA'!A:B,2,0)</f>
        <v>355</v>
      </c>
      <c r="C934" s="11">
        <v>59151.95000000298</v>
      </c>
      <c r="D934" s="6">
        <v>6.16</v>
      </c>
      <c r="E934" s="23">
        <v>100</v>
      </c>
      <c r="F934" s="23">
        <v>100</v>
      </c>
      <c r="G934" s="16">
        <f>VLOOKUP(A934,'[1]DRDO Kolar Data'!$A:$E,5,0)*1000</f>
        <v>10700</v>
      </c>
      <c r="H934" s="24">
        <f t="shared" si="45"/>
        <v>9952799.3500000089</v>
      </c>
      <c r="I934" s="25">
        <f t="shared" si="43"/>
        <v>24.646645833334574</v>
      </c>
      <c r="J934" s="25">
        <f t="shared" si="44"/>
        <v>11.681689377934283</v>
      </c>
      <c r="K934" s="17" t="s">
        <v>13</v>
      </c>
    </row>
    <row r="935" spans="1:11" ht="15.75" customHeight="1" x14ac:dyDescent="0.2">
      <c r="A935" s="15">
        <v>45738</v>
      </c>
      <c r="B935" s="3">
        <f>VLOOKUP(A935,'[1]BADI SID DATA'!A:B,2,0)</f>
        <v>356</v>
      </c>
      <c r="C935" s="11">
        <v>43552.59999999404</v>
      </c>
      <c r="D935" s="6">
        <v>4.34</v>
      </c>
      <c r="E935" s="23">
        <v>100</v>
      </c>
      <c r="F935" s="23">
        <v>100</v>
      </c>
      <c r="G935" s="16">
        <f>VLOOKUP(A935,'[1]DRDO Kolar Data'!$A:$E,5,0)*1000</f>
        <v>10200</v>
      </c>
      <c r="H935" s="24">
        <f t="shared" si="45"/>
        <v>9996351.950000003</v>
      </c>
      <c r="I935" s="25">
        <f t="shared" si="43"/>
        <v>18.146916666664183</v>
      </c>
      <c r="J935" s="25">
        <f t="shared" si="44"/>
        <v>11.699850128745322</v>
      </c>
      <c r="K935" s="17" t="s">
        <v>10</v>
      </c>
    </row>
    <row r="936" spans="1:11" ht="15.75" customHeight="1" x14ac:dyDescent="0.2">
      <c r="A936" s="15">
        <v>45739</v>
      </c>
      <c r="B936" s="3">
        <f>VLOOKUP(A936,'[1]BADI SID DATA'!A:B,2,0)</f>
        <v>357</v>
      </c>
      <c r="C936" s="11">
        <v>47448.70000000298</v>
      </c>
      <c r="D936" s="6">
        <v>4.9000000000000004</v>
      </c>
      <c r="E936" s="23">
        <v>100</v>
      </c>
      <c r="F936" s="23">
        <v>100</v>
      </c>
      <c r="G936" s="16">
        <f>VLOOKUP(A936,'[1]DRDO Kolar Data'!$A:$E,5,0)*1000</f>
        <v>10500</v>
      </c>
      <c r="H936" s="24">
        <f t="shared" si="45"/>
        <v>10043800.650000006</v>
      </c>
      <c r="I936" s="25">
        <f t="shared" si="43"/>
        <v>19.770291666667909</v>
      </c>
      <c r="J936" s="25">
        <f t="shared" si="44"/>
        <v>11.722456407563033</v>
      </c>
      <c r="K936" s="17" t="s">
        <v>10</v>
      </c>
    </row>
    <row r="937" spans="1:11" ht="15.75" customHeight="1" x14ac:dyDescent="0.2">
      <c r="A937" s="15">
        <v>45740</v>
      </c>
      <c r="B937" s="3">
        <f>VLOOKUP(A937,'[1]BADI SID DATA'!A:B,2,0)</f>
        <v>358</v>
      </c>
      <c r="C937" s="11">
        <v>55248.70000000298</v>
      </c>
      <c r="D937" s="6">
        <v>5.99</v>
      </c>
      <c r="E937" s="23">
        <v>100</v>
      </c>
      <c r="F937" s="23">
        <v>100</v>
      </c>
      <c r="G937" s="16">
        <f>VLOOKUP(A937,'[1]DRDO Kolar Data'!$A:$E,5,0)*1000</f>
        <v>10300</v>
      </c>
      <c r="H937" s="24">
        <f t="shared" si="45"/>
        <v>10099049.350000009</v>
      </c>
      <c r="I937" s="25">
        <f t="shared" si="43"/>
        <v>23.020291666667909</v>
      </c>
      <c r="J937" s="25">
        <f t="shared" si="44"/>
        <v>11.754014606610811</v>
      </c>
      <c r="K937" s="17" t="s">
        <v>13</v>
      </c>
    </row>
    <row r="938" spans="1:11" ht="15.75" customHeight="1" x14ac:dyDescent="0.2">
      <c r="A938" s="15">
        <v>45741</v>
      </c>
      <c r="B938" s="3">
        <f>VLOOKUP(A938,'[1]BADI SID DATA'!A:B,2,0)</f>
        <v>359</v>
      </c>
      <c r="C938" s="11">
        <v>59151.95000000298</v>
      </c>
      <c r="D938" s="6">
        <v>6.3</v>
      </c>
      <c r="E938" s="23">
        <v>100</v>
      </c>
      <c r="F938" s="23">
        <v>100</v>
      </c>
      <c r="G938" s="16">
        <f>VLOOKUP(A938,'[1]DRDO Kolar Data'!$A:$E,5,0)*1000</f>
        <v>10500</v>
      </c>
      <c r="H938" s="24">
        <f t="shared" si="45"/>
        <v>10158201.300000012</v>
      </c>
      <c r="I938" s="25">
        <f t="shared" si="43"/>
        <v>24.646645833334574</v>
      </c>
      <c r="J938" s="25">
        <f t="shared" si="44"/>
        <v>11.789927228412269</v>
      </c>
      <c r="K938" s="17" t="s">
        <v>13</v>
      </c>
    </row>
    <row r="939" spans="1:11" ht="15.75" customHeight="1" x14ac:dyDescent="0.2">
      <c r="A939" s="15">
        <v>45742</v>
      </c>
      <c r="B939" s="3">
        <f>VLOOKUP(A939,'[1]BADI SID DATA'!A:B,2,0)</f>
        <v>360</v>
      </c>
      <c r="C939" s="11">
        <v>59152.59999999404</v>
      </c>
      <c r="D939" s="7">
        <v>6.15</v>
      </c>
      <c r="E939" s="23">
        <v>100</v>
      </c>
      <c r="F939" s="23">
        <v>100</v>
      </c>
      <c r="G939" s="16">
        <f>VLOOKUP(A939,'[1]DRDO Kolar Data'!$A:$E,5,0)*1000</f>
        <v>10400</v>
      </c>
      <c r="H939" s="24">
        <f t="shared" si="45"/>
        <v>10217353.900000006</v>
      </c>
      <c r="I939" s="25">
        <f t="shared" si="43"/>
        <v>24.646916666664183</v>
      </c>
      <c r="J939" s="25">
        <f t="shared" si="44"/>
        <v>11.825641087962969</v>
      </c>
      <c r="K939" s="17" t="s">
        <v>13</v>
      </c>
    </row>
    <row r="940" spans="1:11" ht="15.75" customHeight="1" x14ac:dyDescent="0.2">
      <c r="A940" s="15">
        <v>45743</v>
      </c>
      <c r="B940" s="3">
        <f>VLOOKUP(A940,'[1]BADI SID DATA'!A:B,2,0)</f>
        <v>361</v>
      </c>
      <c r="C940" s="11">
        <v>55248.04999999702</v>
      </c>
      <c r="D940" s="6">
        <v>6.25</v>
      </c>
      <c r="E940" s="23">
        <v>100</v>
      </c>
      <c r="F940" s="23">
        <v>100</v>
      </c>
      <c r="G940" s="16">
        <f>VLOOKUP(A940,'[1]DRDO Kolar Data'!$A:$E,5,0)*1000</f>
        <v>10600</v>
      </c>
      <c r="H940" s="24">
        <f t="shared" si="45"/>
        <v>10272601.950000003</v>
      </c>
      <c r="I940" s="25">
        <f t="shared" si="43"/>
        <v>23.02002083333209</v>
      </c>
      <c r="J940" s="25">
        <f t="shared" si="44"/>
        <v>11.856650450138508</v>
      </c>
      <c r="K940" s="17" t="s">
        <v>13</v>
      </c>
    </row>
    <row r="941" spans="1:11" ht="15.75" customHeight="1" x14ac:dyDescent="0.2">
      <c r="A941" s="15">
        <v>45744</v>
      </c>
      <c r="B941" s="3">
        <f>VLOOKUP(A941,'[1]BADI SID DATA'!A:B,2,0)</f>
        <v>362</v>
      </c>
      <c r="C941" s="11">
        <v>54598.050000011921</v>
      </c>
      <c r="D941" s="7">
        <v>5.8</v>
      </c>
      <c r="E941" s="23">
        <v>100</v>
      </c>
      <c r="F941" s="23">
        <v>100</v>
      </c>
      <c r="G941" s="16">
        <f>VLOOKUP(A941,'[1]DRDO Kolar Data'!$A:$E,5,0)*1000</f>
        <v>10800</v>
      </c>
      <c r="H941" s="24">
        <f t="shared" si="45"/>
        <v>10327200.000000015</v>
      </c>
      <c r="I941" s="25">
        <f t="shared" si="43"/>
        <v>22.749187500004968</v>
      </c>
      <c r="J941" s="25">
        <f t="shared" si="44"/>
        <v>11.88674033149173</v>
      </c>
      <c r="K941" s="17" t="s">
        <v>13</v>
      </c>
    </row>
    <row r="942" spans="1:11" ht="15.75" customHeight="1" x14ac:dyDescent="0.2">
      <c r="A942" s="15">
        <v>45745</v>
      </c>
      <c r="B942" s="3">
        <f>VLOOKUP(A942,'[1]BADI SID DATA'!A:B,2,0)</f>
        <v>363</v>
      </c>
      <c r="C942" s="11">
        <v>59802.59999999404</v>
      </c>
      <c r="D942" s="7">
        <v>6.31</v>
      </c>
      <c r="E942" s="23">
        <v>100</v>
      </c>
      <c r="F942" s="23">
        <v>100</v>
      </c>
      <c r="G942" s="16">
        <f>VLOOKUP(A942,'[1]DRDO Kolar Data'!$A:$E,5,0)*1000</f>
        <v>10500</v>
      </c>
      <c r="H942" s="24">
        <f t="shared" si="45"/>
        <v>10387002.600000009</v>
      </c>
      <c r="I942" s="25">
        <f t="shared" si="43"/>
        <v>24.917749999997515</v>
      </c>
      <c r="J942" s="25">
        <f t="shared" si="44"/>
        <v>11.922638429752077</v>
      </c>
      <c r="K942" s="17" t="s">
        <v>13</v>
      </c>
    </row>
    <row r="943" spans="1:11" ht="15.75" customHeight="1" x14ac:dyDescent="0.2">
      <c r="A943" s="15">
        <v>45746</v>
      </c>
      <c r="B943" s="3">
        <f>VLOOKUP(A943,'[1]BADI SID DATA'!A:B,2,0)</f>
        <v>364</v>
      </c>
      <c r="C943" s="11">
        <v>57851.29999999702</v>
      </c>
      <c r="D943" s="7">
        <v>6.12</v>
      </c>
      <c r="E943" s="23">
        <v>100</v>
      </c>
      <c r="F943" s="23">
        <v>100</v>
      </c>
      <c r="G943" s="16">
        <f>VLOOKUP(A943,'[1]DRDO Kolar Data'!$A:$E,5,0)*1000</f>
        <v>10800</v>
      </c>
      <c r="H943" s="24">
        <f t="shared" si="45"/>
        <v>10444853.900000006</v>
      </c>
      <c r="I943" s="25">
        <f t="shared" si="43"/>
        <v>24.104708333332091</v>
      </c>
      <c r="J943" s="25">
        <f t="shared" si="44"/>
        <v>11.956105654761911</v>
      </c>
      <c r="K943" s="17" t="s">
        <v>13</v>
      </c>
    </row>
    <row r="944" spans="1:11" ht="15.75" customHeight="1" x14ac:dyDescent="0.2">
      <c r="A944" s="15">
        <v>45747</v>
      </c>
      <c r="B944" s="3">
        <f>VLOOKUP(A944,'[1]BADI SID DATA'!A:B,2,0)</f>
        <v>365</v>
      </c>
      <c r="C944" s="11">
        <v>55248.04999999702</v>
      </c>
      <c r="D944" s="6">
        <v>5.8</v>
      </c>
      <c r="E944" s="23">
        <v>100</v>
      </c>
      <c r="F944" s="23">
        <v>100</v>
      </c>
      <c r="G944" s="16">
        <f>VLOOKUP(A944,'[1]DRDO Kolar Data'!$A:$E,5,0)*1000</f>
        <v>10200</v>
      </c>
      <c r="H944" s="24">
        <v>17714640</v>
      </c>
      <c r="I944" s="25">
        <v>22.02</v>
      </c>
      <c r="J944" s="25">
        <f t="shared" si="44"/>
        <v>20.22219178082192</v>
      </c>
      <c r="K944" s="17" t="s">
        <v>13</v>
      </c>
    </row>
    <row r="945" spans="1:11" ht="15.75" customHeight="1" x14ac:dyDescent="0.2">
      <c r="A945" s="15">
        <v>45748</v>
      </c>
      <c r="B945" s="3">
        <f>VLOOKUP(A945,'[1]BADI SID DATA'!A:B,2,0)</f>
        <v>1</v>
      </c>
      <c r="C945" s="4">
        <v>50701.95000000298</v>
      </c>
      <c r="D945" s="4">
        <v>5.3</v>
      </c>
      <c r="E945" s="23">
        <v>100</v>
      </c>
      <c r="F945" s="23">
        <v>100</v>
      </c>
      <c r="G945" s="16">
        <f>VLOOKUP(A945,'[1]DRDO Kolar Data'!$A:$E,5,0)*1000</f>
        <v>10100</v>
      </c>
      <c r="H945" s="24">
        <f>C945</f>
        <v>50701.95000000298</v>
      </c>
      <c r="I945" s="25">
        <f t="shared" si="43"/>
        <v>21.125812500001242</v>
      </c>
      <c r="J945" s="25">
        <f t="shared" si="44"/>
        <v>21.125812500001242</v>
      </c>
      <c r="K945" s="17" t="s">
        <v>13</v>
      </c>
    </row>
    <row r="946" spans="1:11" ht="15.75" customHeight="1" x14ac:dyDescent="0.2">
      <c r="A946" s="15">
        <v>45749</v>
      </c>
      <c r="B946" s="3">
        <f>VLOOKUP(A946,'[1]BADI SID DATA'!A:B,2,0)</f>
        <v>2</v>
      </c>
      <c r="C946" s="4">
        <v>58494.15000000596</v>
      </c>
      <c r="D946" s="4">
        <v>6.09</v>
      </c>
      <c r="E946" s="23">
        <v>100</v>
      </c>
      <c r="F946" s="23">
        <v>100</v>
      </c>
      <c r="G946" s="16">
        <f>VLOOKUP(A946,'[1]DRDO Kolar Data'!$A:$E,5,0)*1000</f>
        <v>10000</v>
      </c>
      <c r="H946" s="24">
        <f t="shared" si="45"/>
        <v>109196.10000000894</v>
      </c>
      <c r="I946" s="25">
        <f t="shared" si="43"/>
        <v>24.372562500002484</v>
      </c>
      <c r="J946" s="25">
        <f t="shared" si="44"/>
        <v>22.749187500001863</v>
      </c>
      <c r="K946" s="17" t="s">
        <v>24</v>
      </c>
    </row>
    <row r="947" spans="1:11" ht="15.75" customHeight="1" x14ac:dyDescent="0.2">
      <c r="A947" s="15">
        <v>45750</v>
      </c>
      <c r="B947" s="3">
        <f>VLOOKUP(A947,'[1]BADI SID DATA'!A:B,2,0)</f>
        <v>3</v>
      </c>
      <c r="C947" s="4">
        <v>29905.20000000298</v>
      </c>
      <c r="D947" s="4">
        <v>2.65</v>
      </c>
      <c r="E947" s="23">
        <v>100</v>
      </c>
      <c r="F947" s="23">
        <v>100</v>
      </c>
      <c r="G947" s="16">
        <f>VLOOKUP(A947,'[1]DRDO Kolar Data'!$A:$E,5,0)*1000</f>
        <v>9900</v>
      </c>
      <c r="H947" s="24">
        <f t="shared" si="45"/>
        <v>139101.30000001192</v>
      </c>
      <c r="I947" s="25">
        <f t="shared" si="43"/>
        <v>12.460500000001241</v>
      </c>
      <c r="J947" s="25">
        <f t="shared" si="44"/>
        <v>19.319625000001654</v>
      </c>
      <c r="K947" s="17" t="s">
        <v>13</v>
      </c>
    </row>
    <row r="948" spans="1:11" ht="15.75" customHeight="1" x14ac:dyDescent="0.2">
      <c r="A948" s="15">
        <v>45751</v>
      </c>
      <c r="B948" s="3">
        <f>VLOOKUP(A948,'[1]BADI SID DATA'!A:B,2,0)</f>
        <v>4</v>
      </c>
      <c r="C948" s="4">
        <v>43544.799999982119</v>
      </c>
      <c r="D948" s="4">
        <v>4.45</v>
      </c>
      <c r="E948" s="23">
        <v>100</v>
      </c>
      <c r="F948" s="23">
        <v>100</v>
      </c>
      <c r="G948" s="16">
        <f>VLOOKUP(A948,'[1]DRDO Kolar Data'!$A:$E,5,0)*1000</f>
        <v>10500</v>
      </c>
      <c r="H948" s="24">
        <f t="shared" si="45"/>
        <v>182646.09999999404</v>
      </c>
      <c r="I948" s="25">
        <f t="shared" si="43"/>
        <v>18.143666666659218</v>
      </c>
      <c r="J948" s="25">
        <f t="shared" si="44"/>
        <v>19.025635416666045</v>
      </c>
      <c r="K948" s="17" t="s">
        <v>24</v>
      </c>
    </row>
    <row r="949" spans="1:11" ht="15.75" customHeight="1" x14ac:dyDescent="0.2">
      <c r="A949" s="15">
        <v>45752</v>
      </c>
      <c r="B949" s="3">
        <f>VLOOKUP(A949,'[1]BADI SID DATA'!A:B,2,0)</f>
        <v>5</v>
      </c>
      <c r="C949" s="4">
        <v>53304.54999999702</v>
      </c>
      <c r="D949" s="4">
        <v>5.45</v>
      </c>
      <c r="E949" s="23">
        <v>100</v>
      </c>
      <c r="F949" s="23">
        <v>100</v>
      </c>
      <c r="G949" s="16">
        <f>VLOOKUP(A949,'[1]DRDO Kolar Data'!$A:$E,5,0)*1000</f>
        <v>10300</v>
      </c>
      <c r="H949" s="24">
        <f t="shared" si="45"/>
        <v>235950.64999999106</v>
      </c>
      <c r="I949" s="25">
        <f t="shared" si="43"/>
        <v>22.210229166665425</v>
      </c>
      <c r="J949" s="25">
        <f t="shared" si="44"/>
        <v>19.66255416666592</v>
      </c>
      <c r="K949" s="17" t="s">
        <v>13</v>
      </c>
    </row>
    <row r="950" spans="1:11" ht="15.75" customHeight="1" x14ac:dyDescent="0.2">
      <c r="A950" s="15">
        <v>45753</v>
      </c>
      <c r="B950" s="3">
        <f>VLOOKUP(A950,'[1]BADI SID DATA'!A:B,2,0)</f>
        <v>6</v>
      </c>
      <c r="C950" s="4">
        <v>51344.800000011921</v>
      </c>
      <c r="D950" s="4">
        <v>5.2</v>
      </c>
      <c r="E950" s="23">
        <v>100</v>
      </c>
      <c r="F950" s="23">
        <v>100</v>
      </c>
      <c r="G950" s="16">
        <f>VLOOKUP(A950,'[1]DRDO Kolar Data'!$A:$E,5,0)*1000</f>
        <v>9900</v>
      </c>
      <c r="H950" s="24">
        <f t="shared" si="45"/>
        <v>287295.45000000298</v>
      </c>
      <c r="I950" s="25">
        <f t="shared" si="43"/>
        <v>21.393666666671635</v>
      </c>
      <c r="J950" s="25">
        <f t="shared" si="44"/>
        <v>19.951072916666874</v>
      </c>
      <c r="K950" s="17" t="s">
        <v>13</v>
      </c>
    </row>
    <row r="951" spans="1:11" ht="15.75" customHeight="1" x14ac:dyDescent="0.2">
      <c r="A951" s="15">
        <v>45754</v>
      </c>
      <c r="B951" s="3">
        <f>VLOOKUP(A951,'[1]BADI SID DATA'!A:B,2,0)</f>
        <v>7</v>
      </c>
      <c r="C951" s="4">
        <v>56549.34999999404</v>
      </c>
      <c r="D951" s="4">
        <v>5.9</v>
      </c>
      <c r="E951" s="23">
        <v>100</v>
      </c>
      <c r="F951" s="23">
        <v>100</v>
      </c>
      <c r="G951" s="16">
        <f>VLOOKUP(A951,'[1]DRDO Kolar Data'!$A:$E,5,0)*1000</f>
        <v>10100</v>
      </c>
      <c r="H951" s="24">
        <f t="shared" si="45"/>
        <v>343844.79999999702</v>
      </c>
      <c r="I951" s="25">
        <f t="shared" si="43"/>
        <v>23.562229166664185</v>
      </c>
      <c r="J951" s="25">
        <f t="shared" si="44"/>
        <v>20.466952380952204</v>
      </c>
      <c r="K951" s="17" t="s">
        <v>24</v>
      </c>
    </row>
    <row r="952" spans="1:11" ht="15.75" customHeight="1" x14ac:dyDescent="0.2">
      <c r="A952" s="15">
        <v>45755</v>
      </c>
      <c r="B952" s="3">
        <f>VLOOKUP(A952,'[1]BADI SID DATA'!A:B,2,0)</f>
        <v>8</v>
      </c>
      <c r="C952" s="4">
        <v>58501.95000000298</v>
      </c>
      <c r="D952" s="4">
        <v>6.06</v>
      </c>
      <c r="E952" s="23">
        <v>100</v>
      </c>
      <c r="F952" s="23">
        <v>100</v>
      </c>
      <c r="G952" s="16">
        <f>VLOOKUP(A952,'[1]DRDO Kolar Data'!$A:$E,5,0)*1000</f>
        <v>10800</v>
      </c>
      <c r="H952" s="24">
        <f t="shared" si="45"/>
        <v>402346.75</v>
      </c>
      <c r="I952" s="25">
        <f t="shared" si="43"/>
        <v>24.375812500001242</v>
      </c>
      <c r="J952" s="25">
        <f t="shared" si="44"/>
        <v>20.955559895833336</v>
      </c>
      <c r="K952" s="17" t="s">
        <v>24</v>
      </c>
    </row>
    <row r="953" spans="1:11" ht="15.75" customHeight="1" x14ac:dyDescent="0.2">
      <c r="A953" s="15">
        <v>45756</v>
      </c>
      <c r="B953" s="3">
        <f>VLOOKUP(A953,'[1]BADI SID DATA'!A:B,2,0)</f>
        <v>9</v>
      </c>
      <c r="C953" s="4">
        <v>59802.59999999404</v>
      </c>
      <c r="D953" s="4">
        <v>6.16</v>
      </c>
      <c r="E953" s="23">
        <v>100</v>
      </c>
      <c r="F953" s="23">
        <v>100</v>
      </c>
      <c r="G953" s="16">
        <f>VLOOKUP(A953,'[1]DRDO Kolar Data'!$A:$E,5,0)*1000</f>
        <v>10700</v>
      </c>
      <c r="H953" s="24">
        <f t="shared" si="45"/>
        <v>462149.34999999404</v>
      </c>
      <c r="I953" s="25">
        <f t="shared" si="43"/>
        <v>24.917749999997515</v>
      </c>
      <c r="J953" s="25">
        <f t="shared" si="44"/>
        <v>21.395803240740467</v>
      </c>
      <c r="K953" s="17" t="s">
        <v>24</v>
      </c>
    </row>
    <row r="954" spans="1:11" ht="15.75" customHeight="1" x14ac:dyDescent="0.2">
      <c r="A954" s="15">
        <v>45757</v>
      </c>
      <c r="B954" s="3">
        <f>VLOOKUP(A954,'[1]BADI SID DATA'!A:B,2,0)</f>
        <v>10</v>
      </c>
      <c r="C954" s="4">
        <v>52646.100000008941</v>
      </c>
      <c r="D954" s="4">
        <v>5.41</v>
      </c>
      <c r="E954" s="23">
        <v>100</v>
      </c>
      <c r="F954" s="23">
        <v>100</v>
      </c>
      <c r="G954" s="16">
        <f>VLOOKUP(A954,'[1]DRDO Kolar Data'!$A:$E,5,0)*1000</f>
        <v>10900</v>
      </c>
      <c r="H954" s="24">
        <f t="shared" si="45"/>
        <v>514795.45000000298</v>
      </c>
      <c r="I954" s="25">
        <f t="shared" si="43"/>
        <v>21.935875000003723</v>
      </c>
      <c r="J954" s="25">
        <f t="shared" si="44"/>
        <v>21.449810416666789</v>
      </c>
      <c r="K954" s="17" t="s">
        <v>24</v>
      </c>
    </row>
    <row r="955" spans="1:11" ht="15.75" customHeight="1" x14ac:dyDescent="0.2">
      <c r="A955" s="15">
        <v>45758</v>
      </c>
      <c r="B955" s="3">
        <f>VLOOKUP(A955,'[1]BADI SID DATA'!A:B,2,0)</f>
        <v>11</v>
      </c>
      <c r="C955" s="4">
        <v>46155.199999988079</v>
      </c>
      <c r="D955" s="4">
        <v>4.16</v>
      </c>
      <c r="E955" s="23">
        <v>100</v>
      </c>
      <c r="F955" s="23">
        <v>100</v>
      </c>
      <c r="G955" s="16">
        <f>VLOOKUP(A955,'[1]DRDO Kolar Data'!$A:$E,5,0)*1000</f>
        <v>10800</v>
      </c>
      <c r="H955" s="24">
        <f t="shared" si="45"/>
        <v>560950.64999999106</v>
      </c>
      <c r="I955" s="25">
        <f t="shared" si="43"/>
        <v>19.231333333328365</v>
      </c>
      <c r="J955" s="25">
        <f t="shared" si="44"/>
        <v>21.248130681817841</v>
      </c>
      <c r="K955" s="17" t="s">
        <v>24</v>
      </c>
    </row>
    <row r="956" spans="1:11" ht="15.75" customHeight="1" x14ac:dyDescent="0.2">
      <c r="A956" s="15">
        <v>45759</v>
      </c>
      <c r="B956" s="3">
        <f>VLOOKUP(A956,'[1]BADI SID DATA'!A:B,2,0)</f>
        <v>12</v>
      </c>
      <c r="C956" s="4">
        <v>57850.65000000596</v>
      </c>
      <c r="D956" s="4">
        <v>6.05</v>
      </c>
      <c r="E956" s="23">
        <v>100</v>
      </c>
      <c r="F956" s="23">
        <v>100</v>
      </c>
      <c r="G956" s="16">
        <f>VLOOKUP(A956,'[1]DRDO Kolar Data'!$A:$E,5,0)*1000</f>
        <v>10200</v>
      </c>
      <c r="H956" s="24">
        <f t="shared" si="45"/>
        <v>618801.29999999702</v>
      </c>
      <c r="I956" s="25">
        <f t="shared" si="43"/>
        <v>24.104437500002483</v>
      </c>
      <c r="J956" s="25">
        <f t="shared" si="44"/>
        <v>21.486156249999897</v>
      </c>
      <c r="K956" s="17" t="s">
        <v>13</v>
      </c>
    </row>
    <row r="957" spans="1:11" ht="15.75" customHeight="1" x14ac:dyDescent="0.2">
      <c r="A957" s="15">
        <v>45760</v>
      </c>
      <c r="B957" s="3">
        <f>VLOOKUP(A957,'[1]BADI SID DATA'!A:B,2,0)</f>
        <v>13</v>
      </c>
      <c r="C957" s="4">
        <v>51344.79999999702</v>
      </c>
      <c r="D957" s="4">
        <v>5.23</v>
      </c>
      <c r="E957" s="23">
        <v>100</v>
      </c>
      <c r="F957" s="23">
        <v>100</v>
      </c>
      <c r="G957" s="16">
        <f>VLOOKUP(A957,'[1]DRDO Kolar Data'!$A:$E,5,0)*1000</f>
        <v>10000</v>
      </c>
      <c r="H957" s="24">
        <f t="shared" si="45"/>
        <v>670146.09999999404</v>
      </c>
      <c r="I957" s="25">
        <f t="shared" si="43"/>
        <v>21.393666666665425</v>
      </c>
      <c r="J957" s="25">
        <f t="shared" si="44"/>
        <v>21.479041666666475</v>
      </c>
      <c r="K957" s="17" t="s">
        <v>13</v>
      </c>
    </row>
    <row r="958" spans="1:11" ht="15.75" customHeight="1" x14ac:dyDescent="0.2">
      <c r="A958" s="15">
        <v>45761</v>
      </c>
      <c r="B958" s="3">
        <f>VLOOKUP(A958,'[1]BADI SID DATA'!A:B,2,0)</f>
        <v>14</v>
      </c>
      <c r="C958" s="4">
        <v>51352.600000008941</v>
      </c>
      <c r="D958" s="4">
        <v>5.41</v>
      </c>
      <c r="E958" s="23">
        <v>100</v>
      </c>
      <c r="F958" s="23">
        <v>100</v>
      </c>
      <c r="G958" s="16">
        <f>VLOOKUP(A958,'[1]DRDO Kolar Data'!$A:$E,5,0)*1000</f>
        <v>10100</v>
      </c>
      <c r="H958" s="24">
        <f t="shared" si="45"/>
        <v>721498.70000000298</v>
      </c>
      <c r="I958" s="25">
        <f t="shared" si="43"/>
        <v>21.396916666670393</v>
      </c>
      <c r="J958" s="25">
        <f t="shared" si="44"/>
        <v>21.473175595238185</v>
      </c>
      <c r="K958" s="17" t="s">
        <v>13</v>
      </c>
    </row>
    <row r="959" spans="1:11" ht="15.75" customHeight="1" x14ac:dyDescent="0.2">
      <c r="A959" s="15">
        <v>45762</v>
      </c>
      <c r="B959" s="3">
        <f>VLOOKUP(A959,'[1]BADI SID DATA'!A:B,2,0)</f>
        <v>15</v>
      </c>
      <c r="C959" s="4">
        <v>53296.75</v>
      </c>
      <c r="D959" s="4">
        <v>5.5</v>
      </c>
      <c r="E959" s="23">
        <v>100</v>
      </c>
      <c r="F959" s="23">
        <v>100</v>
      </c>
      <c r="G959" s="16">
        <f>VLOOKUP(A959,'[1]DRDO Kolar Data'!$A:$E,5,0)*1000</f>
        <v>10500</v>
      </c>
      <c r="H959" s="24">
        <f t="shared" si="45"/>
        <v>774795.45000000298</v>
      </c>
      <c r="I959" s="25">
        <f t="shared" si="43"/>
        <v>22.206979166666667</v>
      </c>
      <c r="J959" s="25">
        <f t="shared" si="44"/>
        <v>21.522095833333417</v>
      </c>
      <c r="K959" s="17" t="s">
        <v>24</v>
      </c>
    </row>
    <row r="960" spans="1:11" ht="15.75" customHeight="1" x14ac:dyDescent="0.2">
      <c r="A960" s="15">
        <v>45763</v>
      </c>
      <c r="B960" s="3">
        <f>VLOOKUP(A960,'[1]BADI SID DATA'!A:B,2,0)</f>
        <v>16</v>
      </c>
      <c r="C960" s="4">
        <v>46805.850000008941</v>
      </c>
      <c r="D960" s="4">
        <v>4.87</v>
      </c>
      <c r="E960" s="23">
        <v>100</v>
      </c>
      <c r="F960" s="23">
        <v>100</v>
      </c>
      <c r="G960" s="16">
        <f>VLOOKUP(A960,'[1]DRDO Kolar Data'!$A:$E,5,0)*1000</f>
        <v>10000</v>
      </c>
      <c r="H960" s="24">
        <f t="shared" si="45"/>
        <v>821601.30000001192</v>
      </c>
      <c r="I960" s="25">
        <f t="shared" si="43"/>
        <v>19.502437500003726</v>
      </c>
      <c r="J960" s="25">
        <f t="shared" si="44"/>
        <v>21.395867187500311</v>
      </c>
      <c r="K960" s="17" t="s">
        <v>24</v>
      </c>
    </row>
    <row r="961" spans="1:11" ht="15.75" customHeight="1" x14ac:dyDescent="0.2">
      <c r="A961" s="15">
        <v>45764</v>
      </c>
      <c r="B961" s="3">
        <f>VLOOKUP(A961,'[1]BADI SID DATA'!A:B,2,0)</f>
        <v>17</v>
      </c>
      <c r="C961" s="4">
        <v>51995.449999988079</v>
      </c>
      <c r="D961" s="4">
        <v>5.29</v>
      </c>
      <c r="E961" s="23">
        <v>100</v>
      </c>
      <c r="F961" s="23">
        <v>100</v>
      </c>
      <c r="G961" s="16">
        <f>VLOOKUP(A961,'[1]DRDO Kolar Data'!$A:$E,5,0)*1000</f>
        <v>10400</v>
      </c>
      <c r="H961" s="24">
        <f t="shared" si="45"/>
        <v>873596.75</v>
      </c>
      <c r="I961" s="25">
        <f t="shared" si="43"/>
        <v>21.664770833328369</v>
      </c>
      <c r="J961" s="25">
        <f t="shared" si="44"/>
        <v>21.411685049019606</v>
      </c>
      <c r="K961" s="17" t="s">
        <v>13</v>
      </c>
    </row>
    <row r="962" spans="1:11" ht="15.75" customHeight="1" x14ac:dyDescent="0.2">
      <c r="A962" s="15">
        <v>45765</v>
      </c>
      <c r="B962" s="3">
        <f>VLOOKUP(A962,'[1]BADI SID DATA'!A:B,2,0)</f>
        <v>18</v>
      </c>
      <c r="C962" s="4">
        <v>40299.34999999404</v>
      </c>
      <c r="D962" s="4">
        <v>4.17</v>
      </c>
      <c r="E962" s="23">
        <v>100</v>
      </c>
      <c r="F962" s="23">
        <v>0</v>
      </c>
      <c r="G962" s="16">
        <f>VLOOKUP(A962,'[1]DRDO Kolar Data'!$A:$E,5,0)*1000</f>
        <v>10300</v>
      </c>
      <c r="H962" s="24">
        <f t="shared" si="45"/>
        <v>913896.09999999404</v>
      </c>
      <c r="I962" s="25">
        <f t="shared" si="43"/>
        <v>16.791395833330849</v>
      </c>
      <c r="J962" s="25">
        <f t="shared" si="44"/>
        <v>21.155002314814677</v>
      </c>
      <c r="K962" s="17" t="s">
        <v>13</v>
      </c>
    </row>
    <row r="963" spans="1:11" ht="15.75" customHeight="1" x14ac:dyDescent="0.2">
      <c r="A963" s="15">
        <v>45766</v>
      </c>
      <c r="B963" s="3">
        <f>VLOOKUP(A963,'[1]BADI SID DATA'!A:B,2,0)</f>
        <v>19</v>
      </c>
      <c r="C963" s="4">
        <v>50051.300000011921</v>
      </c>
      <c r="D963" s="4">
        <v>5.13</v>
      </c>
      <c r="E963" s="23">
        <v>100</v>
      </c>
      <c r="F963" s="23">
        <v>100</v>
      </c>
      <c r="G963" s="16">
        <f>VLOOKUP(A963,'[1]DRDO Kolar Data'!$A:$E,5,0)*1000</f>
        <v>10200</v>
      </c>
      <c r="H963" s="24">
        <f t="shared" si="45"/>
        <v>963947.40000000596</v>
      </c>
      <c r="I963" s="25">
        <f t="shared" ref="I963:I1026" si="46">(C963/(10*24*1000))*100</f>
        <v>20.854708333338301</v>
      </c>
      <c r="J963" s="25">
        <f t="shared" ref="J963:J1026" si="47">(H963/(24*B963*10*1000))*100</f>
        <v>21.139197368421183</v>
      </c>
      <c r="K963" s="17" t="s">
        <v>13</v>
      </c>
    </row>
    <row r="964" spans="1:11" ht="15.75" customHeight="1" x14ac:dyDescent="0.2">
      <c r="A964" s="15">
        <v>45767</v>
      </c>
      <c r="B964" s="3">
        <f>VLOOKUP(A964,'[1]BADI SID DATA'!A:B,2,0)</f>
        <v>20</v>
      </c>
      <c r="C964" s="4">
        <v>39649.34999999404</v>
      </c>
      <c r="D964" s="4">
        <v>4.03</v>
      </c>
      <c r="E964" s="23">
        <v>100</v>
      </c>
      <c r="F964" s="23">
        <v>100</v>
      </c>
      <c r="G964" s="16">
        <f>VLOOKUP(A964,'[1]DRDO Kolar Data'!$A:$E,5,0)*1000</f>
        <v>10500</v>
      </c>
      <c r="H964" s="24">
        <f t="shared" si="45"/>
        <v>1003596.75</v>
      </c>
      <c r="I964" s="25">
        <f t="shared" si="46"/>
        <v>16.520562499997517</v>
      </c>
      <c r="J964" s="25">
        <f t="shared" si="47"/>
        <v>20.908265624999999</v>
      </c>
      <c r="K964" s="17" t="s">
        <v>13</v>
      </c>
    </row>
    <row r="965" spans="1:11" ht="15.75" customHeight="1" x14ac:dyDescent="0.2">
      <c r="A965" s="15">
        <v>45768</v>
      </c>
      <c r="B965" s="3">
        <f>VLOOKUP(A965,'[1]BADI SID DATA'!A:B,2,0)</f>
        <v>21</v>
      </c>
      <c r="C965" s="4">
        <v>56549.34999999404</v>
      </c>
      <c r="D965" s="4">
        <v>5.82</v>
      </c>
      <c r="E965" s="23">
        <v>100</v>
      </c>
      <c r="F965" s="23">
        <v>100</v>
      </c>
      <c r="G965" s="16">
        <f>VLOOKUP(A965,'[1]DRDO Kolar Data'!$A:$E,5,0)*1000</f>
        <v>10100</v>
      </c>
      <c r="H965" s="24">
        <f t="shared" ref="H965:H1028" si="48">C965+H964</f>
        <v>1060146.099999994</v>
      </c>
      <c r="I965" s="25">
        <f t="shared" si="46"/>
        <v>23.562229166664185</v>
      </c>
      <c r="J965" s="25">
        <f t="shared" si="47"/>
        <v>21.034644841269724</v>
      </c>
      <c r="K965" s="17" t="s">
        <v>13</v>
      </c>
    </row>
    <row r="966" spans="1:11" ht="15.75" customHeight="1" x14ac:dyDescent="0.2">
      <c r="A966" s="15">
        <v>45769</v>
      </c>
      <c r="B966" s="3">
        <f>VLOOKUP(A966,'[1]BADI SID DATA'!A:B,2,0)</f>
        <v>22</v>
      </c>
      <c r="C966" s="4">
        <v>58501.95000000298</v>
      </c>
      <c r="D966" s="4">
        <v>6.07</v>
      </c>
      <c r="E966" s="23">
        <v>100</v>
      </c>
      <c r="F966" s="23">
        <v>100</v>
      </c>
      <c r="G966" s="16">
        <f>VLOOKUP(A966,'[1]DRDO Kolar Data'!$A:$E,5,0)*1000</f>
        <v>10900</v>
      </c>
      <c r="H966" s="24">
        <f t="shared" si="48"/>
        <v>1118648.049999997</v>
      </c>
      <c r="I966" s="25">
        <f t="shared" si="46"/>
        <v>24.375812500001242</v>
      </c>
      <c r="J966" s="25">
        <f t="shared" si="47"/>
        <v>21.186516098484791</v>
      </c>
      <c r="K966" s="17" t="s">
        <v>13</v>
      </c>
    </row>
    <row r="967" spans="1:11" ht="15.75" customHeight="1" x14ac:dyDescent="0.2">
      <c r="A967" s="15">
        <v>45770</v>
      </c>
      <c r="B967" s="3">
        <f>VLOOKUP(A967,'[1]BADI SID DATA'!A:B,2,0)</f>
        <v>23</v>
      </c>
      <c r="C967" s="4">
        <v>55248.04999999702</v>
      </c>
      <c r="D967" s="4">
        <v>5.73</v>
      </c>
      <c r="E967" s="23">
        <v>100</v>
      </c>
      <c r="F967" s="23">
        <v>100</v>
      </c>
      <c r="G967" s="16">
        <f>VLOOKUP(A967,'[1]DRDO Kolar Data'!$A:$E,5,0)*1000</f>
        <v>10200</v>
      </c>
      <c r="H967" s="24">
        <f t="shared" si="48"/>
        <v>1173896.099999994</v>
      </c>
      <c r="I967" s="25">
        <f t="shared" si="46"/>
        <v>23.02002083333209</v>
      </c>
      <c r="J967" s="25">
        <f t="shared" si="47"/>
        <v>21.266233695652065</v>
      </c>
      <c r="K967" s="17" t="s">
        <v>13</v>
      </c>
    </row>
    <row r="968" spans="1:11" ht="15.75" customHeight="1" x14ac:dyDescent="0.2">
      <c r="A968" s="15">
        <v>45771</v>
      </c>
      <c r="B968" s="3">
        <f>VLOOKUP(A968,'[1]BADI SID DATA'!A:B,2,0)</f>
        <v>24</v>
      </c>
      <c r="C968" s="4">
        <v>57200.65000000596</v>
      </c>
      <c r="D968" s="4">
        <v>5.89</v>
      </c>
      <c r="E968" s="23">
        <v>100</v>
      </c>
      <c r="F968" s="23">
        <v>100</v>
      </c>
      <c r="G968" s="16">
        <f>VLOOKUP(A968,'[1]DRDO Kolar Data'!$A:$E,5,0)*1000</f>
        <v>10000</v>
      </c>
      <c r="H968" s="24">
        <f t="shared" si="48"/>
        <v>1231096.75</v>
      </c>
      <c r="I968" s="25">
        <f t="shared" si="46"/>
        <v>23.833604166669151</v>
      </c>
      <c r="J968" s="25">
        <f t="shared" si="47"/>
        <v>21.373207465277776</v>
      </c>
      <c r="K968" s="17" t="s">
        <v>13</v>
      </c>
    </row>
    <row r="969" spans="1:11" ht="15.75" customHeight="1" x14ac:dyDescent="0.2">
      <c r="A969" s="15">
        <v>45772</v>
      </c>
      <c r="B969" s="3">
        <f>VLOOKUP(A969,'[1]BADI SID DATA'!A:B,2,0)</f>
        <v>25</v>
      </c>
      <c r="C969" s="4">
        <v>55898.70000000298</v>
      </c>
      <c r="D969" s="4">
        <v>5.78</v>
      </c>
      <c r="E969" s="23">
        <v>100</v>
      </c>
      <c r="F969" s="23">
        <v>100</v>
      </c>
      <c r="G969" s="16">
        <f>VLOOKUP(A969,'[1]DRDO Kolar Data'!$A:$E,5,0)*1000</f>
        <v>11000</v>
      </c>
      <c r="H969" s="24">
        <f t="shared" si="48"/>
        <v>1286995.450000003</v>
      </c>
      <c r="I969" s="25">
        <f t="shared" si="46"/>
        <v>23.291125000001241</v>
      </c>
      <c r="J969" s="25">
        <f t="shared" si="47"/>
        <v>21.449924166666719</v>
      </c>
      <c r="K969" s="17" t="s">
        <v>13</v>
      </c>
    </row>
    <row r="970" spans="1:11" ht="15.75" customHeight="1" x14ac:dyDescent="0.2">
      <c r="A970" s="15">
        <v>45773</v>
      </c>
      <c r="B970" s="3">
        <f>VLOOKUP(A970,'[1]BADI SID DATA'!A:B,2,0)</f>
        <v>26</v>
      </c>
      <c r="C970" s="4">
        <v>50701.95000000298</v>
      </c>
      <c r="D970" s="4">
        <v>5.1100000000000003</v>
      </c>
      <c r="E970" s="23">
        <v>100</v>
      </c>
      <c r="F970" s="23">
        <v>100</v>
      </c>
      <c r="G970" s="16">
        <f>VLOOKUP(A970,'[1]DRDO Kolar Data'!$A:$E,5,0)*1000</f>
        <v>11100</v>
      </c>
      <c r="H970" s="24">
        <f t="shared" si="48"/>
        <v>1337697.400000006</v>
      </c>
      <c r="I970" s="25">
        <f t="shared" si="46"/>
        <v>21.125812500001242</v>
      </c>
      <c r="J970" s="25">
        <f t="shared" si="47"/>
        <v>21.437458333333428</v>
      </c>
      <c r="K970" s="17" t="s">
        <v>13</v>
      </c>
    </row>
    <row r="971" spans="1:11" ht="15.75" customHeight="1" x14ac:dyDescent="0.2">
      <c r="A971" s="15">
        <v>45774</v>
      </c>
      <c r="B971" s="3">
        <f>VLOOKUP(A971,'[1]BADI SID DATA'!A:B,2,0)</f>
        <v>27</v>
      </c>
      <c r="C971" s="4">
        <v>47448.699999988079</v>
      </c>
      <c r="D971" s="4">
        <v>4.6500000000000004</v>
      </c>
      <c r="E971" s="23">
        <v>100</v>
      </c>
      <c r="F971" s="23">
        <v>100</v>
      </c>
      <c r="G971" s="16">
        <f>VLOOKUP(A971,'[1]DRDO Kolar Data'!$A:$E,5,0)*1000</f>
        <v>10300</v>
      </c>
      <c r="H971" s="24">
        <f t="shared" si="48"/>
        <v>1385146.099999994</v>
      </c>
      <c r="I971" s="25">
        <f t="shared" si="46"/>
        <v>19.770291666661699</v>
      </c>
      <c r="J971" s="25">
        <f t="shared" si="47"/>
        <v>21.375711419752992</v>
      </c>
      <c r="K971" s="17" t="s">
        <v>24</v>
      </c>
    </row>
    <row r="972" spans="1:11" ht="15.75" customHeight="1" x14ac:dyDescent="0.2">
      <c r="A972" s="15">
        <v>45775</v>
      </c>
      <c r="B972" s="3">
        <f>VLOOKUP(A972,'[1]BADI SID DATA'!A:B,2,0)</f>
        <v>28</v>
      </c>
      <c r="C972" s="4">
        <v>51352.600000008941</v>
      </c>
      <c r="D972" s="4">
        <v>5.13</v>
      </c>
      <c r="E972" s="23">
        <v>100</v>
      </c>
      <c r="F972" s="23">
        <v>100</v>
      </c>
      <c r="G972" s="16">
        <f>VLOOKUP(A972,'[1]DRDO Kolar Data'!$A:$E,5,0)*1000</f>
        <v>10100</v>
      </c>
      <c r="H972" s="24">
        <f t="shared" si="48"/>
        <v>1436498.700000003</v>
      </c>
      <c r="I972" s="25">
        <f t="shared" si="46"/>
        <v>21.396916666670393</v>
      </c>
      <c r="J972" s="25">
        <f t="shared" si="47"/>
        <v>21.376468750000043</v>
      </c>
      <c r="K972" s="17" t="s">
        <v>24</v>
      </c>
    </row>
    <row r="973" spans="1:11" ht="15.75" customHeight="1" x14ac:dyDescent="0.2">
      <c r="A973" s="15">
        <v>45776</v>
      </c>
      <c r="B973" s="3">
        <f>VLOOKUP(A973,'[1]BADI SID DATA'!A:B,2,0)</f>
        <v>29</v>
      </c>
      <c r="C973" s="4">
        <v>52653.90000000596</v>
      </c>
      <c r="D973" s="4">
        <v>5.16</v>
      </c>
      <c r="E973" s="23">
        <v>100</v>
      </c>
      <c r="F973" s="23">
        <v>100</v>
      </c>
      <c r="G973" s="16">
        <f>VLOOKUP(A973,'[1]DRDO Kolar Data'!$A:$E,5,0)*1000</f>
        <v>10400</v>
      </c>
      <c r="H973" s="24">
        <f t="shared" si="48"/>
        <v>1489152.6000000089</v>
      </c>
      <c r="I973" s="25">
        <f t="shared" si="46"/>
        <v>21.939125000002484</v>
      </c>
      <c r="J973" s="25">
        <f t="shared" si="47"/>
        <v>21.3958706896553</v>
      </c>
      <c r="K973" s="17" t="s">
        <v>24</v>
      </c>
    </row>
    <row r="974" spans="1:11" ht="15.75" customHeight="1" x14ac:dyDescent="0.2">
      <c r="A974" s="15">
        <v>45777</v>
      </c>
      <c r="B974" s="3">
        <f>VLOOKUP(A974,'[1]BADI SID DATA'!A:B,2,0)</f>
        <v>30</v>
      </c>
      <c r="C974" s="4">
        <v>51995.449999988079</v>
      </c>
      <c r="D974" s="4">
        <v>5.08</v>
      </c>
      <c r="E974" s="23">
        <v>100</v>
      </c>
      <c r="F974" s="23">
        <v>100</v>
      </c>
      <c r="G974" s="16">
        <f>VLOOKUP(A974,'[1]DRDO Kolar Data'!$A:$E,5,0)*1000</f>
        <v>10200</v>
      </c>
      <c r="H974" s="24">
        <f t="shared" si="48"/>
        <v>1541148.049999997</v>
      </c>
      <c r="I974" s="25">
        <f t="shared" si="46"/>
        <v>21.664770833328369</v>
      </c>
      <c r="J974" s="25">
        <f t="shared" si="47"/>
        <v>21.404834027777735</v>
      </c>
      <c r="K974" s="17" t="s">
        <v>24</v>
      </c>
    </row>
    <row r="975" spans="1:11" ht="15.75" customHeight="1" x14ac:dyDescent="0.2">
      <c r="A975" s="15">
        <v>45778</v>
      </c>
      <c r="B975" s="3">
        <f>VLOOKUP(A975,'[1]BADI SID DATA'!A:B,2,0)</f>
        <v>31</v>
      </c>
      <c r="C975" s="4">
        <v>46800.65000000596</v>
      </c>
      <c r="D975" s="9">
        <v>0</v>
      </c>
      <c r="E975" s="23">
        <v>100</v>
      </c>
      <c r="F975" s="23">
        <v>100</v>
      </c>
      <c r="G975" s="16">
        <f>VLOOKUP(A975,'[1]DRDO Kolar Data'!$A:$E,5,0)*1000</f>
        <v>9200</v>
      </c>
      <c r="H975" s="24">
        <f t="shared" si="48"/>
        <v>1587948.700000003</v>
      </c>
      <c r="I975" s="25">
        <f t="shared" si="46"/>
        <v>19.500270833335819</v>
      </c>
      <c r="J975" s="25">
        <f t="shared" si="47"/>
        <v>21.343396505376383</v>
      </c>
      <c r="K975" s="17" t="s">
        <v>11</v>
      </c>
    </row>
    <row r="976" spans="1:11" ht="15.75" customHeight="1" x14ac:dyDescent="0.2">
      <c r="A976" s="15">
        <v>45779</v>
      </c>
      <c r="B976" s="3">
        <f>VLOOKUP(A976,'[1]BADI SID DATA'!A:B,2,0)</f>
        <v>32</v>
      </c>
      <c r="C976" s="4">
        <v>53950</v>
      </c>
      <c r="D976" s="9">
        <v>0</v>
      </c>
      <c r="E976" s="23">
        <v>100</v>
      </c>
      <c r="F976" s="23">
        <v>100</v>
      </c>
      <c r="G976" s="16">
        <f>VLOOKUP(A976,'[1]DRDO Kolar Data'!$A:$E,5,0)*1000</f>
        <v>9900</v>
      </c>
      <c r="H976" s="24">
        <f t="shared" si="48"/>
        <v>1641898.700000003</v>
      </c>
      <c r="I976" s="25">
        <f t="shared" si="46"/>
        <v>22.479166666666668</v>
      </c>
      <c r="J976" s="25">
        <f t="shared" si="47"/>
        <v>21.378889322916706</v>
      </c>
      <c r="K976" s="17" t="s">
        <v>10</v>
      </c>
    </row>
    <row r="977" spans="1:11" ht="15.75" customHeight="1" x14ac:dyDescent="0.2">
      <c r="A977" s="15">
        <v>45780</v>
      </c>
      <c r="B977" s="3">
        <f>VLOOKUP(A977,'[1]BADI SID DATA'!A:B,2,0)</f>
        <v>33</v>
      </c>
      <c r="C977" s="4">
        <v>54600</v>
      </c>
      <c r="D977" s="9">
        <v>0</v>
      </c>
      <c r="E977" s="23">
        <v>100</v>
      </c>
      <c r="F977" s="23">
        <v>100</v>
      </c>
      <c r="G977" s="16">
        <f>VLOOKUP(A977,'[1]DRDO Kolar Data'!$A:$E,5,0)*1000</f>
        <v>10000</v>
      </c>
      <c r="H977" s="24">
        <f t="shared" si="48"/>
        <v>1696498.700000003</v>
      </c>
      <c r="I977" s="25">
        <f t="shared" si="46"/>
        <v>22.75</v>
      </c>
      <c r="J977" s="25">
        <f t="shared" si="47"/>
        <v>21.420438131313169</v>
      </c>
      <c r="K977" s="17" t="s">
        <v>13</v>
      </c>
    </row>
    <row r="978" spans="1:11" ht="15.75" customHeight="1" x14ac:dyDescent="0.2">
      <c r="A978" s="15">
        <v>45781</v>
      </c>
      <c r="B978" s="3">
        <f>VLOOKUP(A978,'[1]BADI SID DATA'!A:B,2,0)</f>
        <v>34</v>
      </c>
      <c r="C978" s="4">
        <v>59800</v>
      </c>
      <c r="D978" s="9">
        <v>0</v>
      </c>
      <c r="E978" s="23">
        <v>100</v>
      </c>
      <c r="F978" s="23">
        <v>100</v>
      </c>
      <c r="G978" s="16">
        <f>VLOOKUP(A978,'[1]DRDO Kolar Data'!$A:$E,5,0)*1000</f>
        <v>10600</v>
      </c>
      <c r="H978" s="24">
        <f t="shared" si="48"/>
        <v>1756298.700000003</v>
      </c>
      <c r="I978" s="25">
        <f t="shared" si="46"/>
        <v>24.916666666666668</v>
      </c>
      <c r="J978" s="25">
        <f t="shared" si="47"/>
        <v>21.523268382352978</v>
      </c>
      <c r="K978" s="17" t="s">
        <v>13</v>
      </c>
    </row>
    <row r="979" spans="1:11" ht="15.75" customHeight="1" x14ac:dyDescent="0.2">
      <c r="A979" s="15">
        <v>45782</v>
      </c>
      <c r="B979" s="3">
        <f>VLOOKUP(A979,'[1]BADI SID DATA'!A:B,2,0)</f>
        <v>35</v>
      </c>
      <c r="C979" s="4">
        <v>52650</v>
      </c>
      <c r="D979" s="9">
        <v>0</v>
      </c>
      <c r="E979" s="23">
        <v>100</v>
      </c>
      <c r="F979" s="23">
        <v>100</v>
      </c>
      <c r="G979" s="16">
        <f>VLOOKUP(A979,'[1]DRDO Kolar Data'!$A:$E,5,0)*1000</f>
        <v>9500</v>
      </c>
      <c r="H979" s="24">
        <f t="shared" si="48"/>
        <v>1808948.700000003</v>
      </c>
      <c r="I979" s="25">
        <f t="shared" si="46"/>
        <v>21.9375</v>
      </c>
      <c r="J979" s="25">
        <f t="shared" si="47"/>
        <v>21.535103571428607</v>
      </c>
      <c r="K979" s="17" t="s">
        <v>13</v>
      </c>
    </row>
    <row r="980" spans="1:11" ht="15.75" customHeight="1" x14ac:dyDescent="0.2">
      <c r="A980" s="15">
        <v>45783</v>
      </c>
      <c r="B980" s="3">
        <f>VLOOKUP(A980,'[1]BADI SID DATA'!A:B,2,0)</f>
        <v>36</v>
      </c>
      <c r="C980" s="4">
        <v>57200</v>
      </c>
      <c r="D980" s="9">
        <v>0</v>
      </c>
      <c r="E980" s="23">
        <v>100</v>
      </c>
      <c r="F980" s="23">
        <v>100</v>
      </c>
      <c r="G980" s="16">
        <f>VLOOKUP(A980,'[1]DRDO Kolar Data'!$A:$E,5,0)*1000</f>
        <v>9800</v>
      </c>
      <c r="H980" s="24">
        <f t="shared" si="48"/>
        <v>1866148.700000003</v>
      </c>
      <c r="I980" s="25">
        <f t="shared" si="46"/>
        <v>23.833333333333336</v>
      </c>
      <c r="J980" s="25">
        <f t="shared" si="47"/>
        <v>21.598943287037073</v>
      </c>
      <c r="K980" s="17" t="s">
        <v>13</v>
      </c>
    </row>
    <row r="981" spans="1:11" ht="15.75" customHeight="1" x14ac:dyDescent="0.2">
      <c r="A981" s="15">
        <v>45784</v>
      </c>
      <c r="B981" s="3">
        <f>VLOOKUP(A981,'[1]BADI SID DATA'!A:B,2,0)</f>
        <v>37</v>
      </c>
      <c r="C981" s="4">
        <v>57850</v>
      </c>
      <c r="D981" s="9">
        <v>0</v>
      </c>
      <c r="E981" s="23">
        <v>100</v>
      </c>
      <c r="F981" s="23">
        <v>100</v>
      </c>
      <c r="G981" s="16">
        <f>VLOOKUP(A981,'[1]DRDO Kolar Data'!$A:$E,5,0)*1000</f>
        <v>10100</v>
      </c>
      <c r="H981" s="24">
        <f t="shared" si="48"/>
        <v>1923998.700000003</v>
      </c>
      <c r="I981" s="25">
        <f t="shared" si="46"/>
        <v>24.104166666666664</v>
      </c>
      <c r="J981" s="25">
        <f t="shared" si="47"/>
        <v>21.666652027027062</v>
      </c>
      <c r="K981" s="17" t="s">
        <v>13</v>
      </c>
    </row>
    <row r="982" spans="1:11" ht="15.75" customHeight="1" x14ac:dyDescent="0.2">
      <c r="A982" s="15">
        <v>45785</v>
      </c>
      <c r="B982" s="3">
        <f>VLOOKUP(A982,'[1]BADI SID DATA'!A:B,2,0)</f>
        <v>38</v>
      </c>
      <c r="C982" s="4">
        <v>46150</v>
      </c>
      <c r="D982" s="9">
        <v>0</v>
      </c>
      <c r="E982" s="23">
        <v>100</v>
      </c>
      <c r="F982" s="23">
        <v>100</v>
      </c>
      <c r="G982" s="16">
        <f>VLOOKUP(A982,'[1]DRDO Kolar Data'!$A:$E,5,0)*1000</f>
        <v>10000</v>
      </c>
      <c r="H982" s="24">
        <f t="shared" si="48"/>
        <v>1970148.700000003</v>
      </c>
      <c r="I982" s="25">
        <f t="shared" si="46"/>
        <v>19.229166666666668</v>
      </c>
      <c r="J982" s="25">
        <f t="shared" si="47"/>
        <v>21.602507675438627</v>
      </c>
      <c r="K982" s="17" t="s">
        <v>10</v>
      </c>
    </row>
    <row r="983" spans="1:11" ht="15.75" customHeight="1" x14ac:dyDescent="0.2">
      <c r="A983" s="15">
        <v>45786</v>
      </c>
      <c r="B983" s="3">
        <f>VLOOKUP(A983,'[1]BADI SID DATA'!A:B,2,0)</f>
        <v>39</v>
      </c>
      <c r="C983" s="4">
        <v>37700</v>
      </c>
      <c r="D983" s="9">
        <v>0</v>
      </c>
      <c r="E983" s="23">
        <v>100</v>
      </c>
      <c r="F983" s="23">
        <v>100</v>
      </c>
      <c r="G983" s="16">
        <f>VLOOKUP(A983,'[1]DRDO Kolar Data'!$A:$E,5,0)*1000</f>
        <v>10600</v>
      </c>
      <c r="H983" s="24">
        <f t="shared" si="48"/>
        <v>2007848.700000003</v>
      </c>
      <c r="I983" s="25">
        <f t="shared" si="46"/>
        <v>15.708333333333332</v>
      </c>
      <c r="J983" s="25">
        <f t="shared" si="47"/>
        <v>21.451375000000031</v>
      </c>
      <c r="K983" s="17" t="s">
        <v>13</v>
      </c>
    </row>
    <row r="984" spans="1:11" ht="15.75" customHeight="1" x14ac:dyDescent="0.2">
      <c r="A984" s="15">
        <v>45787</v>
      </c>
      <c r="B984" s="3">
        <f>VLOOKUP(A984,'[1]BADI SID DATA'!A:B,2,0)</f>
        <v>40</v>
      </c>
      <c r="C984" s="4">
        <v>52000</v>
      </c>
      <c r="D984" s="9">
        <v>0</v>
      </c>
      <c r="E984" s="23">
        <v>100</v>
      </c>
      <c r="F984" s="23">
        <v>100</v>
      </c>
      <c r="G984" s="16">
        <f>VLOOKUP(A984,'[1]DRDO Kolar Data'!$A:$E,5,0)*1000</f>
        <v>10300</v>
      </c>
      <c r="H984" s="24">
        <f t="shared" si="48"/>
        <v>2059848.700000003</v>
      </c>
      <c r="I984" s="25">
        <f t="shared" si="46"/>
        <v>21.666666666666668</v>
      </c>
      <c r="J984" s="25">
        <f t="shared" si="47"/>
        <v>21.456757291666698</v>
      </c>
      <c r="K984" s="17" t="s">
        <v>13</v>
      </c>
    </row>
    <row r="985" spans="1:11" ht="15.75" customHeight="1" x14ac:dyDescent="0.2">
      <c r="A985" s="15">
        <v>45788</v>
      </c>
      <c r="B985" s="3">
        <f>VLOOKUP(A985,'[1]BADI SID DATA'!A:B,2,0)</f>
        <v>41</v>
      </c>
      <c r="C985" s="4">
        <v>57200</v>
      </c>
      <c r="D985" s="9">
        <v>0</v>
      </c>
      <c r="E985" s="23">
        <v>100</v>
      </c>
      <c r="F985" s="23">
        <v>100</v>
      </c>
      <c r="G985" s="16">
        <f>VLOOKUP(A985,'[1]DRDO Kolar Data'!$A:$E,5,0)*1000</f>
        <v>10100</v>
      </c>
      <c r="H985" s="24">
        <f t="shared" si="48"/>
        <v>2117048.700000003</v>
      </c>
      <c r="I985" s="25">
        <f t="shared" si="46"/>
        <v>23.833333333333336</v>
      </c>
      <c r="J985" s="25">
        <f t="shared" si="47"/>
        <v>21.514722560975642</v>
      </c>
      <c r="K985" s="17" t="s">
        <v>13</v>
      </c>
    </row>
    <row r="986" spans="1:11" ht="15.75" customHeight="1" x14ac:dyDescent="0.2">
      <c r="A986" s="15">
        <v>45789</v>
      </c>
      <c r="B986" s="3">
        <f>VLOOKUP(A986,'[1]BADI SID DATA'!A:B,2,0)</f>
        <v>42</v>
      </c>
      <c r="C986" s="4">
        <v>60450</v>
      </c>
      <c r="D986" s="9">
        <v>0</v>
      </c>
      <c r="E986" s="23">
        <v>100</v>
      </c>
      <c r="F986" s="23">
        <v>100</v>
      </c>
      <c r="G986" s="16">
        <f>VLOOKUP(A986,'[1]DRDO Kolar Data'!$A:$E,5,0)*1000</f>
        <v>10700</v>
      </c>
      <c r="H986" s="24">
        <f t="shared" si="48"/>
        <v>2177498.700000003</v>
      </c>
      <c r="I986" s="25">
        <f t="shared" si="46"/>
        <v>25.1875</v>
      </c>
      <c r="J986" s="25">
        <f t="shared" si="47"/>
        <v>21.60216964285717</v>
      </c>
      <c r="K986" s="17" t="s">
        <v>13</v>
      </c>
    </row>
    <row r="987" spans="1:11" ht="15.75" customHeight="1" x14ac:dyDescent="0.2">
      <c r="A987" s="15">
        <v>45790</v>
      </c>
      <c r="B987" s="3">
        <f>VLOOKUP(A987,'[1]BADI SID DATA'!A:B,2,0)</f>
        <v>43</v>
      </c>
      <c r="C987" s="4">
        <v>59150</v>
      </c>
      <c r="D987" s="9">
        <v>0</v>
      </c>
      <c r="E987" s="23">
        <v>100</v>
      </c>
      <c r="F987" s="23">
        <v>100</v>
      </c>
      <c r="G987" s="16">
        <f>VLOOKUP(A987,'[1]DRDO Kolar Data'!$A:$E,5,0)*1000</f>
        <v>10500</v>
      </c>
      <c r="H987" s="24">
        <f t="shared" si="48"/>
        <v>2236648.700000003</v>
      </c>
      <c r="I987" s="25">
        <f t="shared" si="46"/>
        <v>24.645833333333332</v>
      </c>
      <c r="J987" s="25">
        <f t="shared" si="47"/>
        <v>21.672952519379873</v>
      </c>
      <c r="K987" s="17" t="s">
        <v>10</v>
      </c>
    </row>
    <row r="988" spans="1:11" ht="15.75" customHeight="1" x14ac:dyDescent="0.2">
      <c r="A988" s="15">
        <v>45791</v>
      </c>
      <c r="B988" s="3">
        <f>VLOOKUP(A988,'[1]BADI SID DATA'!A:B,2,0)</f>
        <v>44</v>
      </c>
      <c r="C988" s="4">
        <v>61750</v>
      </c>
      <c r="D988" s="9">
        <v>0</v>
      </c>
      <c r="E988" s="23">
        <v>100</v>
      </c>
      <c r="F988" s="23">
        <v>100</v>
      </c>
      <c r="G988" s="16">
        <f>VLOOKUP(A988,'[1]DRDO Kolar Data'!$A:$E,5,0)*1000</f>
        <v>10700</v>
      </c>
      <c r="H988" s="24">
        <f t="shared" si="48"/>
        <v>2298398.700000003</v>
      </c>
      <c r="I988" s="25">
        <f t="shared" si="46"/>
        <v>25.729166666666664</v>
      </c>
      <c r="J988" s="25">
        <f t="shared" si="47"/>
        <v>21.765139204545484</v>
      </c>
      <c r="K988" s="17" t="s">
        <v>13</v>
      </c>
    </row>
    <row r="989" spans="1:11" ht="15.75" customHeight="1" x14ac:dyDescent="0.2">
      <c r="A989" s="15">
        <v>45792</v>
      </c>
      <c r="B989" s="3">
        <f>VLOOKUP(A989,'[1]BADI SID DATA'!A:B,2,0)</f>
        <v>45</v>
      </c>
      <c r="C989" s="4">
        <v>64350</v>
      </c>
      <c r="D989" s="9">
        <v>0</v>
      </c>
      <c r="E989" s="23">
        <v>100</v>
      </c>
      <c r="F989" s="23">
        <v>100</v>
      </c>
      <c r="G989" s="16">
        <f>VLOOKUP(A989,'[1]DRDO Kolar Data'!$A:$E,5,0)*1000</f>
        <v>10200</v>
      </c>
      <c r="H989" s="24">
        <f t="shared" si="48"/>
        <v>2362748.700000003</v>
      </c>
      <c r="I989" s="25">
        <f t="shared" si="46"/>
        <v>26.8125</v>
      </c>
      <c r="J989" s="25">
        <f t="shared" si="47"/>
        <v>21.877302777777803</v>
      </c>
      <c r="K989" s="17" t="s">
        <v>13</v>
      </c>
    </row>
    <row r="990" spans="1:11" ht="15.75" customHeight="1" x14ac:dyDescent="0.2">
      <c r="A990" s="15">
        <v>45793</v>
      </c>
      <c r="B990" s="3">
        <f>VLOOKUP(A990,'[1]BADI SID DATA'!A:B,2,0)</f>
        <v>46</v>
      </c>
      <c r="C990" s="4">
        <v>61100</v>
      </c>
      <c r="D990" s="9">
        <v>0</v>
      </c>
      <c r="E990" s="23">
        <v>100</v>
      </c>
      <c r="F990" s="23">
        <v>100</v>
      </c>
      <c r="G990" s="16">
        <f>VLOOKUP(A990,'[1]DRDO Kolar Data'!$A:$E,5,0)*1000</f>
        <v>10200</v>
      </c>
      <c r="H990" s="24">
        <f t="shared" si="48"/>
        <v>2423848.700000003</v>
      </c>
      <c r="I990" s="25">
        <f t="shared" si="46"/>
        <v>25.458333333333332</v>
      </c>
      <c r="J990" s="25">
        <f t="shared" si="47"/>
        <v>21.955151268115969</v>
      </c>
      <c r="K990" s="17" t="s">
        <v>13</v>
      </c>
    </row>
    <row r="991" spans="1:11" ht="15.75" customHeight="1" x14ac:dyDescent="0.2">
      <c r="A991" s="15">
        <v>45794</v>
      </c>
      <c r="B991" s="3">
        <f>VLOOKUP(A991,'[1]BADI SID DATA'!A:B,2,0)</f>
        <v>47</v>
      </c>
      <c r="C991" s="4">
        <v>44200</v>
      </c>
      <c r="D991" s="9">
        <v>0</v>
      </c>
      <c r="E991" s="23">
        <v>100</v>
      </c>
      <c r="F991" s="23">
        <v>100</v>
      </c>
      <c r="G991" s="16">
        <f>VLOOKUP(A991,'[1]DRDO Kolar Data'!$A:$E,5,0)*1000</f>
        <v>9200</v>
      </c>
      <c r="H991" s="24">
        <f t="shared" si="48"/>
        <v>2468048.700000003</v>
      </c>
      <c r="I991" s="25">
        <f t="shared" si="46"/>
        <v>18.416666666666668</v>
      </c>
      <c r="J991" s="25">
        <f t="shared" si="47"/>
        <v>21.879864361702154</v>
      </c>
      <c r="K991" s="17" t="s">
        <v>10</v>
      </c>
    </row>
    <row r="992" spans="1:11" ht="15.75" customHeight="1" x14ac:dyDescent="0.2">
      <c r="A992" s="15">
        <v>45795</v>
      </c>
      <c r="B992" s="3">
        <f>VLOOKUP(A992,'[1]BADI SID DATA'!A:B,2,0)</f>
        <v>48</v>
      </c>
      <c r="C992" s="4">
        <v>42250</v>
      </c>
      <c r="D992" s="9">
        <v>0</v>
      </c>
      <c r="E992" s="23">
        <v>100</v>
      </c>
      <c r="F992" s="23">
        <v>100</v>
      </c>
      <c r="G992" s="16">
        <f>VLOOKUP(A992,'[1]DRDO Kolar Data'!$A:$E,5,0)*1000</f>
        <v>10000</v>
      </c>
      <c r="H992" s="24">
        <f t="shared" si="48"/>
        <v>2510298.700000003</v>
      </c>
      <c r="I992" s="25">
        <f t="shared" si="46"/>
        <v>17.604166666666668</v>
      </c>
      <c r="J992" s="25">
        <f t="shared" si="47"/>
        <v>21.790787326388912</v>
      </c>
      <c r="K992" s="17" t="s">
        <v>13</v>
      </c>
    </row>
    <row r="993" spans="1:11" ht="15.75" customHeight="1" x14ac:dyDescent="0.2">
      <c r="A993" s="15">
        <v>45796</v>
      </c>
      <c r="B993" s="3">
        <f>VLOOKUP(A993,'[1]BADI SID DATA'!A:B,2,0)</f>
        <v>49</v>
      </c>
      <c r="C993" s="4">
        <v>40950</v>
      </c>
      <c r="D993" s="9">
        <v>0</v>
      </c>
      <c r="E993" s="23">
        <v>100</v>
      </c>
      <c r="F993" s="23">
        <v>100</v>
      </c>
      <c r="G993" s="16">
        <f>VLOOKUP(A993,'[1]DRDO Kolar Data'!$A:$E,5,0)*1000</f>
        <v>10500</v>
      </c>
      <c r="H993" s="24">
        <f t="shared" si="48"/>
        <v>2551248.700000003</v>
      </c>
      <c r="I993" s="25">
        <f t="shared" si="46"/>
        <v>17.0625</v>
      </c>
      <c r="J993" s="25">
        <f t="shared" si="47"/>
        <v>21.694291666666693</v>
      </c>
      <c r="K993" s="17" t="s">
        <v>13</v>
      </c>
    </row>
    <row r="994" spans="1:11" ht="15.75" customHeight="1" x14ac:dyDescent="0.2">
      <c r="A994" s="15">
        <v>45797</v>
      </c>
      <c r="B994" s="3">
        <f>VLOOKUP(A994,'[1]BADI SID DATA'!A:B,2,0)</f>
        <v>50</v>
      </c>
      <c r="C994" s="4">
        <v>32500</v>
      </c>
      <c r="D994" s="9">
        <v>0</v>
      </c>
      <c r="E994" s="23">
        <v>100</v>
      </c>
      <c r="F994" s="23">
        <v>100</v>
      </c>
      <c r="G994" s="16">
        <f>VLOOKUP(A994,'[1]DRDO Kolar Data'!$A:$E,5,0)*1000</f>
        <v>9100</v>
      </c>
      <c r="H994" s="24">
        <f t="shared" si="48"/>
        <v>2583748.700000003</v>
      </c>
      <c r="I994" s="25">
        <f t="shared" si="46"/>
        <v>13.541666666666666</v>
      </c>
      <c r="J994" s="25">
        <f t="shared" si="47"/>
        <v>21.53123916666669</v>
      </c>
      <c r="K994" s="17" t="s">
        <v>36</v>
      </c>
    </row>
    <row r="995" spans="1:11" ht="15.75" customHeight="1" x14ac:dyDescent="0.2">
      <c r="A995" s="15">
        <v>45798</v>
      </c>
      <c r="B995" s="3">
        <f>VLOOKUP(A995,'[1]BADI SID DATA'!A:B,2,0)</f>
        <v>51</v>
      </c>
      <c r="C995" s="4">
        <v>37700</v>
      </c>
      <c r="D995" s="9">
        <v>0</v>
      </c>
      <c r="E995" s="23">
        <v>100</v>
      </c>
      <c r="F995" s="23">
        <v>100</v>
      </c>
      <c r="G995" s="16">
        <f>VLOOKUP(A995,'[1]DRDO Kolar Data'!$A:$E,5,0)*1000</f>
        <v>10200</v>
      </c>
      <c r="H995" s="24">
        <f t="shared" si="48"/>
        <v>2621448.700000003</v>
      </c>
      <c r="I995" s="25">
        <f t="shared" si="46"/>
        <v>15.708333333333332</v>
      </c>
      <c r="J995" s="25">
        <f t="shared" si="47"/>
        <v>21.417064542483686</v>
      </c>
      <c r="K995" s="17" t="s">
        <v>13</v>
      </c>
    </row>
    <row r="996" spans="1:11" ht="15.75" customHeight="1" x14ac:dyDescent="0.2">
      <c r="A996" s="15">
        <v>45799</v>
      </c>
      <c r="B996" s="3">
        <f>VLOOKUP(A996,'[1]BADI SID DATA'!A:B,2,0)</f>
        <v>52</v>
      </c>
      <c r="C996" s="4">
        <v>50050</v>
      </c>
      <c r="D996" s="9">
        <v>0</v>
      </c>
      <c r="E996" s="23">
        <v>100</v>
      </c>
      <c r="F996" s="23">
        <v>100</v>
      </c>
      <c r="G996" s="16">
        <f>VLOOKUP(A996,'[1]DRDO Kolar Data'!$A:$E,5,0)*1000</f>
        <v>10500</v>
      </c>
      <c r="H996" s="24">
        <f t="shared" si="48"/>
        <v>2671498.700000003</v>
      </c>
      <c r="I996" s="25">
        <f t="shared" si="46"/>
        <v>20.854166666666664</v>
      </c>
      <c r="J996" s="25">
        <f t="shared" si="47"/>
        <v>21.40623958333336</v>
      </c>
      <c r="K996" s="17" t="s">
        <v>13</v>
      </c>
    </row>
    <row r="997" spans="1:11" ht="15.75" customHeight="1" x14ac:dyDescent="0.2">
      <c r="A997" s="15">
        <v>45800</v>
      </c>
      <c r="B997" s="3">
        <f>VLOOKUP(A997,'[1]BADI SID DATA'!A:B,2,0)</f>
        <v>53</v>
      </c>
      <c r="C997" s="4">
        <v>50700</v>
      </c>
      <c r="D997" s="9">
        <v>0</v>
      </c>
      <c r="E997" s="23">
        <v>100</v>
      </c>
      <c r="F997" s="23">
        <v>100</v>
      </c>
      <c r="G997" s="16">
        <f>VLOOKUP(A997,'[1]DRDO Kolar Data'!$A:$E,5,0)*1000</f>
        <v>8900</v>
      </c>
      <c r="H997" s="24">
        <f t="shared" si="48"/>
        <v>2722198.700000003</v>
      </c>
      <c r="I997" s="25">
        <f t="shared" si="46"/>
        <v>21.125</v>
      </c>
      <c r="J997" s="25">
        <f t="shared" si="47"/>
        <v>21.400933176100654</v>
      </c>
      <c r="K997" s="17" t="s">
        <v>36</v>
      </c>
    </row>
    <row r="998" spans="1:11" ht="15.75" customHeight="1" x14ac:dyDescent="0.2">
      <c r="A998" s="15">
        <v>45801</v>
      </c>
      <c r="B998" s="3">
        <f>VLOOKUP(A998,'[1]BADI SID DATA'!A:B,2,0)</f>
        <v>54</v>
      </c>
      <c r="C998" s="4">
        <v>27950</v>
      </c>
      <c r="D998" s="9">
        <v>0</v>
      </c>
      <c r="E998" s="23">
        <v>100</v>
      </c>
      <c r="F998" s="23">
        <v>100</v>
      </c>
      <c r="G998" s="16">
        <f>VLOOKUP(A998,'[1]DRDO Kolar Data'!$A:$E,5,0)*1000</f>
        <v>9200</v>
      </c>
      <c r="H998" s="24">
        <f t="shared" si="48"/>
        <v>2750148.700000003</v>
      </c>
      <c r="I998" s="25">
        <f t="shared" si="46"/>
        <v>11.645833333333332</v>
      </c>
      <c r="J998" s="25">
        <f t="shared" si="47"/>
        <v>21.22028317901237</v>
      </c>
      <c r="K998" s="17" t="s">
        <v>13</v>
      </c>
    </row>
    <row r="999" spans="1:11" ht="15.75" customHeight="1" x14ac:dyDescent="0.2">
      <c r="A999" s="15">
        <v>45802</v>
      </c>
      <c r="B999" s="3">
        <f>VLOOKUP(A999,'[1]BADI SID DATA'!A:B,2,0)</f>
        <v>55</v>
      </c>
      <c r="C999" s="4">
        <v>40300</v>
      </c>
      <c r="D999" s="9">
        <v>0</v>
      </c>
      <c r="E999" s="23">
        <v>100</v>
      </c>
      <c r="F999" s="23">
        <v>100</v>
      </c>
      <c r="G999" s="16">
        <f>VLOOKUP(A999,'[1]DRDO Kolar Data'!$A:$E,5,0)*1000</f>
        <v>8600</v>
      </c>
      <c r="H999" s="24">
        <f t="shared" si="48"/>
        <v>2790448.700000003</v>
      </c>
      <c r="I999" s="25">
        <f t="shared" si="46"/>
        <v>16.791666666666664</v>
      </c>
      <c r="J999" s="25">
        <f t="shared" si="47"/>
        <v>21.139762878787902</v>
      </c>
      <c r="K999" s="17" t="s">
        <v>11</v>
      </c>
    </row>
    <row r="1000" spans="1:11" ht="15.75" customHeight="1" x14ac:dyDescent="0.2">
      <c r="A1000" s="15">
        <v>45803</v>
      </c>
      <c r="B1000" s="3">
        <f>VLOOKUP(A1000,'[1]BADI SID DATA'!A:B,2,0)</f>
        <v>56</v>
      </c>
      <c r="C1000" s="4">
        <v>37700</v>
      </c>
      <c r="D1000" s="9">
        <v>0</v>
      </c>
      <c r="E1000" s="23">
        <v>100</v>
      </c>
      <c r="F1000" s="23">
        <v>100</v>
      </c>
      <c r="G1000" s="16">
        <f>VLOOKUP(A1000,'[1]DRDO Kolar Data'!$A:$E,5,0)*1000</f>
        <v>8200</v>
      </c>
      <c r="H1000" s="24">
        <f t="shared" si="48"/>
        <v>2828148.700000003</v>
      </c>
      <c r="I1000" s="25">
        <f t="shared" si="46"/>
        <v>15.708333333333332</v>
      </c>
      <c r="J1000" s="25">
        <f t="shared" si="47"/>
        <v>21.042773065476212</v>
      </c>
      <c r="K1000" s="17" t="s">
        <v>36</v>
      </c>
    </row>
    <row r="1001" spans="1:11" ht="15.75" customHeight="1" x14ac:dyDescent="0.2">
      <c r="A1001" s="15">
        <v>45804</v>
      </c>
      <c r="B1001" s="3">
        <f>VLOOKUP(A1001,'[1]BADI SID DATA'!A:B,2,0)</f>
        <v>57</v>
      </c>
      <c r="C1001" s="4">
        <v>35750</v>
      </c>
      <c r="D1001" s="9">
        <v>0</v>
      </c>
      <c r="E1001" s="23">
        <v>100</v>
      </c>
      <c r="F1001" s="23">
        <v>100</v>
      </c>
      <c r="G1001" s="16">
        <f>VLOOKUP(A1001,'[1]DRDO Kolar Data'!$A:$E,5,0)*1000</f>
        <v>7200</v>
      </c>
      <c r="H1001" s="24">
        <f t="shared" si="48"/>
        <v>2863898.700000003</v>
      </c>
      <c r="I1001" s="25">
        <f t="shared" si="46"/>
        <v>14.895833333333334</v>
      </c>
      <c r="J1001" s="25">
        <f t="shared" si="47"/>
        <v>20.934932017543879</v>
      </c>
      <c r="K1001" s="17" t="s">
        <v>13</v>
      </c>
    </row>
    <row r="1002" spans="1:11" ht="15.75" customHeight="1" x14ac:dyDescent="0.2">
      <c r="A1002" s="15">
        <v>45805</v>
      </c>
      <c r="B1002" s="3">
        <f>VLOOKUP(A1002,'[1]BADI SID DATA'!A:B,2,0)</f>
        <v>58</v>
      </c>
      <c r="C1002" s="4">
        <v>44200</v>
      </c>
      <c r="D1002" s="9">
        <v>0</v>
      </c>
      <c r="E1002" s="23">
        <v>100</v>
      </c>
      <c r="F1002" s="23">
        <v>100</v>
      </c>
      <c r="G1002" s="16">
        <f>VLOOKUP(A1002,'[1]DRDO Kolar Data'!$A:$E,5,0)*1000</f>
        <v>8600</v>
      </c>
      <c r="H1002" s="24">
        <f t="shared" si="48"/>
        <v>2908098.700000003</v>
      </c>
      <c r="I1002" s="25">
        <f t="shared" si="46"/>
        <v>18.416666666666668</v>
      </c>
      <c r="J1002" s="25">
        <f t="shared" si="47"/>
        <v>20.89151364942531</v>
      </c>
      <c r="K1002" s="17" t="s">
        <v>11</v>
      </c>
    </row>
    <row r="1003" spans="1:11" ht="15.75" customHeight="1" x14ac:dyDescent="0.2">
      <c r="A1003" s="15">
        <v>45806</v>
      </c>
      <c r="B1003" s="3">
        <f>VLOOKUP(A1003,'[1]BADI SID DATA'!A:B,2,0)</f>
        <v>59</v>
      </c>
      <c r="C1003" s="4">
        <v>36400</v>
      </c>
      <c r="D1003" s="9">
        <v>0</v>
      </c>
      <c r="E1003" s="23">
        <v>100</v>
      </c>
      <c r="F1003" s="23">
        <v>100</v>
      </c>
      <c r="G1003" s="16">
        <f>VLOOKUP(A1003,'[1]DRDO Kolar Data'!$A:$E,5,0)*1000</f>
        <v>8900</v>
      </c>
      <c r="H1003" s="24">
        <f t="shared" si="48"/>
        <v>2944498.700000003</v>
      </c>
      <c r="I1003" s="25">
        <f t="shared" si="46"/>
        <v>15.166666666666668</v>
      </c>
      <c r="J1003" s="25">
        <f t="shared" si="47"/>
        <v>20.79448234463279</v>
      </c>
      <c r="K1003" s="17" t="s">
        <v>11</v>
      </c>
    </row>
    <row r="1004" spans="1:11" ht="15.75" customHeight="1" x14ac:dyDescent="0.2">
      <c r="A1004" s="15">
        <v>45807</v>
      </c>
      <c r="B1004" s="3">
        <f>VLOOKUP(A1004,'[1]BADI SID DATA'!A:B,2,0)</f>
        <v>60</v>
      </c>
      <c r="C1004" s="4">
        <v>29250</v>
      </c>
      <c r="D1004" s="9">
        <v>0</v>
      </c>
      <c r="E1004" s="23">
        <v>100</v>
      </c>
      <c r="F1004" s="23">
        <v>100</v>
      </c>
      <c r="G1004" s="16">
        <f>VLOOKUP(A1004,'[1]DRDO Kolar Data'!$A:$E,5,0)*1000</f>
        <v>9900</v>
      </c>
      <c r="H1004" s="24">
        <f t="shared" si="48"/>
        <v>2973748.700000003</v>
      </c>
      <c r="I1004" s="25">
        <f t="shared" si="46"/>
        <v>12.1875</v>
      </c>
      <c r="J1004" s="25">
        <f t="shared" si="47"/>
        <v>20.65103263888891</v>
      </c>
      <c r="K1004" s="17" t="s">
        <v>11</v>
      </c>
    </row>
    <row r="1005" spans="1:11" ht="15.75" customHeight="1" x14ac:dyDescent="0.2">
      <c r="A1005" s="15">
        <v>45808</v>
      </c>
      <c r="B1005" s="3">
        <f>VLOOKUP(A1005,'[1]BADI SID DATA'!A:B,2,0)</f>
        <v>61</v>
      </c>
      <c r="C1005" s="4">
        <v>59150</v>
      </c>
      <c r="D1005" s="9">
        <v>0</v>
      </c>
      <c r="E1005" s="23">
        <v>100</v>
      </c>
      <c r="F1005" s="23">
        <v>100</v>
      </c>
      <c r="G1005" s="16">
        <f>VLOOKUP(A1005,'[1]DRDO Kolar Data'!$A:$E,5,0)*1000</f>
        <v>10600</v>
      </c>
      <c r="H1005" s="24">
        <f t="shared" si="48"/>
        <v>3032898.700000003</v>
      </c>
      <c r="I1005" s="25">
        <f t="shared" si="46"/>
        <v>24.645833333333332</v>
      </c>
      <c r="J1005" s="25">
        <f t="shared" si="47"/>
        <v>20.716521174863409</v>
      </c>
      <c r="K1005" s="17" t="s">
        <v>13</v>
      </c>
    </row>
    <row r="1006" spans="1:11" ht="15.75" customHeight="1" x14ac:dyDescent="0.2">
      <c r="A1006" s="15">
        <v>45809</v>
      </c>
      <c r="B1006" s="3">
        <f>VLOOKUP(A1006,'[1]BADI SID DATA'!A:B,2,0)</f>
        <v>62</v>
      </c>
      <c r="C1006" s="4">
        <v>62400</v>
      </c>
      <c r="D1006" s="9">
        <v>0</v>
      </c>
      <c r="E1006" s="23">
        <v>100</v>
      </c>
      <c r="F1006" s="23">
        <v>100</v>
      </c>
      <c r="G1006" s="16">
        <f>VLOOKUP(A1006,'[1]DRDO Kolar Data'!$A:$E,5,0)*1000</f>
        <v>10200</v>
      </c>
      <c r="H1006" s="24">
        <f t="shared" si="48"/>
        <v>3095298.700000003</v>
      </c>
      <c r="I1006" s="25">
        <f t="shared" si="46"/>
        <v>26</v>
      </c>
      <c r="J1006" s="25">
        <f t="shared" si="47"/>
        <v>20.801738575268839</v>
      </c>
      <c r="K1006" s="17" t="s">
        <v>13</v>
      </c>
    </row>
    <row r="1007" spans="1:11" ht="15.75" customHeight="1" x14ac:dyDescent="0.2">
      <c r="A1007" s="15">
        <v>45810</v>
      </c>
      <c r="B1007" s="3">
        <f>VLOOKUP(A1007,'[1]BADI SID DATA'!A:B,2,0)</f>
        <v>63</v>
      </c>
      <c r="C1007" s="4">
        <v>52000</v>
      </c>
      <c r="D1007" s="9">
        <v>0</v>
      </c>
      <c r="E1007" s="23">
        <v>100</v>
      </c>
      <c r="F1007" s="23">
        <v>100</v>
      </c>
      <c r="G1007" s="16">
        <f>VLOOKUP(A1007,'[1]DRDO Kolar Data'!$A:$E,5,0)*1000</f>
        <v>10000</v>
      </c>
      <c r="H1007" s="24">
        <f t="shared" si="48"/>
        <v>3147298.700000003</v>
      </c>
      <c r="I1007" s="25">
        <f t="shared" si="46"/>
        <v>21.666666666666668</v>
      </c>
      <c r="J1007" s="25">
        <f t="shared" si="47"/>
        <v>20.815467592592611</v>
      </c>
      <c r="K1007" s="17" t="s">
        <v>13</v>
      </c>
    </row>
    <row r="1008" spans="1:11" ht="15.75" customHeight="1" x14ac:dyDescent="0.2">
      <c r="A1008" s="15">
        <v>45811</v>
      </c>
      <c r="B1008" s="3">
        <f>VLOOKUP(A1008,'[1]BADI SID DATA'!A:B,2,0)</f>
        <v>64</v>
      </c>
      <c r="C1008" s="4">
        <v>50050</v>
      </c>
      <c r="D1008" s="9">
        <v>0</v>
      </c>
      <c r="E1008" s="23">
        <v>100</v>
      </c>
      <c r="F1008" s="23">
        <v>100</v>
      </c>
      <c r="G1008" s="16">
        <f>VLOOKUP(A1008,'[1]DRDO Kolar Data'!$A:$E,5,0)*1000</f>
        <v>10200</v>
      </c>
      <c r="H1008" s="24">
        <f t="shared" si="48"/>
        <v>3197348.700000003</v>
      </c>
      <c r="I1008" s="25">
        <f t="shared" si="46"/>
        <v>20.854166666666664</v>
      </c>
      <c r="J1008" s="25">
        <f t="shared" si="47"/>
        <v>20.816072265625017</v>
      </c>
      <c r="K1008" s="17" t="s">
        <v>13</v>
      </c>
    </row>
    <row r="1009" spans="1:11" ht="15.75" customHeight="1" x14ac:dyDescent="0.2">
      <c r="A1009" s="15">
        <v>45812</v>
      </c>
      <c r="B1009" s="3">
        <f>VLOOKUP(A1009,'[1]BADI SID DATA'!A:B,2,0)</f>
        <v>65</v>
      </c>
      <c r="C1009" s="4">
        <v>59150</v>
      </c>
      <c r="D1009" s="9">
        <v>0</v>
      </c>
      <c r="E1009" s="23">
        <v>100</v>
      </c>
      <c r="F1009" s="23">
        <v>100</v>
      </c>
      <c r="G1009" s="16">
        <f>VLOOKUP(A1009,'[1]DRDO Kolar Data'!$A:$E,5,0)*1000</f>
        <v>10100</v>
      </c>
      <c r="H1009" s="24">
        <f t="shared" si="48"/>
        <v>3256498.700000003</v>
      </c>
      <c r="I1009" s="25">
        <f t="shared" si="46"/>
        <v>24.645833333333332</v>
      </c>
      <c r="J1009" s="25">
        <f t="shared" si="47"/>
        <v>20.874991666666688</v>
      </c>
      <c r="K1009" s="17" t="s">
        <v>13</v>
      </c>
    </row>
    <row r="1010" spans="1:11" ht="15.75" customHeight="1" x14ac:dyDescent="0.2">
      <c r="A1010" s="15">
        <v>45813</v>
      </c>
      <c r="B1010" s="3">
        <f>VLOOKUP(A1010,'[1]BADI SID DATA'!A:B,2,0)</f>
        <v>66</v>
      </c>
      <c r="C1010" s="4">
        <v>59800</v>
      </c>
      <c r="D1010" s="9">
        <v>0</v>
      </c>
      <c r="E1010" s="23">
        <v>100</v>
      </c>
      <c r="F1010" s="23">
        <v>100</v>
      </c>
      <c r="G1010" s="16">
        <f>VLOOKUP(A1010,'[1]DRDO Kolar Data'!$A:$E,5,0)*1000</f>
        <v>10500</v>
      </c>
      <c r="H1010" s="24">
        <f t="shared" si="48"/>
        <v>3316298.700000003</v>
      </c>
      <c r="I1010" s="25">
        <f t="shared" si="46"/>
        <v>24.916666666666668</v>
      </c>
      <c r="J1010" s="25">
        <f t="shared" si="47"/>
        <v>20.936229166666685</v>
      </c>
      <c r="K1010" s="17" t="s">
        <v>13</v>
      </c>
    </row>
    <row r="1011" spans="1:11" ht="15.75" customHeight="1" x14ac:dyDescent="0.2">
      <c r="A1011" s="15">
        <v>45814</v>
      </c>
      <c r="B1011" s="3">
        <f>VLOOKUP(A1011,'[1]BADI SID DATA'!A:B,2,0)</f>
        <v>67</v>
      </c>
      <c r="C1011" s="4">
        <v>50700</v>
      </c>
      <c r="D1011" s="9">
        <v>0</v>
      </c>
      <c r="E1011" s="23">
        <v>100</v>
      </c>
      <c r="F1011" s="23">
        <v>100</v>
      </c>
      <c r="G1011" s="16">
        <f>VLOOKUP(A1011,'[1]DRDO Kolar Data'!$A:$E,5,0)*1000</f>
        <v>10100</v>
      </c>
      <c r="H1011" s="24">
        <f t="shared" si="48"/>
        <v>3366998.700000003</v>
      </c>
      <c r="I1011" s="25">
        <f t="shared" si="46"/>
        <v>21.125</v>
      </c>
      <c r="J1011" s="25">
        <f t="shared" si="47"/>
        <v>20.939046641791062</v>
      </c>
      <c r="K1011" s="17" t="s">
        <v>13</v>
      </c>
    </row>
    <row r="1012" spans="1:11" ht="15.75" customHeight="1" x14ac:dyDescent="0.2">
      <c r="A1012" s="15">
        <v>45815</v>
      </c>
      <c r="B1012" s="3">
        <f>VLOOKUP(A1012,'[1]BADI SID DATA'!A:B,2,0)</f>
        <v>68</v>
      </c>
      <c r="C1012" s="4">
        <v>56550</v>
      </c>
      <c r="D1012" s="9">
        <v>0</v>
      </c>
      <c r="E1012" s="23">
        <v>100</v>
      </c>
      <c r="F1012" s="23">
        <v>100</v>
      </c>
      <c r="G1012" s="16">
        <f>VLOOKUP(A1012,'[1]DRDO Kolar Data'!$A:$E,5,0)*1000</f>
        <v>10200</v>
      </c>
      <c r="H1012" s="24">
        <f t="shared" si="48"/>
        <v>3423548.700000003</v>
      </c>
      <c r="I1012" s="25">
        <f t="shared" si="46"/>
        <v>23.5625</v>
      </c>
      <c r="J1012" s="25">
        <f t="shared" si="47"/>
        <v>20.977626838235313</v>
      </c>
      <c r="K1012" s="17" t="s">
        <v>13</v>
      </c>
    </row>
    <row r="1013" spans="1:11" ht="15.75" customHeight="1" x14ac:dyDescent="0.2">
      <c r="A1013" s="15">
        <v>45816</v>
      </c>
      <c r="B1013" s="3">
        <f>VLOOKUP(A1013,'[1]BADI SID DATA'!A:B,2,0)</f>
        <v>69</v>
      </c>
      <c r="C1013" s="4">
        <v>60450</v>
      </c>
      <c r="D1013" s="9">
        <v>0</v>
      </c>
      <c r="E1013" s="23">
        <v>100</v>
      </c>
      <c r="F1013" s="23">
        <v>100</v>
      </c>
      <c r="G1013" s="16">
        <f>VLOOKUP(A1013,'[1]DRDO Kolar Data'!$A:$E,5,0)*1000</f>
        <v>10400</v>
      </c>
      <c r="H1013" s="24">
        <f t="shared" si="48"/>
        <v>3483998.700000003</v>
      </c>
      <c r="I1013" s="25">
        <f t="shared" si="46"/>
        <v>25.1875</v>
      </c>
      <c r="J1013" s="25">
        <f t="shared" si="47"/>
        <v>21.038639492753642</v>
      </c>
      <c r="K1013" s="17" t="s">
        <v>13</v>
      </c>
    </row>
    <row r="1014" spans="1:11" ht="15.75" customHeight="1" x14ac:dyDescent="0.2">
      <c r="A1014" s="15">
        <v>45817</v>
      </c>
      <c r="B1014" s="3">
        <f>VLOOKUP(A1014,'[1]BADI SID DATA'!A:B,2,0)</f>
        <v>70</v>
      </c>
      <c r="C1014" s="4">
        <v>44200</v>
      </c>
      <c r="D1014" s="9">
        <v>0</v>
      </c>
      <c r="E1014" s="23">
        <v>100</v>
      </c>
      <c r="F1014" s="23">
        <v>100</v>
      </c>
      <c r="G1014" s="16">
        <f>VLOOKUP(A1014,'[1]DRDO Kolar Data'!$A:$E,5,0)*1000</f>
        <v>9200</v>
      </c>
      <c r="H1014" s="24">
        <f t="shared" si="48"/>
        <v>3528198.700000003</v>
      </c>
      <c r="I1014" s="25">
        <f t="shared" si="46"/>
        <v>18.416666666666668</v>
      </c>
      <c r="J1014" s="25">
        <f t="shared" si="47"/>
        <v>21.001182738095256</v>
      </c>
      <c r="K1014" s="17" t="s">
        <v>11</v>
      </c>
    </row>
    <row r="1015" spans="1:11" ht="15.75" customHeight="1" x14ac:dyDescent="0.2">
      <c r="A1015" s="15">
        <v>45818</v>
      </c>
      <c r="B1015" s="3">
        <f>VLOOKUP(A1015,'[1]BADI SID DATA'!A:B,2,0)</f>
        <v>71</v>
      </c>
      <c r="C1015" s="4">
        <v>57200</v>
      </c>
      <c r="D1015" s="9">
        <v>0</v>
      </c>
      <c r="E1015" s="23">
        <v>100</v>
      </c>
      <c r="F1015" s="23">
        <v>100</v>
      </c>
      <c r="G1015" s="16">
        <f>VLOOKUP(A1015,'[1]DRDO Kolar Data'!$A:$E,5,0)*1000</f>
        <v>10900</v>
      </c>
      <c r="H1015" s="24">
        <f t="shared" si="48"/>
        <v>3585398.700000003</v>
      </c>
      <c r="I1015" s="25">
        <f t="shared" si="46"/>
        <v>23.833333333333336</v>
      </c>
      <c r="J1015" s="25">
        <f t="shared" si="47"/>
        <v>21.041072183098606</v>
      </c>
      <c r="K1015" s="17" t="s">
        <v>13</v>
      </c>
    </row>
    <row r="1016" spans="1:11" ht="15.75" customHeight="1" x14ac:dyDescent="0.2">
      <c r="A1016" s="15">
        <v>45819</v>
      </c>
      <c r="B1016" s="3">
        <f>VLOOKUP(A1016,'[1]BADI SID DATA'!A:B,2,0)</f>
        <v>72</v>
      </c>
      <c r="C1016" s="4">
        <v>39000</v>
      </c>
      <c r="D1016" s="9">
        <v>0</v>
      </c>
      <c r="E1016" s="23">
        <v>100</v>
      </c>
      <c r="F1016" s="23">
        <v>100</v>
      </c>
      <c r="G1016" s="16">
        <f>VLOOKUP(A1016,'[1]DRDO Kolar Data'!$A:$E,5,0)*1000</f>
        <v>9200</v>
      </c>
      <c r="H1016" s="24">
        <f t="shared" si="48"/>
        <v>3624398.700000003</v>
      </c>
      <c r="I1016" s="25">
        <f t="shared" si="46"/>
        <v>16.25</v>
      </c>
      <c r="J1016" s="25">
        <f t="shared" si="47"/>
        <v>20.974529513888907</v>
      </c>
      <c r="K1016" s="17" t="s">
        <v>11</v>
      </c>
    </row>
    <row r="1017" spans="1:11" ht="15.75" customHeight="1" x14ac:dyDescent="0.2">
      <c r="A1017" s="15">
        <v>45820</v>
      </c>
      <c r="B1017" s="3">
        <f>VLOOKUP(A1017,'[1]BADI SID DATA'!A:B,2,0)</f>
        <v>73</v>
      </c>
      <c r="C1017" s="4">
        <v>46150</v>
      </c>
      <c r="D1017" s="9">
        <v>0</v>
      </c>
      <c r="E1017" s="23">
        <v>100</v>
      </c>
      <c r="F1017" s="23">
        <v>100</v>
      </c>
      <c r="G1017" s="16">
        <f>VLOOKUP(A1017,'[1]DRDO Kolar Data'!$A:$E,5,0)*1000</f>
        <v>10200</v>
      </c>
      <c r="H1017" s="24">
        <f t="shared" si="48"/>
        <v>3670548.700000003</v>
      </c>
      <c r="I1017" s="25">
        <f t="shared" si="46"/>
        <v>19.229166666666668</v>
      </c>
      <c r="J1017" s="25">
        <f t="shared" si="47"/>
        <v>20.950620433789972</v>
      </c>
      <c r="K1017" s="17" t="s">
        <v>13</v>
      </c>
    </row>
    <row r="1018" spans="1:11" ht="15.75" customHeight="1" x14ac:dyDescent="0.2">
      <c r="A1018" s="15">
        <v>45821</v>
      </c>
      <c r="B1018" s="3">
        <f>VLOOKUP(A1018,'[1]BADI SID DATA'!A:B,2,0)</f>
        <v>74</v>
      </c>
      <c r="C1018" s="4">
        <v>41600</v>
      </c>
      <c r="D1018" s="9">
        <v>0</v>
      </c>
      <c r="E1018" s="23">
        <v>100</v>
      </c>
      <c r="F1018" s="23">
        <v>100</v>
      </c>
      <c r="G1018" s="16">
        <f>VLOOKUP(A1018,'[1]DRDO Kolar Data'!$A:$E,5,0)*1000</f>
        <v>10500</v>
      </c>
      <c r="H1018" s="24">
        <f t="shared" si="48"/>
        <v>3712148.700000003</v>
      </c>
      <c r="I1018" s="25">
        <f t="shared" si="46"/>
        <v>17.333333333333336</v>
      </c>
      <c r="J1018" s="25">
        <f t="shared" si="47"/>
        <v>20.901738175675693</v>
      </c>
      <c r="K1018" s="17" t="s">
        <v>13</v>
      </c>
    </row>
    <row r="1019" spans="1:11" ht="15.75" customHeight="1" x14ac:dyDescent="0.2">
      <c r="A1019" s="15">
        <v>45822</v>
      </c>
      <c r="B1019" s="3">
        <f>VLOOKUP(A1019,'[1]BADI SID DATA'!A:B,2,0)</f>
        <v>75</v>
      </c>
      <c r="C1019" s="4">
        <v>46800</v>
      </c>
      <c r="D1019" s="9">
        <v>0</v>
      </c>
      <c r="E1019" s="23">
        <v>100</v>
      </c>
      <c r="F1019" s="23">
        <v>100</v>
      </c>
      <c r="G1019" s="16">
        <f>VLOOKUP(A1019,'[1]DRDO Kolar Data'!$A:$E,5,0)*1000</f>
        <v>10700</v>
      </c>
      <c r="H1019" s="24">
        <f t="shared" si="48"/>
        <v>3758948.700000003</v>
      </c>
      <c r="I1019" s="25">
        <f t="shared" si="46"/>
        <v>19.5</v>
      </c>
      <c r="J1019" s="25">
        <f t="shared" si="47"/>
        <v>20.883048333333353</v>
      </c>
      <c r="K1019" s="17" t="s">
        <v>13</v>
      </c>
    </row>
    <row r="1020" spans="1:11" ht="15.75" customHeight="1" x14ac:dyDescent="0.2">
      <c r="A1020" s="15">
        <v>45823</v>
      </c>
      <c r="B1020" s="3">
        <f>VLOOKUP(A1020,'[1]BADI SID DATA'!A:B,2,0)</f>
        <v>76</v>
      </c>
      <c r="C1020" s="4">
        <v>32500</v>
      </c>
      <c r="D1020" s="9">
        <v>0</v>
      </c>
      <c r="E1020" s="23">
        <v>100</v>
      </c>
      <c r="F1020" s="23">
        <v>100</v>
      </c>
      <c r="G1020" s="16">
        <f>VLOOKUP(A1020,'[1]DRDO Kolar Data'!$A:$E,5,0)*1000</f>
        <v>9100</v>
      </c>
      <c r="H1020" s="24">
        <f t="shared" si="48"/>
        <v>3791448.700000003</v>
      </c>
      <c r="I1020" s="25">
        <f t="shared" si="46"/>
        <v>13.541666666666666</v>
      </c>
      <c r="J1020" s="25">
        <f t="shared" si="47"/>
        <v>20.786451206140367</v>
      </c>
      <c r="K1020" s="17" t="s">
        <v>36</v>
      </c>
    </row>
    <row r="1021" spans="1:11" ht="15.75" customHeight="1" x14ac:dyDescent="0.2">
      <c r="A1021" s="15">
        <v>45824</v>
      </c>
      <c r="B1021" s="3">
        <f>VLOOKUP(A1021,'[1]BADI SID DATA'!A:B,2,0)</f>
        <v>77</v>
      </c>
      <c r="C1021" s="4">
        <v>42900</v>
      </c>
      <c r="D1021" s="9">
        <v>0</v>
      </c>
      <c r="E1021" s="23">
        <v>100</v>
      </c>
      <c r="F1021" s="23">
        <v>100</v>
      </c>
      <c r="G1021" s="16">
        <f>VLOOKUP(A1021,'[1]DRDO Kolar Data'!$A:$E,5,0)*1000</f>
        <v>9300</v>
      </c>
      <c r="H1021" s="24">
        <f t="shared" si="48"/>
        <v>3834348.700000003</v>
      </c>
      <c r="I1021" s="25">
        <f t="shared" si="46"/>
        <v>17.875</v>
      </c>
      <c r="J1021" s="25">
        <f t="shared" si="47"/>
        <v>20.748640151515168</v>
      </c>
      <c r="K1021" s="17" t="s">
        <v>11</v>
      </c>
    </row>
    <row r="1022" spans="1:11" ht="15.75" customHeight="1" x14ac:dyDescent="0.2">
      <c r="A1022" s="15">
        <v>45825</v>
      </c>
      <c r="B1022" s="3">
        <f>VLOOKUP(A1022,'[1]BADI SID DATA'!A:B,2,0)</f>
        <v>78</v>
      </c>
      <c r="C1022" s="4">
        <v>42250</v>
      </c>
      <c r="D1022" s="9">
        <v>0</v>
      </c>
      <c r="E1022" s="23">
        <v>100</v>
      </c>
      <c r="F1022" s="23">
        <v>100</v>
      </c>
      <c r="G1022" s="16">
        <f>VLOOKUP(A1022,'[1]DRDO Kolar Data'!$A:$E,5,0)*1000</f>
        <v>8900</v>
      </c>
      <c r="H1022" s="24">
        <f t="shared" si="48"/>
        <v>3876598.700000003</v>
      </c>
      <c r="I1022" s="25">
        <f t="shared" si="46"/>
        <v>17.604166666666668</v>
      </c>
      <c r="J1022" s="25">
        <f t="shared" si="47"/>
        <v>20.708326388888903</v>
      </c>
      <c r="K1022" s="17" t="s">
        <v>11</v>
      </c>
    </row>
    <row r="1023" spans="1:11" ht="15.75" customHeight="1" x14ac:dyDescent="0.2">
      <c r="A1023" s="15">
        <v>45826</v>
      </c>
      <c r="B1023" s="3">
        <f>VLOOKUP(A1023,'[1]BADI SID DATA'!A:B,2,0)</f>
        <v>79</v>
      </c>
      <c r="C1023" s="4">
        <v>53300</v>
      </c>
      <c r="D1023" s="9">
        <v>0</v>
      </c>
      <c r="E1023" s="23">
        <v>100</v>
      </c>
      <c r="F1023" s="23">
        <v>100</v>
      </c>
      <c r="G1023" s="16">
        <f>VLOOKUP(A1023,'[1]DRDO Kolar Data'!$A:$E,5,0)*1000</f>
        <v>10100</v>
      </c>
      <c r="H1023" s="24">
        <f t="shared" si="48"/>
        <v>3929898.700000003</v>
      </c>
      <c r="I1023" s="25">
        <f t="shared" si="46"/>
        <v>22.208333333333332</v>
      </c>
      <c r="J1023" s="25">
        <f t="shared" si="47"/>
        <v>20.727313818565417</v>
      </c>
      <c r="K1023" s="17" t="s">
        <v>13</v>
      </c>
    </row>
    <row r="1024" spans="1:11" ht="15.75" customHeight="1" x14ac:dyDescent="0.2">
      <c r="A1024" s="15">
        <v>45827</v>
      </c>
      <c r="B1024" s="3">
        <f>VLOOKUP(A1024,'[1]BADI SID DATA'!A:B,2,0)</f>
        <v>80</v>
      </c>
      <c r="C1024" s="4">
        <v>50050</v>
      </c>
      <c r="D1024" s="9">
        <v>0</v>
      </c>
      <c r="E1024" s="23">
        <v>100</v>
      </c>
      <c r="F1024" s="23">
        <v>100</v>
      </c>
      <c r="G1024" s="16">
        <f>VLOOKUP(A1024,'[1]DRDO Kolar Data'!$A:$E,5,0)*1000</f>
        <v>10400</v>
      </c>
      <c r="H1024" s="24">
        <f t="shared" si="48"/>
        <v>3979948.700000003</v>
      </c>
      <c r="I1024" s="25">
        <f t="shared" si="46"/>
        <v>20.854166666666664</v>
      </c>
      <c r="J1024" s="25">
        <f t="shared" si="47"/>
        <v>20.728899479166682</v>
      </c>
      <c r="K1024" s="17" t="s">
        <v>13</v>
      </c>
    </row>
    <row r="1025" spans="1:11" ht="15.75" customHeight="1" x14ac:dyDescent="0.2">
      <c r="A1025" s="15">
        <v>45828</v>
      </c>
      <c r="B1025" s="3">
        <f>VLOOKUP(A1025,'[1]BADI SID DATA'!A:B,2,0)</f>
        <v>81</v>
      </c>
      <c r="C1025" s="4">
        <v>55250</v>
      </c>
      <c r="D1025" s="9">
        <v>0</v>
      </c>
      <c r="E1025" s="23">
        <v>100</v>
      </c>
      <c r="F1025" s="23">
        <v>100</v>
      </c>
      <c r="G1025" s="16">
        <f>VLOOKUP(A1025,'[1]DRDO Kolar Data'!$A:$E,5,0)*1000</f>
        <v>9000</v>
      </c>
      <c r="H1025" s="24">
        <f t="shared" si="48"/>
        <v>4035198.700000003</v>
      </c>
      <c r="I1025" s="25">
        <f t="shared" si="46"/>
        <v>23.020833333333332</v>
      </c>
      <c r="J1025" s="25">
        <f t="shared" si="47"/>
        <v>20.757194958847752</v>
      </c>
      <c r="K1025" s="17" t="s">
        <v>36</v>
      </c>
    </row>
    <row r="1026" spans="1:11" ht="15.75" customHeight="1" x14ac:dyDescent="0.2">
      <c r="A1026" s="15">
        <v>45829</v>
      </c>
      <c r="B1026" s="3">
        <f>VLOOKUP(A1026,'[1]BADI SID DATA'!A:B,2,0)</f>
        <v>82</v>
      </c>
      <c r="C1026" s="4">
        <v>51350</v>
      </c>
      <c r="D1026" s="9">
        <v>0</v>
      </c>
      <c r="E1026" s="23">
        <v>100</v>
      </c>
      <c r="F1026" s="23">
        <v>100</v>
      </c>
      <c r="G1026" s="16">
        <f>VLOOKUP(A1026,'[1]DRDO Kolar Data'!$A:$E,5,0)*1000</f>
        <v>10300</v>
      </c>
      <c r="H1026" s="24">
        <f t="shared" si="48"/>
        <v>4086548.700000003</v>
      </c>
      <c r="I1026" s="25">
        <f t="shared" si="46"/>
        <v>21.395833333333332</v>
      </c>
      <c r="J1026" s="25">
        <f t="shared" si="47"/>
        <v>20.764983231707333</v>
      </c>
      <c r="K1026" s="17" t="s">
        <v>13</v>
      </c>
    </row>
    <row r="1027" spans="1:11" ht="15.75" customHeight="1" x14ac:dyDescent="0.2">
      <c r="A1027" s="15">
        <v>45830</v>
      </c>
      <c r="B1027" s="3">
        <f>VLOOKUP(A1027,'[1]BADI SID DATA'!A:B,2,0)</f>
        <v>83</v>
      </c>
      <c r="C1027" s="4">
        <v>39000</v>
      </c>
      <c r="D1027" s="9">
        <v>0</v>
      </c>
      <c r="E1027" s="23">
        <v>100</v>
      </c>
      <c r="F1027" s="23">
        <v>100</v>
      </c>
      <c r="G1027" s="16">
        <f>VLOOKUP(A1027,'[1]DRDO Kolar Data'!$A:$E,5,0)*1000</f>
        <v>9900</v>
      </c>
      <c r="H1027" s="24">
        <f t="shared" si="48"/>
        <v>4125548.700000003</v>
      </c>
      <c r="I1027" s="25">
        <f t="shared" ref="I1027:I1090" si="49">(C1027/(10*24*1000))*100</f>
        <v>16.25</v>
      </c>
      <c r="J1027" s="25">
        <f t="shared" ref="J1027:J1090" si="50">(H1027/(24*B1027*10*1000))*100</f>
        <v>20.710585843373508</v>
      </c>
      <c r="K1027" s="17" t="s">
        <v>11</v>
      </c>
    </row>
    <row r="1028" spans="1:11" ht="15.75" customHeight="1" x14ac:dyDescent="0.2">
      <c r="A1028" s="15">
        <v>45831</v>
      </c>
      <c r="B1028" s="3">
        <f>VLOOKUP(A1028,'[1]BADI SID DATA'!A:B,2,0)</f>
        <v>84</v>
      </c>
      <c r="C1028" s="4">
        <v>33800</v>
      </c>
      <c r="D1028" s="9">
        <v>0</v>
      </c>
      <c r="E1028" s="23">
        <v>100</v>
      </c>
      <c r="F1028" s="23">
        <v>100</v>
      </c>
      <c r="G1028" s="16">
        <f>VLOOKUP(A1028,'[1]DRDO Kolar Data'!$A:$E,5,0)*1000</f>
        <v>8700</v>
      </c>
      <c r="H1028" s="24">
        <f t="shared" si="48"/>
        <v>4159348.700000003</v>
      </c>
      <c r="I1028" s="25">
        <f t="shared" si="49"/>
        <v>14.083333333333334</v>
      </c>
      <c r="J1028" s="25">
        <f t="shared" si="50"/>
        <v>20.631689980158747</v>
      </c>
      <c r="K1028" s="17" t="s">
        <v>11</v>
      </c>
    </row>
    <row r="1029" spans="1:11" ht="15.75" customHeight="1" x14ac:dyDescent="0.2">
      <c r="A1029" s="15">
        <v>45832</v>
      </c>
      <c r="B1029" s="3">
        <f>VLOOKUP(A1029,'[1]BADI SID DATA'!A:B,2,0)</f>
        <v>85</v>
      </c>
      <c r="C1029" s="4">
        <v>42250</v>
      </c>
      <c r="D1029" s="9">
        <v>0</v>
      </c>
      <c r="E1029" s="23">
        <v>100</v>
      </c>
      <c r="F1029" s="23">
        <v>100</v>
      </c>
      <c r="G1029" s="16">
        <f>VLOOKUP(A1029,'[1]DRDO Kolar Data'!$A:$E,5,0)*1000</f>
        <v>9900</v>
      </c>
      <c r="H1029" s="24">
        <f t="shared" ref="H1029:H1092" si="51">C1029+H1028</f>
        <v>4201598.700000003</v>
      </c>
      <c r="I1029" s="25">
        <f t="shared" si="49"/>
        <v>17.604166666666668</v>
      </c>
      <c r="J1029" s="25">
        <f t="shared" si="50"/>
        <v>20.596072058823545</v>
      </c>
      <c r="K1029" s="17" t="s">
        <v>11</v>
      </c>
    </row>
    <row r="1030" spans="1:11" ht="15.75" customHeight="1" x14ac:dyDescent="0.2">
      <c r="A1030" s="15">
        <v>45833</v>
      </c>
      <c r="B1030" s="3">
        <f>VLOOKUP(A1030,'[1]BADI SID DATA'!A:B,2,0)</f>
        <v>86</v>
      </c>
      <c r="C1030" s="4">
        <v>34450</v>
      </c>
      <c r="D1030" s="9">
        <v>0</v>
      </c>
      <c r="E1030" s="23">
        <v>100</v>
      </c>
      <c r="F1030" s="23">
        <v>100</v>
      </c>
      <c r="G1030" s="16">
        <f>VLOOKUP(A1030,'[1]DRDO Kolar Data'!$A:$E,5,0)*1000</f>
        <v>9200</v>
      </c>
      <c r="H1030" s="24">
        <f t="shared" si="51"/>
        <v>4236048.700000003</v>
      </c>
      <c r="I1030" s="25">
        <f t="shared" si="49"/>
        <v>14.354166666666668</v>
      </c>
      <c r="J1030" s="25">
        <f t="shared" si="50"/>
        <v>20.523491763565907</v>
      </c>
      <c r="K1030" s="17" t="s">
        <v>11</v>
      </c>
    </row>
    <row r="1031" spans="1:11" ht="15.75" customHeight="1" x14ac:dyDescent="0.2">
      <c r="A1031" s="15">
        <v>45834</v>
      </c>
      <c r="B1031" s="3">
        <f>VLOOKUP(A1031,'[1]BADI SID DATA'!A:B,2,0)</f>
        <v>87</v>
      </c>
      <c r="C1031" s="4">
        <v>33150</v>
      </c>
      <c r="D1031" s="9">
        <v>0</v>
      </c>
      <c r="E1031" s="23">
        <v>100</v>
      </c>
      <c r="F1031" s="23">
        <v>100</v>
      </c>
      <c r="G1031" s="16">
        <f>VLOOKUP(A1031,'[1]DRDO Kolar Data'!$A:$E,5,0)*1000</f>
        <v>8800</v>
      </c>
      <c r="H1031" s="24">
        <f t="shared" si="51"/>
        <v>4269198.700000003</v>
      </c>
      <c r="I1031" s="25">
        <f t="shared" si="49"/>
        <v>13.8125</v>
      </c>
      <c r="J1031" s="25">
        <f t="shared" si="50"/>
        <v>20.446353927203077</v>
      </c>
      <c r="K1031" s="17" t="s">
        <v>11</v>
      </c>
    </row>
    <row r="1032" spans="1:11" ht="15.75" customHeight="1" x14ac:dyDescent="0.2">
      <c r="A1032" s="15">
        <v>45835</v>
      </c>
      <c r="B1032" s="3">
        <f>VLOOKUP(A1032,'[1]BADI SID DATA'!A:B,2,0)</f>
        <v>88</v>
      </c>
      <c r="C1032" s="4">
        <v>53950</v>
      </c>
      <c r="D1032" s="9">
        <v>0</v>
      </c>
      <c r="E1032" s="23">
        <v>100</v>
      </c>
      <c r="F1032" s="23">
        <v>100</v>
      </c>
      <c r="G1032" s="16">
        <f>VLOOKUP(A1032,'[1]DRDO Kolar Data'!$A:$E,5,0)*1000</f>
        <v>10100</v>
      </c>
      <c r="H1032" s="24">
        <f t="shared" si="51"/>
        <v>4323148.700000003</v>
      </c>
      <c r="I1032" s="25">
        <f t="shared" si="49"/>
        <v>22.479166666666668</v>
      </c>
      <c r="J1032" s="25">
        <f t="shared" si="50"/>
        <v>20.469454071969711</v>
      </c>
      <c r="K1032" s="17" t="s">
        <v>13</v>
      </c>
    </row>
    <row r="1033" spans="1:11" ht="15.75" customHeight="1" x14ac:dyDescent="0.2">
      <c r="A1033" s="15">
        <v>45836</v>
      </c>
      <c r="B1033" s="3">
        <f>VLOOKUP(A1033,'[1]BADI SID DATA'!A:B,2,0)</f>
        <v>89</v>
      </c>
      <c r="C1033" s="4">
        <v>46800</v>
      </c>
      <c r="D1033" s="9">
        <v>0</v>
      </c>
      <c r="E1033" s="23">
        <v>100</v>
      </c>
      <c r="F1033" s="23">
        <v>100</v>
      </c>
      <c r="G1033" s="16">
        <f>VLOOKUP(A1033,'[1]DRDO Kolar Data'!$A:$E,5,0)*1000</f>
        <v>10400</v>
      </c>
      <c r="H1033" s="24">
        <f t="shared" si="51"/>
        <v>4369948.700000003</v>
      </c>
      <c r="I1033" s="25">
        <f t="shared" si="49"/>
        <v>19.5</v>
      </c>
      <c r="J1033" s="25">
        <f t="shared" si="50"/>
        <v>20.458561329588029</v>
      </c>
      <c r="K1033" s="17" t="s">
        <v>13</v>
      </c>
    </row>
    <row r="1034" spans="1:11" ht="15.75" customHeight="1" x14ac:dyDescent="0.2">
      <c r="A1034" s="15">
        <v>45837</v>
      </c>
      <c r="B1034" s="3">
        <f>VLOOKUP(A1034,'[1]BADI SID DATA'!A:B,2,0)</f>
        <v>90</v>
      </c>
      <c r="C1034" s="4">
        <v>57200</v>
      </c>
      <c r="D1034" s="9">
        <v>0</v>
      </c>
      <c r="E1034" s="23">
        <v>100</v>
      </c>
      <c r="F1034" s="23">
        <v>100</v>
      </c>
      <c r="G1034" s="16">
        <f>VLOOKUP(A1034,'[1]DRDO Kolar Data'!$A:$E,5,0)*1000</f>
        <v>10100</v>
      </c>
      <c r="H1034" s="24">
        <f t="shared" si="51"/>
        <v>4427148.700000003</v>
      </c>
      <c r="I1034" s="25">
        <f t="shared" si="49"/>
        <v>23.833333333333336</v>
      </c>
      <c r="J1034" s="25">
        <f t="shared" si="50"/>
        <v>20.49605879629631</v>
      </c>
      <c r="K1034" s="17" t="s">
        <v>13</v>
      </c>
    </row>
    <row r="1035" spans="1:11" ht="15.75" customHeight="1" x14ac:dyDescent="0.2">
      <c r="A1035" s="15">
        <v>45838</v>
      </c>
      <c r="B1035" s="3">
        <f>VLOOKUP(A1035,'[1]BADI SID DATA'!A:B,2,0)</f>
        <v>91</v>
      </c>
      <c r="C1035" s="4">
        <v>54600</v>
      </c>
      <c r="D1035" s="9">
        <v>0</v>
      </c>
      <c r="E1035" s="23">
        <v>100</v>
      </c>
      <c r="F1035" s="23">
        <v>100</v>
      </c>
      <c r="G1035" s="16">
        <f>VLOOKUP(A1035,'[1]DRDO Kolar Data'!$A:$E,5,0)*1000</f>
        <v>10300</v>
      </c>
      <c r="H1035" s="24">
        <f t="shared" si="51"/>
        <v>4481748.700000003</v>
      </c>
      <c r="I1035" s="25">
        <f t="shared" si="49"/>
        <v>22.75</v>
      </c>
      <c r="J1035" s="25">
        <f t="shared" si="50"/>
        <v>20.520827380952394</v>
      </c>
      <c r="K1035" s="17" t="s">
        <v>13</v>
      </c>
    </row>
    <row r="1036" spans="1:11" ht="15.75" customHeight="1" x14ac:dyDescent="0.2">
      <c r="A1036" s="15">
        <v>45839</v>
      </c>
      <c r="B1036" s="3">
        <f>VLOOKUP(A1036,'[1]BADI SID DATA'!A:B,2,0)</f>
        <v>92</v>
      </c>
      <c r="C1036" s="4">
        <v>29250</v>
      </c>
      <c r="D1036" s="9">
        <v>0</v>
      </c>
      <c r="E1036" s="23">
        <v>100</v>
      </c>
      <c r="F1036" s="23">
        <v>100</v>
      </c>
      <c r="G1036" s="16">
        <f>VLOOKUP(A1036,'[1]DRDO Kolar Data'!$A:$E,5,0)*1000</f>
        <v>8400</v>
      </c>
      <c r="H1036" s="24">
        <f t="shared" si="51"/>
        <v>4510998.700000003</v>
      </c>
      <c r="I1036" s="25">
        <f t="shared" si="49"/>
        <v>12.1875</v>
      </c>
      <c r="J1036" s="25">
        <f t="shared" si="50"/>
        <v>20.430247735507258</v>
      </c>
      <c r="K1036" s="17" t="s">
        <v>11</v>
      </c>
    </row>
    <row r="1037" spans="1:11" ht="15.75" customHeight="1" x14ac:dyDescent="0.2">
      <c r="A1037" s="15">
        <v>45840</v>
      </c>
      <c r="B1037" s="3">
        <f>VLOOKUP(A1037,'[1]BADI SID DATA'!A:B,2,0)</f>
        <v>93</v>
      </c>
      <c r="C1037" s="4">
        <v>39650</v>
      </c>
      <c r="D1037" s="9">
        <v>0</v>
      </c>
      <c r="E1037" s="23">
        <v>100</v>
      </c>
      <c r="F1037" s="23">
        <v>100</v>
      </c>
      <c r="G1037" s="16">
        <f>VLOOKUP(A1037,'[1]DRDO Kolar Data'!$A:$E,5,0)*1000</f>
        <v>8900</v>
      </c>
      <c r="H1037" s="24">
        <f t="shared" si="51"/>
        <v>4550648.700000003</v>
      </c>
      <c r="I1037" s="25">
        <f t="shared" si="49"/>
        <v>16.520833333333336</v>
      </c>
      <c r="J1037" s="25">
        <f t="shared" si="50"/>
        <v>20.388211021505391</v>
      </c>
      <c r="K1037" s="17" t="s">
        <v>11</v>
      </c>
    </row>
    <row r="1038" spans="1:11" ht="15.75" customHeight="1" x14ac:dyDescent="0.2">
      <c r="A1038" s="15">
        <v>45841</v>
      </c>
      <c r="B1038" s="3">
        <f>VLOOKUP(A1038,'[1]BADI SID DATA'!A:B,2,0)</f>
        <v>94</v>
      </c>
      <c r="C1038" s="4">
        <v>40950</v>
      </c>
      <c r="D1038" s="9">
        <v>0</v>
      </c>
      <c r="E1038" s="23">
        <v>100</v>
      </c>
      <c r="F1038" s="23">
        <v>100</v>
      </c>
      <c r="G1038" s="16">
        <f>VLOOKUP(A1038,'[1]DRDO Kolar Data'!$A:$E,5,0)*1000</f>
        <v>9200</v>
      </c>
      <c r="H1038" s="24">
        <f t="shared" si="51"/>
        <v>4591598.700000003</v>
      </c>
      <c r="I1038" s="25">
        <f t="shared" si="49"/>
        <v>17.0625</v>
      </c>
      <c r="J1038" s="25">
        <f t="shared" si="50"/>
        <v>20.352831117021289</v>
      </c>
      <c r="K1038" s="17" t="s">
        <v>11</v>
      </c>
    </row>
    <row r="1039" spans="1:11" ht="15.75" customHeight="1" x14ac:dyDescent="0.2">
      <c r="A1039" s="15">
        <v>45842</v>
      </c>
      <c r="B1039" s="3">
        <f>VLOOKUP(A1039,'[1]BADI SID DATA'!A:B,2,0)</f>
        <v>95</v>
      </c>
      <c r="C1039" s="4">
        <v>40950</v>
      </c>
      <c r="D1039" s="9">
        <v>0</v>
      </c>
      <c r="E1039" s="23">
        <v>100</v>
      </c>
      <c r="F1039" s="23">
        <v>100</v>
      </c>
      <c r="G1039" s="16">
        <f>VLOOKUP(A1039,'[1]DRDO Kolar Data'!$A:$E,5,0)*1000</f>
        <v>10000</v>
      </c>
      <c r="H1039" s="24">
        <f t="shared" si="51"/>
        <v>4632548.700000003</v>
      </c>
      <c r="I1039" s="25">
        <f t="shared" si="49"/>
        <v>17.0625</v>
      </c>
      <c r="J1039" s="25">
        <f t="shared" si="50"/>
        <v>20.318196052631592</v>
      </c>
      <c r="K1039" s="17" t="s">
        <v>11</v>
      </c>
    </row>
    <row r="1040" spans="1:11" ht="15.75" customHeight="1" x14ac:dyDescent="0.2">
      <c r="A1040" s="15">
        <v>45843</v>
      </c>
      <c r="B1040" s="3">
        <f>VLOOKUP(A1040,'[1]BADI SID DATA'!A:B,2,0)</f>
        <v>96</v>
      </c>
      <c r="C1040" s="4">
        <v>47450</v>
      </c>
      <c r="D1040" s="9">
        <v>0</v>
      </c>
      <c r="E1040" s="23">
        <v>100</v>
      </c>
      <c r="F1040" s="23">
        <v>100</v>
      </c>
      <c r="G1040" s="16">
        <f>VLOOKUP(A1040,'[1]DRDO Kolar Data'!$A:$E,5,0)*1000</f>
        <v>10100</v>
      </c>
      <c r="H1040" s="24">
        <f t="shared" si="51"/>
        <v>4679998.700000003</v>
      </c>
      <c r="I1040" s="25">
        <f t="shared" si="49"/>
        <v>19.770833333333336</v>
      </c>
      <c r="J1040" s="25">
        <f t="shared" si="50"/>
        <v>20.312494357638901</v>
      </c>
      <c r="K1040" s="17" t="s">
        <v>11</v>
      </c>
    </row>
    <row r="1041" spans="1:11" ht="15.75" customHeight="1" x14ac:dyDescent="0.2">
      <c r="A1041" s="15">
        <v>45844</v>
      </c>
      <c r="B1041" s="3">
        <f>VLOOKUP(A1041,'[1]BADI SID DATA'!A:B,2,0)</f>
        <v>97</v>
      </c>
      <c r="C1041" s="4">
        <v>49400</v>
      </c>
      <c r="D1041" s="9">
        <v>0</v>
      </c>
      <c r="E1041" s="23">
        <v>100</v>
      </c>
      <c r="F1041" s="23">
        <v>100</v>
      </c>
      <c r="G1041" s="16">
        <f>VLOOKUP(A1041,'[1]DRDO Kolar Data'!$A:$E,5,0)*1000</f>
        <v>10200</v>
      </c>
      <c r="H1041" s="24">
        <f t="shared" si="51"/>
        <v>4729398.700000003</v>
      </c>
      <c r="I1041" s="25">
        <f t="shared" si="49"/>
        <v>20.583333333333336</v>
      </c>
      <c r="J1041" s="25">
        <f t="shared" si="50"/>
        <v>20.315286512027505</v>
      </c>
      <c r="K1041" s="17" t="s">
        <v>13</v>
      </c>
    </row>
    <row r="1042" spans="1:11" ht="15.75" customHeight="1" x14ac:dyDescent="0.2">
      <c r="A1042" s="15">
        <v>45845</v>
      </c>
      <c r="B1042" s="3">
        <f>VLOOKUP(A1042,'[1]BADI SID DATA'!A:B,2,0)</f>
        <v>98</v>
      </c>
      <c r="C1042" s="4">
        <v>47450</v>
      </c>
      <c r="D1042" s="9">
        <v>0</v>
      </c>
      <c r="E1042" s="23">
        <v>100</v>
      </c>
      <c r="F1042" s="23">
        <v>100</v>
      </c>
      <c r="G1042" s="16">
        <f>VLOOKUP(A1042,'[1]DRDO Kolar Data'!$A:$E,5,0)*1000</f>
        <v>10300</v>
      </c>
      <c r="H1042" s="24">
        <f t="shared" si="51"/>
        <v>4776848.700000003</v>
      </c>
      <c r="I1042" s="25">
        <f t="shared" si="49"/>
        <v>19.770833333333336</v>
      </c>
      <c r="J1042" s="25">
        <f t="shared" si="50"/>
        <v>20.30973086734695</v>
      </c>
      <c r="K1042" s="17" t="s">
        <v>13</v>
      </c>
    </row>
    <row r="1043" spans="1:11" ht="15.75" customHeight="1" x14ac:dyDescent="0.2">
      <c r="A1043" s="15">
        <v>45846</v>
      </c>
      <c r="B1043" s="3">
        <f>VLOOKUP(A1043,'[1]BADI SID DATA'!A:B,2,0)</f>
        <v>99</v>
      </c>
      <c r="C1043" s="4">
        <v>50700</v>
      </c>
      <c r="D1043" s="9">
        <v>0</v>
      </c>
      <c r="E1043" s="23">
        <v>100</v>
      </c>
      <c r="F1043" s="23">
        <v>100</v>
      </c>
      <c r="G1043" s="16">
        <f>VLOOKUP(A1043,'[1]DRDO Kolar Data'!$A:$E,5,0)*1000</f>
        <v>10100</v>
      </c>
      <c r="H1043" s="24">
        <f t="shared" si="51"/>
        <v>4827548.700000003</v>
      </c>
      <c r="I1043" s="25">
        <f t="shared" si="49"/>
        <v>21.125</v>
      </c>
      <c r="J1043" s="25">
        <f t="shared" si="50"/>
        <v>20.317965909090923</v>
      </c>
      <c r="K1043" s="17" t="s">
        <v>13</v>
      </c>
    </row>
    <row r="1044" spans="1:11" ht="15.75" customHeight="1" x14ac:dyDescent="0.2">
      <c r="A1044" s="15">
        <v>45847</v>
      </c>
      <c r="B1044" s="3">
        <f>VLOOKUP(A1044,'[1]BADI SID DATA'!A:B,2,0)</f>
        <v>100</v>
      </c>
      <c r="C1044" s="4">
        <v>52000</v>
      </c>
      <c r="D1044" s="9">
        <v>0</v>
      </c>
      <c r="E1044" s="23">
        <v>100</v>
      </c>
      <c r="F1044" s="23">
        <v>100</v>
      </c>
      <c r="G1044" s="16">
        <f>VLOOKUP(A1044,'[1]DRDO Kolar Data'!$A:$E,5,0)*1000</f>
        <v>10000</v>
      </c>
      <c r="H1044" s="24">
        <f t="shared" si="51"/>
        <v>4879548.700000003</v>
      </c>
      <c r="I1044" s="25">
        <f t="shared" si="49"/>
        <v>21.666666666666668</v>
      </c>
      <c r="J1044" s="25">
        <f t="shared" si="50"/>
        <v>20.331452916666677</v>
      </c>
      <c r="K1044" s="17" t="s">
        <v>13</v>
      </c>
    </row>
    <row r="1045" spans="1:11" ht="15.75" customHeight="1" x14ac:dyDescent="0.2">
      <c r="A1045" s="15">
        <v>45848</v>
      </c>
      <c r="B1045" s="3">
        <f>VLOOKUP(A1045,'[1]BADI SID DATA'!A:B,2,0)</f>
        <v>101</v>
      </c>
      <c r="C1045" s="4">
        <v>52650</v>
      </c>
      <c r="D1045" s="9">
        <v>0</v>
      </c>
      <c r="E1045" s="23">
        <v>100</v>
      </c>
      <c r="F1045" s="23">
        <v>100</v>
      </c>
      <c r="G1045" s="16">
        <f>VLOOKUP(A1045,'[1]DRDO Kolar Data'!$A:$E,5,0)*1000</f>
        <v>10000</v>
      </c>
      <c r="H1045" s="24">
        <f t="shared" si="51"/>
        <v>4932198.700000003</v>
      </c>
      <c r="I1045" s="25">
        <f t="shared" si="49"/>
        <v>21.9375</v>
      </c>
      <c r="J1045" s="25">
        <f t="shared" si="50"/>
        <v>20.347354372937307</v>
      </c>
      <c r="K1045" s="17" t="s">
        <v>13</v>
      </c>
    </row>
    <row r="1046" spans="1:11" ht="15.75" customHeight="1" x14ac:dyDescent="0.2">
      <c r="A1046" s="15">
        <v>45849</v>
      </c>
      <c r="B1046" s="3">
        <f>VLOOKUP(A1046,'[1]BADI SID DATA'!A:B,2,0)</f>
        <v>102</v>
      </c>
      <c r="C1046" s="4">
        <v>52000</v>
      </c>
      <c r="D1046" s="9">
        <v>0</v>
      </c>
      <c r="E1046" s="23">
        <v>100</v>
      </c>
      <c r="F1046" s="23">
        <v>100</v>
      </c>
      <c r="G1046" s="16">
        <f>VLOOKUP(A1046,'[1]DRDO Kolar Data'!$A:$E,5,0)*1000</f>
        <v>10500</v>
      </c>
      <c r="H1046" s="24">
        <f t="shared" si="51"/>
        <v>4984198.700000003</v>
      </c>
      <c r="I1046" s="25">
        <f t="shared" si="49"/>
        <v>21.666666666666668</v>
      </c>
      <c r="J1046" s="25">
        <f t="shared" si="50"/>
        <v>20.360288807189555</v>
      </c>
      <c r="K1046" s="17" t="s">
        <v>13</v>
      </c>
    </row>
    <row r="1047" spans="1:11" ht="15.75" customHeight="1" x14ac:dyDescent="0.2">
      <c r="A1047" s="15">
        <v>45850</v>
      </c>
      <c r="B1047" s="3">
        <f>VLOOKUP(A1047,'[1]BADI SID DATA'!A:B,2,0)</f>
        <v>103</v>
      </c>
      <c r="C1047" s="4">
        <v>51350</v>
      </c>
      <c r="D1047" s="9">
        <v>0</v>
      </c>
      <c r="E1047" s="23">
        <v>100</v>
      </c>
      <c r="F1047" s="23">
        <v>100</v>
      </c>
      <c r="G1047" s="16">
        <f>VLOOKUP(A1047,'[1]DRDO Kolar Data'!$A:$E,5,0)*1000</f>
        <v>10400</v>
      </c>
      <c r="H1047" s="24">
        <f t="shared" si="51"/>
        <v>5035548.700000003</v>
      </c>
      <c r="I1047" s="25">
        <f t="shared" si="49"/>
        <v>21.395833333333332</v>
      </c>
      <c r="J1047" s="25">
        <f t="shared" si="50"/>
        <v>20.370342637540464</v>
      </c>
      <c r="K1047" s="17" t="s">
        <v>13</v>
      </c>
    </row>
    <row r="1048" spans="1:11" ht="15.75" customHeight="1" x14ac:dyDescent="0.2">
      <c r="A1048" s="15">
        <v>45851</v>
      </c>
      <c r="B1048" s="3">
        <f>VLOOKUP(A1048,'[1]BADI SID DATA'!A:B,2,0)</f>
        <v>104</v>
      </c>
      <c r="C1048" s="4">
        <v>46150</v>
      </c>
      <c r="D1048" s="9">
        <v>0</v>
      </c>
      <c r="E1048" s="23">
        <v>100</v>
      </c>
      <c r="F1048" s="23">
        <v>100</v>
      </c>
      <c r="G1048" s="16">
        <f>VLOOKUP(A1048,'[1]DRDO Kolar Data'!$A:$E,5,0)*1000</f>
        <v>9000</v>
      </c>
      <c r="H1048" s="24">
        <f t="shared" si="51"/>
        <v>5081698.700000003</v>
      </c>
      <c r="I1048" s="25">
        <f t="shared" si="49"/>
        <v>19.229166666666668</v>
      </c>
      <c r="J1048" s="25">
        <f t="shared" si="50"/>
        <v>20.35936979166668</v>
      </c>
      <c r="K1048" s="17" t="s">
        <v>11</v>
      </c>
    </row>
    <row r="1049" spans="1:11" ht="15.75" customHeight="1" x14ac:dyDescent="0.2">
      <c r="A1049" s="15">
        <v>45852</v>
      </c>
      <c r="B1049" s="3">
        <f>VLOOKUP(A1049,'[1]BADI SID DATA'!A:B,2,0)</f>
        <v>105</v>
      </c>
      <c r="C1049" s="4">
        <v>51350</v>
      </c>
      <c r="D1049" s="9">
        <v>0</v>
      </c>
      <c r="E1049" s="23">
        <v>100</v>
      </c>
      <c r="F1049" s="23">
        <v>100</v>
      </c>
      <c r="G1049" s="16">
        <f>VLOOKUP(A1049,'[1]DRDO Kolar Data'!$A:$E,5,0)*1000</f>
        <v>10200</v>
      </c>
      <c r="H1049" s="24">
        <f t="shared" si="51"/>
        <v>5133048.700000003</v>
      </c>
      <c r="I1049" s="25">
        <f t="shared" si="49"/>
        <v>21.395833333333332</v>
      </c>
      <c r="J1049" s="25">
        <f t="shared" si="50"/>
        <v>20.369240873015883</v>
      </c>
      <c r="K1049" s="17" t="s">
        <v>13</v>
      </c>
    </row>
    <row r="1050" spans="1:11" ht="15.75" customHeight="1" x14ac:dyDescent="0.2">
      <c r="A1050" s="15">
        <v>45853</v>
      </c>
      <c r="B1050" s="3">
        <f>VLOOKUP(A1050,'[1]BADI SID DATA'!A:B,2,0)</f>
        <v>106</v>
      </c>
      <c r="C1050" s="4">
        <v>43550</v>
      </c>
      <c r="D1050" s="9">
        <v>0</v>
      </c>
      <c r="E1050" s="23">
        <v>100</v>
      </c>
      <c r="F1050" s="23">
        <v>100</v>
      </c>
      <c r="G1050" s="16">
        <f>VLOOKUP(A1050,'[1]DRDO Kolar Data'!$A:$E,5,0)*1000</f>
        <v>9300</v>
      </c>
      <c r="H1050" s="24">
        <f t="shared" si="51"/>
        <v>5176598.700000003</v>
      </c>
      <c r="I1050" s="25">
        <f t="shared" si="49"/>
        <v>18.145833333333332</v>
      </c>
      <c r="J1050" s="25">
        <f t="shared" si="50"/>
        <v>20.348265330188692</v>
      </c>
      <c r="K1050" s="17" t="s">
        <v>11</v>
      </c>
    </row>
    <row r="1051" spans="1:11" ht="15.75" customHeight="1" x14ac:dyDescent="0.2">
      <c r="A1051" s="15">
        <v>45854</v>
      </c>
      <c r="B1051" s="3">
        <f>VLOOKUP(A1051,'[1]BADI SID DATA'!A:B,2,0)</f>
        <v>107</v>
      </c>
      <c r="C1051" s="4">
        <v>57850</v>
      </c>
      <c r="D1051" s="9">
        <v>0</v>
      </c>
      <c r="E1051" s="23">
        <v>100</v>
      </c>
      <c r="F1051" s="23">
        <v>100</v>
      </c>
      <c r="G1051" s="16">
        <v>8700</v>
      </c>
      <c r="H1051" s="24">
        <f t="shared" si="51"/>
        <v>5234448.700000003</v>
      </c>
      <c r="I1051" s="25">
        <f t="shared" si="49"/>
        <v>24.104166666666664</v>
      </c>
      <c r="J1051" s="25">
        <f t="shared" si="50"/>
        <v>20.383367211838017</v>
      </c>
      <c r="K1051" s="17" t="s">
        <v>13</v>
      </c>
    </row>
    <row r="1052" spans="1:11" ht="15.75" customHeight="1" x14ac:dyDescent="0.2">
      <c r="A1052" s="15">
        <v>45855</v>
      </c>
      <c r="B1052" s="3">
        <f>VLOOKUP(A1052,'[1]BADI SID DATA'!A:B,2,0)</f>
        <v>108</v>
      </c>
      <c r="C1052" s="4">
        <v>51350</v>
      </c>
      <c r="D1052" s="9">
        <v>0</v>
      </c>
      <c r="E1052" s="23">
        <v>100</v>
      </c>
      <c r="F1052" s="23">
        <v>100</v>
      </c>
      <c r="G1052" s="16">
        <f>VLOOKUP(A1052,'[1]DRDO Kolar Data'!$A:$E,5,0)*1000</f>
        <v>10400</v>
      </c>
      <c r="H1052" s="24">
        <f t="shared" si="51"/>
        <v>5285798.700000003</v>
      </c>
      <c r="I1052" s="25">
        <f t="shared" si="49"/>
        <v>21.395833333333332</v>
      </c>
      <c r="J1052" s="25">
        <f t="shared" si="50"/>
        <v>20.392741898148159</v>
      </c>
      <c r="K1052" s="17" t="s">
        <v>13</v>
      </c>
    </row>
    <row r="1053" spans="1:11" ht="15.75" customHeight="1" x14ac:dyDescent="0.2">
      <c r="A1053" s="15">
        <v>45856</v>
      </c>
      <c r="B1053" s="3">
        <f>VLOOKUP(A1053,'[1]BADI SID DATA'!A:B,2,0)</f>
        <v>109</v>
      </c>
      <c r="C1053" s="4">
        <v>41600</v>
      </c>
      <c r="D1053" s="9">
        <v>0</v>
      </c>
      <c r="E1053" s="23">
        <v>100</v>
      </c>
      <c r="F1053" s="23">
        <v>100</v>
      </c>
      <c r="G1053" s="16">
        <f>VLOOKUP(A1053,'[1]DRDO Kolar Data'!$A:$E,5,0)*1000</f>
        <v>9200</v>
      </c>
      <c r="H1053" s="24">
        <f t="shared" si="51"/>
        <v>5327398.700000003</v>
      </c>
      <c r="I1053" s="25">
        <f t="shared" si="49"/>
        <v>17.333333333333336</v>
      </c>
      <c r="J1053" s="25">
        <f t="shared" si="50"/>
        <v>20.364673929663621</v>
      </c>
      <c r="K1053" s="17" t="s">
        <v>11</v>
      </c>
    </row>
    <row r="1054" spans="1:11" ht="15.75" customHeight="1" x14ac:dyDescent="0.2">
      <c r="A1054" s="15">
        <v>45857</v>
      </c>
      <c r="B1054" s="3">
        <f>VLOOKUP(A1054,'[1]BADI SID DATA'!A:B,2,0)</f>
        <v>110</v>
      </c>
      <c r="C1054" s="4">
        <v>37050</v>
      </c>
      <c r="D1054" s="9">
        <v>0</v>
      </c>
      <c r="E1054" s="23">
        <v>100</v>
      </c>
      <c r="F1054" s="23">
        <v>100</v>
      </c>
      <c r="G1054" s="16">
        <f>VLOOKUP(A1054,'[1]DRDO Kolar Data'!$A:$E,5,0)*1000</f>
        <v>9100</v>
      </c>
      <c r="H1054" s="24">
        <f t="shared" si="51"/>
        <v>5364448.700000003</v>
      </c>
      <c r="I1054" s="25">
        <f t="shared" si="49"/>
        <v>15.437500000000002</v>
      </c>
      <c r="J1054" s="25">
        <f t="shared" si="50"/>
        <v>20.319881439393949</v>
      </c>
      <c r="K1054" s="17" t="s">
        <v>11</v>
      </c>
    </row>
    <row r="1055" spans="1:11" ht="15.75" customHeight="1" x14ac:dyDescent="0.2">
      <c r="A1055" s="15">
        <v>45858</v>
      </c>
      <c r="B1055" s="3">
        <f>VLOOKUP(A1055,'[1]BADI SID DATA'!A:B,2,0)</f>
        <v>111</v>
      </c>
      <c r="C1055" s="4">
        <v>43550</v>
      </c>
      <c r="D1055" s="9">
        <v>0</v>
      </c>
      <c r="E1055" s="23">
        <v>100</v>
      </c>
      <c r="F1055" s="23">
        <v>100</v>
      </c>
      <c r="G1055" s="16">
        <f>VLOOKUP(A1055,'[1]DRDO Kolar Data'!$A:$E,5,0)*1000</f>
        <v>8900</v>
      </c>
      <c r="H1055" s="24">
        <f t="shared" si="51"/>
        <v>5407998.700000003</v>
      </c>
      <c r="I1055" s="25">
        <f t="shared" si="49"/>
        <v>18.145833333333332</v>
      </c>
      <c r="J1055" s="25">
        <f t="shared" si="50"/>
        <v>20.300295420420429</v>
      </c>
      <c r="K1055" s="17" t="s">
        <v>10</v>
      </c>
    </row>
    <row r="1056" spans="1:11" ht="15.75" customHeight="1" x14ac:dyDescent="0.2">
      <c r="A1056" s="15">
        <v>45859</v>
      </c>
      <c r="B1056" s="3">
        <f>VLOOKUP(A1056,'[1]BADI SID DATA'!A:B,2,0)</f>
        <v>112</v>
      </c>
      <c r="C1056" s="4">
        <v>33150</v>
      </c>
      <c r="D1056" s="9">
        <v>0</v>
      </c>
      <c r="E1056" s="23">
        <v>100</v>
      </c>
      <c r="F1056" s="23">
        <v>100</v>
      </c>
      <c r="G1056" s="16">
        <f>VLOOKUP(A1056,'[1]DRDO Kolar Data'!$A:$E,5,0)*1000</f>
        <v>9900</v>
      </c>
      <c r="H1056" s="24">
        <f t="shared" si="51"/>
        <v>5441148.700000003</v>
      </c>
      <c r="I1056" s="25">
        <f t="shared" si="49"/>
        <v>13.8125</v>
      </c>
      <c r="J1056" s="25">
        <f t="shared" si="50"/>
        <v>20.242368675595248</v>
      </c>
      <c r="K1056" s="17" t="s">
        <v>11</v>
      </c>
    </row>
    <row r="1057" spans="1:11" ht="15.75" customHeight="1" x14ac:dyDescent="0.2">
      <c r="A1057" s="15">
        <v>45860</v>
      </c>
      <c r="B1057" s="3">
        <f>VLOOKUP(A1057,'[1]BADI SID DATA'!A:B,2,0)</f>
        <v>113</v>
      </c>
      <c r="C1057" s="4">
        <v>37700</v>
      </c>
      <c r="D1057" s="9">
        <v>0</v>
      </c>
      <c r="E1057" s="23">
        <v>100</v>
      </c>
      <c r="F1057" s="23">
        <v>100</v>
      </c>
      <c r="G1057" s="16">
        <f>VLOOKUP(A1057,'[1]DRDO Kolar Data'!$A:$E,5,0)*1000</f>
        <v>9200</v>
      </c>
      <c r="H1057" s="24">
        <f t="shared" si="51"/>
        <v>5478848.700000003</v>
      </c>
      <c r="I1057" s="25">
        <f t="shared" si="49"/>
        <v>15.708333333333332</v>
      </c>
      <c r="J1057" s="25">
        <f t="shared" si="50"/>
        <v>20.20224446902656</v>
      </c>
      <c r="K1057" s="17" t="s">
        <v>11</v>
      </c>
    </row>
    <row r="1058" spans="1:11" ht="15.75" customHeight="1" x14ac:dyDescent="0.2">
      <c r="A1058" s="15">
        <v>45861</v>
      </c>
      <c r="B1058" s="3">
        <f>VLOOKUP(A1058,'[1]BADI SID DATA'!A:B,2,0)</f>
        <v>114</v>
      </c>
      <c r="C1058" s="4">
        <v>44200</v>
      </c>
      <c r="D1058" s="9">
        <v>0</v>
      </c>
      <c r="E1058" s="23">
        <v>100</v>
      </c>
      <c r="F1058" s="23">
        <v>100</v>
      </c>
      <c r="G1058" s="16">
        <f>VLOOKUP(A1058,'[1]DRDO Kolar Data'!$A:$E,5,0)*1000</f>
        <v>8500</v>
      </c>
      <c r="H1058" s="24">
        <f t="shared" si="51"/>
        <v>5523048.700000003</v>
      </c>
      <c r="I1058" s="25">
        <f t="shared" si="49"/>
        <v>18.416666666666668</v>
      </c>
      <c r="J1058" s="25">
        <f t="shared" si="50"/>
        <v>20.186581505847965</v>
      </c>
      <c r="K1058" s="17" t="s">
        <v>11</v>
      </c>
    </row>
    <row r="1059" spans="1:11" ht="15.75" customHeight="1" x14ac:dyDescent="0.2">
      <c r="A1059" s="15">
        <v>45862</v>
      </c>
      <c r="B1059" s="3">
        <f>VLOOKUP(A1059,'[1]BADI SID DATA'!A:B,2,0)</f>
        <v>115</v>
      </c>
      <c r="C1059" s="4">
        <v>29900</v>
      </c>
      <c r="D1059" s="9">
        <v>0</v>
      </c>
      <c r="E1059" s="23">
        <v>100</v>
      </c>
      <c r="F1059" s="23">
        <v>100</v>
      </c>
      <c r="G1059" s="16">
        <f>VLOOKUP(A1059,'[1]DRDO Kolar Data'!$A:$E,5,0)*1000</f>
        <v>7400</v>
      </c>
      <c r="H1059" s="24">
        <f t="shared" si="51"/>
        <v>5552948.700000003</v>
      </c>
      <c r="I1059" s="25">
        <f t="shared" si="49"/>
        <v>12.458333333333334</v>
      </c>
      <c r="J1059" s="25">
        <f t="shared" si="50"/>
        <v>20.119379347826097</v>
      </c>
      <c r="K1059" s="17" t="s">
        <v>10</v>
      </c>
    </row>
    <row r="1060" spans="1:11" ht="15.75" customHeight="1" x14ac:dyDescent="0.2">
      <c r="A1060" s="15">
        <v>45863</v>
      </c>
      <c r="B1060" s="3">
        <f>VLOOKUP(A1060,'[1]BADI SID DATA'!A:B,2,0)</f>
        <v>116</v>
      </c>
      <c r="C1060" s="4">
        <v>34450</v>
      </c>
      <c r="D1060" s="9">
        <v>0</v>
      </c>
      <c r="E1060" s="23">
        <v>100</v>
      </c>
      <c r="F1060" s="23">
        <v>100</v>
      </c>
      <c r="G1060" s="16">
        <f>VLOOKUP(A1060,'[1]DRDO Kolar Data'!$A:$E,5,0)*1000</f>
        <v>7800</v>
      </c>
      <c r="H1060" s="24">
        <f t="shared" si="51"/>
        <v>5587398.700000003</v>
      </c>
      <c r="I1060" s="25">
        <f t="shared" si="49"/>
        <v>14.354166666666668</v>
      </c>
      <c r="J1060" s="25">
        <f t="shared" si="50"/>
        <v>20.06967923850576</v>
      </c>
      <c r="K1060" s="17" t="s">
        <v>11</v>
      </c>
    </row>
    <row r="1061" spans="1:11" ht="15.75" customHeight="1" x14ac:dyDescent="0.2">
      <c r="A1061" s="15">
        <v>45864</v>
      </c>
      <c r="B1061" s="3">
        <f>VLOOKUP(A1061,'[1]BADI SID DATA'!A:B,2,0)</f>
        <v>117</v>
      </c>
      <c r="C1061" s="4">
        <v>35750</v>
      </c>
      <c r="D1061" s="9">
        <v>0</v>
      </c>
      <c r="E1061" s="23">
        <v>100</v>
      </c>
      <c r="F1061" s="23">
        <v>100</v>
      </c>
      <c r="G1061" s="16">
        <f>VLOOKUP(A1061,'[1]DRDO Kolar Data'!$A:$E,5,0)*1000</f>
        <v>9500</v>
      </c>
      <c r="H1061" s="24">
        <f t="shared" si="51"/>
        <v>5623148.700000003</v>
      </c>
      <c r="I1061" s="25">
        <f t="shared" si="49"/>
        <v>14.895833333333334</v>
      </c>
      <c r="J1061" s="25">
        <f t="shared" si="50"/>
        <v>20.025458333333344</v>
      </c>
      <c r="K1061" s="17" t="s">
        <v>10</v>
      </c>
    </row>
    <row r="1062" spans="1:11" ht="15.75" customHeight="1" x14ac:dyDescent="0.2">
      <c r="A1062" s="15">
        <v>45865</v>
      </c>
      <c r="B1062" s="3">
        <f>VLOOKUP(A1062,'[1]BADI SID DATA'!A:B,2,0)</f>
        <v>118</v>
      </c>
      <c r="C1062" s="4">
        <v>33800</v>
      </c>
      <c r="D1062" s="9">
        <v>0</v>
      </c>
      <c r="E1062" s="23">
        <v>100</v>
      </c>
      <c r="F1062" s="23">
        <v>100</v>
      </c>
      <c r="G1062" s="16">
        <f>VLOOKUP(A1062,'[1]DRDO Kolar Data'!$A:$E,5,0)*1000</f>
        <v>8700</v>
      </c>
      <c r="H1062" s="24">
        <f t="shared" si="51"/>
        <v>5656948.700000003</v>
      </c>
      <c r="I1062" s="25">
        <f t="shared" si="49"/>
        <v>14.083333333333334</v>
      </c>
      <c r="J1062" s="25">
        <f t="shared" si="50"/>
        <v>19.975101341807918</v>
      </c>
      <c r="K1062" s="17" t="s">
        <v>11</v>
      </c>
    </row>
    <row r="1063" spans="1:11" ht="15.75" customHeight="1" x14ac:dyDescent="0.2">
      <c r="A1063" s="15">
        <v>45866</v>
      </c>
      <c r="B1063" s="3">
        <f>VLOOKUP(A1063,'[1]BADI SID DATA'!A:B,2,0)</f>
        <v>119</v>
      </c>
      <c r="C1063" s="4">
        <v>34450</v>
      </c>
      <c r="D1063" s="9">
        <v>0</v>
      </c>
      <c r="E1063" s="23">
        <v>100</v>
      </c>
      <c r="F1063" s="23">
        <v>100</v>
      </c>
      <c r="G1063" s="16">
        <f>VLOOKUP(A1063,'[1]DRDO Kolar Data'!$A:$E,5,0)*1000</f>
        <v>8900</v>
      </c>
      <c r="H1063" s="24">
        <f t="shared" si="51"/>
        <v>5691398.700000003</v>
      </c>
      <c r="I1063" s="25">
        <f t="shared" si="49"/>
        <v>14.354166666666668</v>
      </c>
      <c r="J1063" s="25">
        <f t="shared" si="50"/>
        <v>19.927866596638665</v>
      </c>
      <c r="K1063" s="17" t="s">
        <v>11</v>
      </c>
    </row>
    <row r="1064" spans="1:11" ht="15.75" customHeight="1" x14ac:dyDescent="0.2">
      <c r="A1064" s="15">
        <v>45867</v>
      </c>
      <c r="B1064" s="3">
        <f>VLOOKUP(A1064,'[1]BADI SID DATA'!A:B,2,0)</f>
        <v>120</v>
      </c>
      <c r="C1064" s="4">
        <v>37700</v>
      </c>
      <c r="D1064" s="9">
        <v>0</v>
      </c>
      <c r="E1064" s="23">
        <v>100</v>
      </c>
      <c r="F1064" s="23">
        <v>100</v>
      </c>
      <c r="G1064" s="16">
        <f>VLOOKUP(A1064,'[1]DRDO Kolar Data'!$A:$E,5,0)*1000</f>
        <v>9100</v>
      </c>
      <c r="H1064" s="24">
        <f t="shared" si="51"/>
        <v>5729098.700000003</v>
      </c>
      <c r="I1064" s="25">
        <f t="shared" si="49"/>
        <v>15.708333333333332</v>
      </c>
      <c r="J1064" s="25">
        <f t="shared" si="50"/>
        <v>19.892703819444453</v>
      </c>
      <c r="K1064" s="17" t="s">
        <v>11</v>
      </c>
    </row>
    <row r="1065" spans="1:11" ht="15.75" customHeight="1" x14ac:dyDescent="0.2">
      <c r="A1065" s="15">
        <v>45868</v>
      </c>
      <c r="B1065" s="3">
        <f>VLOOKUP(A1065,'[1]BADI SID DATA'!A:B,2,0)</f>
        <v>121</v>
      </c>
      <c r="C1065" s="4">
        <v>51350</v>
      </c>
      <c r="D1065" s="9">
        <v>0</v>
      </c>
      <c r="E1065" s="23">
        <v>100</v>
      </c>
      <c r="F1065" s="23">
        <v>100</v>
      </c>
      <c r="G1065" s="16">
        <f>VLOOKUP(A1065,'[1]DRDO Kolar Data'!$A:$E,5,0)*1000</f>
        <v>10100</v>
      </c>
      <c r="H1065" s="24">
        <f t="shared" si="51"/>
        <v>5780448.700000003</v>
      </c>
      <c r="I1065" s="25">
        <f t="shared" si="49"/>
        <v>21.395833333333332</v>
      </c>
      <c r="J1065" s="25">
        <f t="shared" si="50"/>
        <v>19.905126377410479</v>
      </c>
      <c r="K1065" s="17" t="s">
        <v>13</v>
      </c>
    </row>
    <row r="1066" spans="1:11" ht="15.75" customHeight="1" x14ac:dyDescent="0.2">
      <c r="A1066" s="15">
        <v>45869</v>
      </c>
      <c r="B1066" s="3">
        <f>VLOOKUP(A1066,'[1]BADI SID DATA'!A:B,2,0)</f>
        <v>122</v>
      </c>
      <c r="C1066" s="4">
        <v>35100</v>
      </c>
      <c r="D1066" s="9">
        <v>0</v>
      </c>
      <c r="E1066" s="23">
        <v>100</v>
      </c>
      <c r="F1066" s="23">
        <v>100</v>
      </c>
      <c r="G1066" s="16">
        <f>VLOOKUP(A1066,'[1]DRDO Kolar Data'!$A:$E,5,0)*1000</f>
        <v>7800</v>
      </c>
      <c r="H1066" s="24">
        <f t="shared" si="51"/>
        <v>5815548.700000003</v>
      </c>
      <c r="I1066" s="25">
        <f t="shared" si="49"/>
        <v>14.625</v>
      </c>
      <c r="J1066" s="25">
        <f t="shared" si="50"/>
        <v>19.861846653005475</v>
      </c>
      <c r="K1066" s="17" t="s">
        <v>11</v>
      </c>
    </row>
    <row r="1067" spans="1:11" ht="15.75" customHeight="1" x14ac:dyDescent="0.2">
      <c r="A1067" s="15">
        <v>45870</v>
      </c>
      <c r="B1067" s="3">
        <f>VLOOKUP(A1067,'[1]BADI SID DATA'!A:B,2,0)</f>
        <v>123</v>
      </c>
      <c r="C1067" s="4">
        <v>56550</v>
      </c>
      <c r="D1067" s="9">
        <v>0</v>
      </c>
      <c r="E1067" s="23">
        <v>100</v>
      </c>
      <c r="F1067" s="23">
        <v>100</v>
      </c>
      <c r="G1067" s="16">
        <f>VLOOKUP(A1067,'[1]DRDO Kolar Data'!$A:$E,5,0)*1000</f>
        <v>10100</v>
      </c>
      <c r="H1067" s="24">
        <f t="shared" si="51"/>
        <v>5872098.700000003</v>
      </c>
      <c r="I1067" s="25">
        <f t="shared" si="49"/>
        <v>23.5625</v>
      </c>
      <c r="J1067" s="25">
        <f t="shared" si="50"/>
        <v>19.891933265582665</v>
      </c>
      <c r="K1067" s="17" t="s">
        <v>13</v>
      </c>
    </row>
    <row r="1068" spans="1:11" ht="15.75" customHeight="1" x14ac:dyDescent="0.2">
      <c r="A1068" s="15">
        <v>45871</v>
      </c>
      <c r="B1068" s="3">
        <f>VLOOKUP(A1068,'[1]BADI SID DATA'!A:B,2,0)</f>
        <v>124</v>
      </c>
      <c r="C1068" s="4">
        <v>55250</v>
      </c>
      <c r="D1068" s="9">
        <v>0</v>
      </c>
      <c r="E1068" s="23">
        <v>100</v>
      </c>
      <c r="F1068" s="23">
        <v>100</v>
      </c>
      <c r="G1068" s="16">
        <f>VLOOKUP(A1068,'[1]DRDO Kolar Data'!$A:$E,5,0)*1000</f>
        <v>10000</v>
      </c>
      <c r="H1068" s="24">
        <f t="shared" si="51"/>
        <v>5927348.700000003</v>
      </c>
      <c r="I1068" s="25">
        <f t="shared" si="49"/>
        <v>23.020833333333332</v>
      </c>
      <c r="J1068" s="25">
        <f t="shared" si="50"/>
        <v>19.917166330645173</v>
      </c>
      <c r="K1068" s="17" t="s">
        <v>13</v>
      </c>
    </row>
    <row r="1069" spans="1:11" ht="15.75" customHeight="1" x14ac:dyDescent="0.2">
      <c r="A1069" s="15">
        <v>45872</v>
      </c>
      <c r="B1069" s="3">
        <f>VLOOKUP(A1069,'[1]BADI SID DATA'!A:B,2,0)</f>
        <v>125</v>
      </c>
      <c r="C1069" s="4">
        <v>38350</v>
      </c>
      <c r="D1069" s="9">
        <v>0</v>
      </c>
      <c r="E1069" s="23">
        <v>100</v>
      </c>
      <c r="F1069" s="23">
        <v>100</v>
      </c>
      <c r="G1069" s="16">
        <f>VLOOKUP(A1069,'[1]DRDO Kolar Data'!$A:$E,5,0)*1000</f>
        <v>9900</v>
      </c>
      <c r="H1069" s="24">
        <f t="shared" si="51"/>
        <v>5965698.700000003</v>
      </c>
      <c r="I1069" s="25">
        <f t="shared" si="49"/>
        <v>15.979166666666666</v>
      </c>
      <c r="J1069" s="25">
        <f t="shared" si="50"/>
        <v>19.885662333333343</v>
      </c>
      <c r="K1069" s="17" t="s">
        <v>11</v>
      </c>
    </row>
    <row r="1070" spans="1:11" ht="15.75" customHeight="1" x14ac:dyDescent="0.2">
      <c r="A1070" s="15">
        <v>45873</v>
      </c>
      <c r="B1070" s="3">
        <f>VLOOKUP(A1070,'[1]BADI SID DATA'!A:B,2,0)</f>
        <v>126</v>
      </c>
      <c r="C1070" s="4">
        <v>42250</v>
      </c>
      <c r="D1070" s="9">
        <v>0</v>
      </c>
      <c r="E1070" s="23">
        <v>100</v>
      </c>
      <c r="F1070" s="23">
        <v>100</v>
      </c>
      <c r="G1070" s="16">
        <f>VLOOKUP(A1070,'[1]DRDO Kolar Data'!$A:$E,5,0)*1000</f>
        <v>10500</v>
      </c>
      <c r="H1070" s="24">
        <f t="shared" si="51"/>
        <v>6007948.700000003</v>
      </c>
      <c r="I1070" s="25">
        <f t="shared" si="49"/>
        <v>17.604166666666668</v>
      </c>
      <c r="J1070" s="25">
        <f t="shared" si="50"/>
        <v>19.867555224867733</v>
      </c>
      <c r="K1070" s="17" t="s">
        <v>10</v>
      </c>
    </row>
    <row r="1071" spans="1:11" ht="15.75" customHeight="1" x14ac:dyDescent="0.2">
      <c r="A1071" s="15">
        <v>45874</v>
      </c>
      <c r="B1071" s="3">
        <f>VLOOKUP(A1071,'[1]BADI SID DATA'!A:B,2,0)</f>
        <v>127</v>
      </c>
      <c r="C1071" s="4">
        <v>44850</v>
      </c>
      <c r="D1071" s="9">
        <v>0</v>
      </c>
      <c r="E1071" s="23">
        <v>100</v>
      </c>
      <c r="F1071" s="23">
        <v>100</v>
      </c>
      <c r="G1071" s="16">
        <f>VLOOKUP(A1071,'[1]DRDO Kolar Data'!$A:$E,5,0)*1000</f>
        <v>10300</v>
      </c>
      <c r="H1071" s="24">
        <f t="shared" si="51"/>
        <v>6052798.700000003</v>
      </c>
      <c r="I1071" s="25">
        <f t="shared" si="49"/>
        <v>18.6875</v>
      </c>
      <c r="J1071" s="25">
        <f t="shared" si="50"/>
        <v>19.858263451443577</v>
      </c>
      <c r="K1071" s="17" t="s">
        <v>10</v>
      </c>
    </row>
    <row r="1072" spans="1:11" ht="15.75" customHeight="1" x14ac:dyDescent="0.2">
      <c r="A1072" s="15">
        <v>45875</v>
      </c>
      <c r="B1072" s="3">
        <f>VLOOKUP(A1072,'[1]BADI SID DATA'!A:B,2,0)</f>
        <v>128</v>
      </c>
      <c r="C1072" s="4">
        <v>50050</v>
      </c>
      <c r="D1072" s="9">
        <v>0</v>
      </c>
      <c r="E1072" s="23">
        <v>100</v>
      </c>
      <c r="F1072" s="23">
        <v>100</v>
      </c>
      <c r="G1072" s="16">
        <f>VLOOKUP(A1072,'[1]DRDO Kolar Data'!$A:$E,5,0)*1000</f>
        <v>9900</v>
      </c>
      <c r="H1072" s="24">
        <f t="shared" si="51"/>
        <v>6102848.700000003</v>
      </c>
      <c r="I1072" s="25">
        <f t="shared" si="49"/>
        <v>20.854166666666664</v>
      </c>
      <c r="J1072" s="25">
        <f t="shared" si="50"/>
        <v>19.866043945312509</v>
      </c>
      <c r="K1072" s="17" t="s">
        <v>13</v>
      </c>
    </row>
    <row r="1073" spans="1:11" ht="15.75" customHeight="1" x14ac:dyDescent="0.2">
      <c r="A1073" s="15">
        <v>45876</v>
      </c>
      <c r="B1073" s="3">
        <f>VLOOKUP(A1073,'[1]BADI SID DATA'!A:B,2,0)</f>
        <v>129</v>
      </c>
      <c r="C1073" s="4">
        <v>50050</v>
      </c>
      <c r="D1073" s="9">
        <v>0</v>
      </c>
      <c r="E1073" s="23">
        <v>100</v>
      </c>
      <c r="F1073" s="23">
        <v>100</v>
      </c>
      <c r="G1073" s="16">
        <f>VLOOKUP(A1073,'[1]DRDO Kolar Data'!$A:$E,5,0)*1000</f>
        <v>8500</v>
      </c>
      <c r="H1073" s="24">
        <f t="shared" si="51"/>
        <v>6152898.700000003</v>
      </c>
      <c r="I1073" s="25">
        <f t="shared" si="49"/>
        <v>20.854166666666664</v>
      </c>
      <c r="J1073" s="25">
        <f t="shared" si="50"/>
        <v>19.87370381136952</v>
      </c>
      <c r="K1073" s="17" t="s">
        <v>10</v>
      </c>
    </row>
    <row r="1074" spans="1:11" ht="15.75" customHeight="1" x14ac:dyDescent="0.2">
      <c r="A1074" s="15">
        <v>45877</v>
      </c>
      <c r="B1074" s="3">
        <f>VLOOKUP(A1074,'[1]BADI SID DATA'!A:B,2,0)</f>
        <v>130</v>
      </c>
      <c r="C1074" s="4">
        <v>45500</v>
      </c>
      <c r="D1074" s="9">
        <v>0</v>
      </c>
      <c r="E1074" s="23">
        <v>100</v>
      </c>
      <c r="F1074" s="23">
        <v>100</v>
      </c>
      <c r="G1074" s="16">
        <f>VLOOKUP(A1074,'[1]DRDO Kolar Data'!$A:$E,5,0)*1000</f>
        <v>10800</v>
      </c>
      <c r="H1074" s="24">
        <f t="shared" si="51"/>
        <v>6198398.700000003</v>
      </c>
      <c r="I1074" s="25">
        <f t="shared" si="49"/>
        <v>18.958333333333332</v>
      </c>
      <c r="J1074" s="25">
        <f t="shared" si="50"/>
        <v>19.866662500000011</v>
      </c>
      <c r="K1074" s="17" t="s">
        <v>10</v>
      </c>
    </row>
    <row r="1075" spans="1:11" ht="15.75" customHeight="1" x14ac:dyDescent="0.2">
      <c r="A1075" s="15">
        <v>45878</v>
      </c>
      <c r="B1075" s="3">
        <f>VLOOKUP(A1075,'[1]BADI SID DATA'!A:B,2,0)</f>
        <v>131</v>
      </c>
      <c r="C1075" s="4">
        <v>40950</v>
      </c>
      <c r="D1075" s="9">
        <v>0</v>
      </c>
      <c r="E1075" s="23">
        <v>100</v>
      </c>
      <c r="F1075" s="23">
        <v>100</v>
      </c>
      <c r="G1075" s="16">
        <f>VLOOKUP(A1075,'[1]DRDO Kolar Data'!$A:$E,5,0)*1000</f>
        <v>10700</v>
      </c>
      <c r="H1075" s="24">
        <f t="shared" si="51"/>
        <v>6239348.700000003</v>
      </c>
      <c r="I1075" s="25">
        <f t="shared" si="49"/>
        <v>17.0625</v>
      </c>
      <c r="J1075" s="25">
        <f t="shared" si="50"/>
        <v>19.845256679389323</v>
      </c>
      <c r="K1075" s="17" t="s">
        <v>10</v>
      </c>
    </row>
    <row r="1076" spans="1:11" ht="15.75" customHeight="1" x14ac:dyDescent="0.2">
      <c r="A1076" s="15">
        <v>45879</v>
      </c>
      <c r="B1076" s="3">
        <f>VLOOKUP(A1076,'[1]BADI SID DATA'!A:B,2,0)</f>
        <v>132</v>
      </c>
      <c r="C1076" s="4">
        <v>37700</v>
      </c>
      <c r="D1076" s="9">
        <v>0</v>
      </c>
      <c r="E1076" s="23">
        <v>100</v>
      </c>
      <c r="F1076" s="23">
        <v>100</v>
      </c>
      <c r="G1076" s="16">
        <f>VLOOKUP(A1076,'[1]DRDO Kolar Data'!$A:$E,5,0)*1000</f>
        <v>10900</v>
      </c>
      <c r="H1076" s="24">
        <f t="shared" si="51"/>
        <v>6277048.700000003</v>
      </c>
      <c r="I1076" s="25">
        <f t="shared" si="49"/>
        <v>15.708333333333332</v>
      </c>
      <c r="J1076" s="25">
        <f t="shared" si="50"/>
        <v>19.813916351010111</v>
      </c>
      <c r="K1076" s="17" t="s">
        <v>11</v>
      </c>
    </row>
    <row r="1077" spans="1:11" ht="15.75" customHeight="1" x14ac:dyDescent="0.2">
      <c r="A1077" s="15">
        <v>45880</v>
      </c>
      <c r="B1077" s="3">
        <f>VLOOKUP(A1077,'[1]BADI SID DATA'!A:B,2,0)</f>
        <v>133</v>
      </c>
      <c r="C1077" s="4">
        <v>40950</v>
      </c>
      <c r="D1077" s="9">
        <v>0</v>
      </c>
      <c r="E1077" s="23">
        <v>100</v>
      </c>
      <c r="F1077" s="23">
        <v>100</v>
      </c>
      <c r="G1077" s="16">
        <f>VLOOKUP(A1077,'[1]DRDO Kolar Data'!$A:$E,5,0)*1000</f>
        <v>10800</v>
      </c>
      <c r="H1077" s="24">
        <f t="shared" si="51"/>
        <v>6317998.700000003</v>
      </c>
      <c r="I1077" s="25">
        <f t="shared" si="49"/>
        <v>17.0625</v>
      </c>
      <c r="J1077" s="25">
        <f t="shared" si="50"/>
        <v>19.793229010025073</v>
      </c>
      <c r="K1077" s="17" t="s">
        <v>11</v>
      </c>
    </row>
    <row r="1078" spans="1:11" ht="15.75" customHeight="1" x14ac:dyDescent="0.2">
      <c r="A1078" s="15">
        <v>45881</v>
      </c>
      <c r="B1078" s="3">
        <f>VLOOKUP(A1078,'[1]BADI SID DATA'!A:B,2,0)</f>
        <v>134</v>
      </c>
      <c r="C1078" s="4">
        <v>32500</v>
      </c>
      <c r="D1078" s="9">
        <v>0</v>
      </c>
      <c r="E1078" s="23">
        <v>100</v>
      </c>
      <c r="F1078" s="23">
        <v>100</v>
      </c>
      <c r="G1078" s="16">
        <f>VLOOKUP(A1078,'[1]DRDO Kolar Data'!$A:$E,5,0)*1000</f>
        <v>10200</v>
      </c>
      <c r="H1078" s="24">
        <f t="shared" si="51"/>
        <v>6350498.700000003</v>
      </c>
      <c r="I1078" s="25">
        <f t="shared" si="49"/>
        <v>13.541666666666666</v>
      </c>
      <c r="J1078" s="25">
        <f t="shared" si="50"/>
        <v>19.746575559701501</v>
      </c>
      <c r="K1078" s="17" t="s">
        <v>11</v>
      </c>
    </row>
    <row r="1079" spans="1:11" ht="15.75" customHeight="1" x14ac:dyDescent="0.2">
      <c r="A1079" s="15">
        <v>45882</v>
      </c>
      <c r="B1079" s="3">
        <f>VLOOKUP(A1079,'[1]BADI SID DATA'!A:B,2,0)</f>
        <v>135</v>
      </c>
      <c r="C1079" s="4">
        <v>27950</v>
      </c>
      <c r="D1079" s="9">
        <v>0</v>
      </c>
      <c r="E1079" s="23">
        <v>100</v>
      </c>
      <c r="F1079" s="23">
        <v>100</v>
      </c>
      <c r="G1079" s="16">
        <f>VLOOKUP(A1079,'[1]DRDO Kolar Data'!$A:$E,5,0)*1000</f>
        <v>10000</v>
      </c>
      <c r="H1079" s="24">
        <f t="shared" si="51"/>
        <v>6378448.700000003</v>
      </c>
      <c r="I1079" s="25">
        <f t="shared" si="49"/>
        <v>11.645833333333332</v>
      </c>
      <c r="J1079" s="25">
        <f t="shared" si="50"/>
        <v>19.686570061728403</v>
      </c>
      <c r="K1079" s="17" t="s">
        <v>13</v>
      </c>
    </row>
    <row r="1080" spans="1:11" ht="15.75" customHeight="1" x14ac:dyDescent="0.2">
      <c r="A1080" s="15">
        <v>45883</v>
      </c>
      <c r="B1080" s="3">
        <f>VLOOKUP(A1080,'[1]BADI SID DATA'!A:B,2,0)</f>
        <v>136</v>
      </c>
      <c r="C1080" s="4">
        <v>36400</v>
      </c>
      <c r="D1080" s="9">
        <v>0</v>
      </c>
      <c r="E1080" s="23">
        <v>100</v>
      </c>
      <c r="F1080" s="23">
        <v>100</v>
      </c>
      <c r="G1080" s="16">
        <f>VLOOKUP(A1080,'[1]DRDO Kolar Data'!$A:$E,5,0)*1000</f>
        <v>10100</v>
      </c>
      <c r="H1080" s="24">
        <f t="shared" si="51"/>
        <v>6414848.700000003</v>
      </c>
      <c r="I1080" s="25">
        <f t="shared" si="49"/>
        <v>15.166666666666668</v>
      </c>
      <c r="J1080" s="25">
        <f t="shared" si="50"/>
        <v>19.653335477941187</v>
      </c>
      <c r="K1080" s="17" t="s">
        <v>13</v>
      </c>
    </row>
    <row r="1081" spans="1:11" ht="15.75" customHeight="1" x14ac:dyDescent="0.2">
      <c r="A1081" s="15">
        <v>45884</v>
      </c>
      <c r="B1081" s="3">
        <f>VLOOKUP(A1081,'[1]BADI SID DATA'!A:B,2,0)</f>
        <v>137</v>
      </c>
      <c r="C1081" s="4">
        <v>41600</v>
      </c>
      <c r="D1081" s="9">
        <v>0</v>
      </c>
      <c r="E1081" s="23">
        <v>100</v>
      </c>
      <c r="F1081" s="23">
        <v>100</v>
      </c>
      <c r="G1081" s="16">
        <f>VLOOKUP(A1081,'[1]DRDO Kolar Data'!$A:$E,5,0)*1000</f>
        <v>10500</v>
      </c>
      <c r="H1081" s="24">
        <f t="shared" si="51"/>
        <v>6456448.700000003</v>
      </c>
      <c r="I1081" s="25">
        <f t="shared" si="49"/>
        <v>17.333333333333336</v>
      </c>
      <c r="J1081" s="25">
        <f t="shared" si="50"/>
        <v>19.63640115571777</v>
      </c>
      <c r="K1081" s="17" t="s">
        <v>10</v>
      </c>
    </row>
    <row r="1082" spans="1:11" ht="15.75" customHeight="1" x14ac:dyDescent="0.2">
      <c r="A1082" s="15">
        <v>45885</v>
      </c>
      <c r="B1082" s="3">
        <f>VLOOKUP(A1082,'[1]BADI SID DATA'!A:B,2,0)</f>
        <v>138</v>
      </c>
      <c r="C1082" s="4">
        <v>46150</v>
      </c>
      <c r="D1082" s="9">
        <v>0</v>
      </c>
      <c r="E1082" s="23">
        <v>100</v>
      </c>
      <c r="F1082" s="23">
        <v>100</v>
      </c>
      <c r="G1082" s="16">
        <f>VLOOKUP(A1082,'[1]DRDO Kolar Data'!$A:$E,5,0)*1000</f>
        <v>10000</v>
      </c>
      <c r="H1082" s="24">
        <f t="shared" si="51"/>
        <v>6502598.700000003</v>
      </c>
      <c r="I1082" s="25">
        <f t="shared" si="49"/>
        <v>19.229166666666668</v>
      </c>
      <c r="J1082" s="25">
        <f t="shared" si="50"/>
        <v>19.633450181159429</v>
      </c>
      <c r="K1082" s="17" t="s">
        <v>10</v>
      </c>
    </row>
    <row r="1083" spans="1:11" ht="15.75" customHeight="1" x14ac:dyDescent="0.2">
      <c r="A1083" s="15">
        <v>45886</v>
      </c>
      <c r="B1083" s="3">
        <f>VLOOKUP(A1083,'[1]BADI SID DATA'!A:B,2,0)</f>
        <v>139</v>
      </c>
      <c r="C1083" s="4">
        <v>29900</v>
      </c>
      <c r="D1083" s="9">
        <v>0</v>
      </c>
      <c r="E1083" s="23">
        <v>100</v>
      </c>
      <c r="F1083" s="23">
        <v>100</v>
      </c>
      <c r="G1083" s="16">
        <f>VLOOKUP(A1083,'[1]DRDO Kolar Data'!$A:$E,5,0)*1000</f>
        <v>9900</v>
      </c>
      <c r="H1083" s="24">
        <f t="shared" si="51"/>
        <v>6532498.700000003</v>
      </c>
      <c r="I1083" s="25">
        <f t="shared" si="49"/>
        <v>12.458333333333334</v>
      </c>
      <c r="J1083" s="25">
        <f t="shared" si="50"/>
        <v>19.581830635491613</v>
      </c>
      <c r="K1083" s="17" t="s">
        <v>10</v>
      </c>
    </row>
    <row r="1084" spans="1:11" ht="15.75" customHeight="1" x14ac:dyDescent="0.2">
      <c r="A1084" s="15">
        <v>45887</v>
      </c>
      <c r="B1084" s="3">
        <f>VLOOKUP(A1084,'[1]BADI SID DATA'!A:B,2,0)</f>
        <v>140</v>
      </c>
      <c r="C1084" s="4">
        <v>23400</v>
      </c>
      <c r="D1084" s="9">
        <v>0</v>
      </c>
      <c r="E1084" s="23">
        <v>100</v>
      </c>
      <c r="F1084" s="23">
        <v>100</v>
      </c>
      <c r="G1084" s="16">
        <f>VLOOKUP(A1084,'[1]DRDO Kolar Data'!$A:$E,5,0)*1000</f>
        <v>8500</v>
      </c>
      <c r="H1084" s="24">
        <f t="shared" si="51"/>
        <v>6555898.700000003</v>
      </c>
      <c r="I1084" s="25">
        <f t="shared" si="49"/>
        <v>9.75</v>
      </c>
      <c r="J1084" s="25">
        <f t="shared" si="50"/>
        <v>19.511603273809534</v>
      </c>
      <c r="K1084" s="17" t="s">
        <v>13</v>
      </c>
    </row>
    <row r="1085" spans="1:11" ht="15.75" customHeight="1" x14ac:dyDescent="0.2">
      <c r="A1085" s="15">
        <v>45888</v>
      </c>
      <c r="B1085" s="3">
        <f>VLOOKUP(A1085,'[1]BADI SID DATA'!A:B,2,0)</f>
        <v>141</v>
      </c>
      <c r="C1085" s="4">
        <v>31850</v>
      </c>
      <c r="D1085" s="9">
        <v>0</v>
      </c>
      <c r="E1085" s="23">
        <v>100</v>
      </c>
      <c r="F1085" s="23">
        <v>100</v>
      </c>
      <c r="G1085" s="16">
        <f>VLOOKUP(A1085,'[1]DRDO Kolar Data'!$A:$E,5,0)*1000</f>
        <v>8900</v>
      </c>
      <c r="H1085" s="24">
        <f t="shared" si="51"/>
        <v>6587748.700000003</v>
      </c>
      <c r="I1085" s="25">
        <f t="shared" si="49"/>
        <v>13.270833333333334</v>
      </c>
      <c r="J1085" s="25">
        <f t="shared" si="50"/>
        <v>19.467342494089841</v>
      </c>
      <c r="K1085" s="17" t="s">
        <v>13</v>
      </c>
    </row>
    <row r="1086" spans="1:11" ht="15.75" customHeight="1" x14ac:dyDescent="0.2">
      <c r="A1086" s="15">
        <v>45889</v>
      </c>
      <c r="B1086" s="3">
        <f>VLOOKUP(A1086,'[1]BADI SID DATA'!A:B,2,0)</f>
        <v>142</v>
      </c>
      <c r="C1086" s="4">
        <v>59150</v>
      </c>
      <c r="D1086" s="9">
        <v>0</v>
      </c>
      <c r="E1086" s="23">
        <v>100</v>
      </c>
      <c r="F1086" s="23">
        <v>100</v>
      </c>
      <c r="G1086" s="16">
        <f>VLOOKUP(A1086,'[1]DRDO Kolar Data'!$A:$E,5,0)*1000</f>
        <v>10500</v>
      </c>
      <c r="H1086" s="24">
        <f t="shared" si="51"/>
        <v>6646898.700000003</v>
      </c>
      <c r="I1086" s="25">
        <f t="shared" si="49"/>
        <v>24.645833333333332</v>
      </c>
      <c r="J1086" s="25">
        <f t="shared" si="50"/>
        <v>19.503810739436627</v>
      </c>
      <c r="K1086" s="17" t="s">
        <v>13</v>
      </c>
    </row>
    <row r="1087" spans="1:11" ht="15.75" customHeight="1" x14ac:dyDescent="0.2">
      <c r="A1087" s="15">
        <v>45890</v>
      </c>
      <c r="B1087" s="3">
        <f>VLOOKUP(A1087,'[1]BADI SID DATA'!A:B,2,0)</f>
        <v>143</v>
      </c>
      <c r="C1087" s="4">
        <v>53950</v>
      </c>
      <c r="D1087" s="9">
        <v>0</v>
      </c>
      <c r="E1087" s="23">
        <v>100</v>
      </c>
      <c r="F1087" s="23">
        <v>100</v>
      </c>
      <c r="G1087" s="16">
        <f>VLOOKUP(A1087,'[1]DRDO Kolar Data'!$A:$E,5,0)*1000</f>
        <v>10100</v>
      </c>
      <c r="H1087" s="24">
        <f t="shared" si="51"/>
        <v>6700848.700000003</v>
      </c>
      <c r="I1087" s="25">
        <f t="shared" si="49"/>
        <v>22.479166666666668</v>
      </c>
      <c r="J1087" s="25">
        <f t="shared" si="50"/>
        <v>19.524617424242432</v>
      </c>
      <c r="K1087" s="17" t="s">
        <v>13</v>
      </c>
    </row>
    <row r="1088" spans="1:11" ht="15.75" customHeight="1" x14ac:dyDescent="0.2">
      <c r="A1088" s="15">
        <v>45891</v>
      </c>
      <c r="B1088" s="3">
        <f>VLOOKUP(A1088,'[1]BADI SID DATA'!A:B,2,0)</f>
        <v>144</v>
      </c>
      <c r="C1088" s="4">
        <v>55250</v>
      </c>
      <c r="D1088" s="9">
        <v>0</v>
      </c>
      <c r="E1088" s="23">
        <v>100</v>
      </c>
      <c r="F1088" s="23">
        <v>100</v>
      </c>
      <c r="G1088" s="16">
        <f>VLOOKUP(A1088,'[1]DRDO Kolar Data'!$A:$E,5,0)*1000</f>
        <v>10900</v>
      </c>
      <c r="H1088" s="24">
        <f t="shared" si="51"/>
        <v>6756098.700000003</v>
      </c>
      <c r="I1088" s="25">
        <f t="shared" si="49"/>
        <v>23.020833333333332</v>
      </c>
      <c r="J1088" s="25">
        <f t="shared" si="50"/>
        <v>19.548896701388898</v>
      </c>
      <c r="K1088" s="17" t="s">
        <v>13</v>
      </c>
    </row>
    <row r="1089" spans="1:11" ht="15.75" customHeight="1" x14ac:dyDescent="0.2">
      <c r="A1089" s="15">
        <v>45892</v>
      </c>
      <c r="B1089" s="3">
        <f>VLOOKUP(A1089,'[1]BADI SID DATA'!A:B,2,0)</f>
        <v>145</v>
      </c>
      <c r="C1089" s="4">
        <v>50700</v>
      </c>
      <c r="D1089" s="9">
        <v>0</v>
      </c>
      <c r="E1089" s="23">
        <v>100</v>
      </c>
      <c r="F1089" s="23">
        <v>100</v>
      </c>
      <c r="G1089" s="16">
        <f>VLOOKUP(A1089,'[1]DRDO Kolar Data'!$A:$E,5,0)*1000</f>
        <v>10200</v>
      </c>
      <c r="H1089" s="24">
        <f t="shared" si="51"/>
        <v>6806798.700000003</v>
      </c>
      <c r="I1089" s="25">
        <f t="shared" si="49"/>
        <v>21.125</v>
      </c>
      <c r="J1089" s="25">
        <f t="shared" si="50"/>
        <v>19.559766379310354</v>
      </c>
      <c r="K1089" s="17" t="s">
        <v>13</v>
      </c>
    </row>
    <row r="1090" spans="1:11" ht="15.75" customHeight="1" x14ac:dyDescent="0.2">
      <c r="A1090" s="15">
        <v>45893</v>
      </c>
      <c r="B1090" s="3">
        <f>VLOOKUP(A1090,'[1]BADI SID DATA'!A:B,2,0)</f>
        <v>146</v>
      </c>
      <c r="C1090" s="4">
        <v>61100</v>
      </c>
      <c r="D1090" s="9">
        <v>0</v>
      </c>
      <c r="E1090" s="23">
        <v>100</v>
      </c>
      <c r="F1090" s="23">
        <v>100</v>
      </c>
      <c r="G1090" s="16">
        <f>VLOOKUP(A1090,'[1]DRDO Kolar Data'!$A:$E,5,0)*1000</f>
        <v>10000</v>
      </c>
      <c r="H1090" s="24">
        <f t="shared" si="51"/>
        <v>6867898.700000003</v>
      </c>
      <c r="I1090" s="25">
        <f t="shared" si="49"/>
        <v>25.458333333333332</v>
      </c>
      <c r="J1090" s="25">
        <f t="shared" si="50"/>
        <v>19.600167522831057</v>
      </c>
      <c r="K1090" s="17" t="s">
        <v>13</v>
      </c>
    </row>
    <row r="1091" spans="1:11" ht="15.75" customHeight="1" x14ac:dyDescent="0.2">
      <c r="A1091" s="15">
        <v>45894</v>
      </c>
      <c r="B1091" s="3">
        <f>VLOOKUP(A1091,'[1]BADI SID DATA'!A:B,2,0)</f>
        <v>147</v>
      </c>
      <c r="C1091" s="4">
        <v>52650</v>
      </c>
      <c r="D1091" s="9">
        <v>0</v>
      </c>
      <c r="E1091" s="23">
        <v>100</v>
      </c>
      <c r="F1091" s="23">
        <v>100</v>
      </c>
      <c r="G1091" s="16">
        <f>VLOOKUP(A1091,'[1]DRDO Kolar Data'!$A:$E,5,0)*1000</f>
        <v>9800</v>
      </c>
      <c r="H1091" s="24">
        <f t="shared" si="51"/>
        <v>6920548.700000003</v>
      </c>
      <c r="I1091" s="25">
        <f t="shared" ref="I1091:I1154" si="52">(C1091/(10*24*1000))*100</f>
        <v>21.9375</v>
      </c>
      <c r="J1091" s="25">
        <f t="shared" ref="J1091:J1154" si="53">(H1091/(24*B1091*10*1000))*100</f>
        <v>19.61606774376418</v>
      </c>
      <c r="K1091" s="17" t="s">
        <v>13</v>
      </c>
    </row>
    <row r="1092" spans="1:11" ht="15.75" customHeight="1" x14ac:dyDescent="0.2">
      <c r="A1092" s="15">
        <v>45895</v>
      </c>
      <c r="B1092" s="3">
        <f>VLOOKUP(A1092,'[1]BADI SID DATA'!A:B,2,0)</f>
        <v>148</v>
      </c>
      <c r="C1092" s="4">
        <v>46800</v>
      </c>
      <c r="D1092" s="9">
        <v>0</v>
      </c>
      <c r="E1092" s="23">
        <v>100</v>
      </c>
      <c r="F1092" s="23">
        <v>100</v>
      </c>
      <c r="G1092" s="16">
        <f>VLOOKUP(A1092,'[1]DRDO Kolar Data'!$A:$E,5,0)*1000</f>
        <v>11100</v>
      </c>
      <c r="H1092" s="24">
        <f t="shared" si="51"/>
        <v>6967348.700000003</v>
      </c>
      <c r="I1092" s="25">
        <f t="shared" si="52"/>
        <v>19.5</v>
      </c>
      <c r="J1092" s="25">
        <f t="shared" si="53"/>
        <v>19.615283502252261</v>
      </c>
      <c r="K1092" s="17" t="s">
        <v>13</v>
      </c>
    </row>
    <row r="1093" spans="1:11" ht="15.75" customHeight="1" x14ac:dyDescent="0.2">
      <c r="A1093" s="15">
        <v>45896</v>
      </c>
      <c r="B1093" s="3">
        <f>VLOOKUP(A1093,'[1]BADI SID DATA'!A:B,2,0)</f>
        <v>149</v>
      </c>
      <c r="C1093" s="4">
        <v>52000</v>
      </c>
      <c r="D1093" s="9">
        <v>0</v>
      </c>
      <c r="E1093" s="23">
        <v>100</v>
      </c>
      <c r="F1093" s="23">
        <v>100</v>
      </c>
      <c r="G1093" s="16">
        <f>VLOOKUP(A1093,'[1]DRDO Kolar Data'!$A:$E,5,0)*1000</f>
        <v>10300</v>
      </c>
      <c r="H1093" s="24">
        <f t="shared" ref="H1093:H1156" si="54">C1093+H1092</f>
        <v>7019348.700000003</v>
      </c>
      <c r="I1093" s="25">
        <f t="shared" si="52"/>
        <v>21.666666666666668</v>
      </c>
      <c r="J1093" s="25">
        <f t="shared" si="53"/>
        <v>19.629051174496652</v>
      </c>
      <c r="K1093" s="17" t="s">
        <v>37</v>
      </c>
    </row>
    <row r="1094" spans="1:11" ht="15.75" customHeight="1" x14ac:dyDescent="0.2">
      <c r="A1094" s="15">
        <v>45897</v>
      </c>
      <c r="B1094" s="3">
        <f>VLOOKUP(A1094,'[1]BADI SID DATA'!A:B,2,0)</f>
        <v>150</v>
      </c>
      <c r="C1094" s="4">
        <v>55250</v>
      </c>
      <c r="D1094" s="9">
        <v>0</v>
      </c>
      <c r="E1094" s="23">
        <v>100</v>
      </c>
      <c r="F1094" s="23">
        <v>100</v>
      </c>
      <c r="G1094" s="16">
        <f>VLOOKUP(A1094,'[1]DRDO Kolar Data'!$A:$E,5,0)*1000</f>
        <v>8900</v>
      </c>
      <c r="H1094" s="24">
        <f t="shared" si="54"/>
        <v>7074598.700000003</v>
      </c>
      <c r="I1094" s="25">
        <f t="shared" si="52"/>
        <v>23.020833333333332</v>
      </c>
      <c r="J1094" s="25">
        <f t="shared" si="53"/>
        <v>19.651663055555563</v>
      </c>
      <c r="K1094" s="17" t="s">
        <v>38</v>
      </c>
    </row>
    <row r="1095" spans="1:11" ht="15.75" customHeight="1" x14ac:dyDescent="0.2">
      <c r="A1095" s="15">
        <v>45898</v>
      </c>
      <c r="B1095" s="3">
        <f>VLOOKUP(A1095,'[1]BADI SID DATA'!A:B,2,0)</f>
        <v>151</v>
      </c>
      <c r="C1095" s="4">
        <v>51350</v>
      </c>
      <c r="D1095" s="9">
        <v>0</v>
      </c>
      <c r="E1095" s="23">
        <v>100</v>
      </c>
      <c r="F1095" s="23">
        <v>100</v>
      </c>
      <c r="G1095" s="16">
        <f>VLOOKUP(A1095,'[1]DRDO Kolar Data'!$A:$E,5,0)*1000</f>
        <v>7500</v>
      </c>
      <c r="H1095" s="24">
        <f t="shared" si="54"/>
        <v>7125948.700000003</v>
      </c>
      <c r="I1095" s="25">
        <f t="shared" si="52"/>
        <v>21.395833333333332</v>
      </c>
      <c r="J1095" s="25">
        <f t="shared" si="53"/>
        <v>19.66321385209714</v>
      </c>
      <c r="K1095" s="17" t="s">
        <v>13</v>
      </c>
    </row>
    <row r="1096" spans="1:11" ht="15.75" customHeight="1" x14ac:dyDescent="0.2">
      <c r="A1096" s="15">
        <v>45899</v>
      </c>
      <c r="B1096" s="3">
        <f>VLOOKUP(A1096,'[1]BADI SID DATA'!A:B,2,0)</f>
        <v>152</v>
      </c>
      <c r="C1096" s="4">
        <v>53300</v>
      </c>
      <c r="D1096" s="9">
        <v>0</v>
      </c>
      <c r="E1096" s="23">
        <v>100</v>
      </c>
      <c r="F1096" s="23">
        <v>100</v>
      </c>
      <c r="G1096" s="16">
        <f>VLOOKUP(A1096,'[1]DRDO Kolar Data'!$A:$E,5,0)*1000</f>
        <v>7900</v>
      </c>
      <c r="H1096" s="24">
        <f t="shared" si="54"/>
        <v>7179248.700000003</v>
      </c>
      <c r="I1096" s="25">
        <f t="shared" si="52"/>
        <v>22.208333333333332</v>
      </c>
      <c r="J1096" s="25">
        <f t="shared" si="53"/>
        <v>19.679958059210534</v>
      </c>
      <c r="K1096" s="17" t="s">
        <v>38</v>
      </c>
    </row>
    <row r="1097" spans="1:11" ht="15.75" customHeight="1" x14ac:dyDescent="0.2">
      <c r="A1097" s="15">
        <v>45900</v>
      </c>
      <c r="B1097" s="3">
        <f>VLOOKUP(A1097,'[1]BADI SID DATA'!A:B,2,0)</f>
        <v>153</v>
      </c>
      <c r="C1097" s="4">
        <v>44850</v>
      </c>
      <c r="D1097" s="9">
        <v>0</v>
      </c>
      <c r="E1097" s="23">
        <v>100</v>
      </c>
      <c r="F1097" s="23">
        <v>100</v>
      </c>
      <c r="G1097" s="16">
        <f>VLOOKUP(A1097,'[1]DRDO Kolar Data'!$A:$E,5,0)*1000</f>
        <v>7100</v>
      </c>
      <c r="H1097" s="24">
        <f t="shared" si="54"/>
        <v>7224098.700000003</v>
      </c>
      <c r="I1097" s="25">
        <f t="shared" si="52"/>
        <v>18.6875</v>
      </c>
      <c r="J1097" s="25">
        <f t="shared" si="53"/>
        <v>19.673471405228764</v>
      </c>
      <c r="K1097" s="17" t="s">
        <v>13</v>
      </c>
    </row>
    <row r="1098" spans="1:11" ht="15.75" customHeight="1" x14ac:dyDescent="0.2">
      <c r="A1098" s="15">
        <v>45901</v>
      </c>
      <c r="B1098" s="3">
        <f>VLOOKUP(A1098,'[1]BADI SID DATA'!A:B,2,0)</f>
        <v>154</v>
      </c>
      <c r="C1098" s="4">
        <v>44850</v>
      </c>
      <c r="D1098" s="9">
        <v>0</v>
      </c>
      <c r="E1098" s="23">
        <v>100</v>
      </c>
      <c r="F1098" s="23">
        <v>100</v>
      </c>
      <c r="G1098" s="16">
        <f>VLOOKUP(A1098,'[1]DRDO Kolar Data'!$A:$E,5,0)*1000</f>
        <v>10100</v>
      </c>
      <c r="H1098" s="24">
        <f t="shared" si="54"/>
        <v>7268948.700000003</v>
      </c>
      <c r="I1098" s="25">
        <f t="shared" si="52"/>
        <v>18.6875</v>
      </c>
      <c r="J1098" s="25">
        <f t="shared" si="53"/>
        <v>19.667068993506501</v>
      </c>
      <c r="K1098" s="17" t="s">
        <v>11</v>
      </c>
    </row>
    <row r="1099" spans="1:11" ht="15.75" customHeight="1" x14ac:dyDescent="0.2">
      <c r="A1099" s="15">
        <v>45902</v>
      </c>
      <c r="B1099" s="3">
        <f>VLOOKUP(A1099,'[1]BADI SID DATA'!A:B,2,0)</f>
        <v>155</v>
      </c>
      <c r="C1099" s="4">
        <v>45500</v>
      </c>
      <c r="D1099" s="9">
        <v>0</v>
      </c>
      <c r="E1099" s="23">
        <v>100</v>
      </c>
      <c r="F1099" s="23">
        <v>100</v>
      </c>
      <c r="G1099" s="16">
        <f>VLOOKUP(A1099,'[1]DRDO Kolar Data'!$A:$E,5,0)*1000</f>
        <v>10200</v>
      </c>
      <c r="H1099" s="24">
        <f t="shared" si="54"/>
        <v>7314448.700000003</v>
      </c>
      <c r="I1099" s="25">
        <f t="shared" si="52"/>
        <v>18.958333333333332</v>
      </c>
      <c r="J1099" s="25">
        <f t="shared" si="53"/>
        <v>19.662496505376353</v>
      </c>
      <c r="K1099" s="17" t="s">
        <v>11</v>
      </c>
    </row>
    <row r="1100" spans="1:11" ht="15.75" customHeight="1" x14ac:dyDescent="0.2">
      <c r="A1100" s="15">
        <v>45903</v>
      </c>
      <c r="B1100" s="3">
        <f>VLOOKUP(A1100,'[1]BADI SID DATA'!A:B,2,0)</f>
        <v>156</v>
      </c>
      <c r="C1100" s="4">
        <v>50050</v>
      </c>
      <c r="D1100" s="9">
        <v>0</v>
      </c>
      <c r="E1100" s="23">
        <v>100</v>
      </c>
      <c r="F1100" s="23">
        <v>100</v>
      </c>
      <c r="G1100" s="16">
        <f>VLOOKUP(A1100,'[1]DRDO Kolar Data'!$A:$E,5,0)*1000</f>
        <v>9500</v>
      </c>
      <c r="H1100" s="24">
        <f t="shared" si="54"/>
        <v>7364498.700000003</v>
      </c>
      <c r="I1100" s="25">
        <f t="shared" si="52"/>
        <v>20.854166666666664</v>
      </c>
      <c r="J1100" s="25">
        <f t="shared" si="53"/>
        <v>19.670135416666675</v>
      </c>
      <c r="K1100" s="17" t="s">
        <v>11</v>
      </c>
    </row>
    <row r="1101" spans="1:11" ht="15.75" customHeight="1" x14ac:dyDescent="0.2">
      <c r="A1101" s="15">
        <v>45904</v>
      </c>
      <c r="B1101" s="3">
        <f>VLOOKUP(A1101,'[1]BADI SID DATA'!A:B,2,0)</f>
        <v>157</v>
      </c>
      <c r="C1101" s="4">
        <v>52650</v>
      </c>
      <c r="D1101" s="9">
        <v>0</v>
      </c>
      <c r="E1101" s="23">
        <v>100</v>
      </c>
      <c r="F1101" s="23">
        <v>100</v>
      </c>
      <c r="G1101" s="16">
        <f>VLOOKUP(A1101,'[1]DRDO Kolar Data'!$A:$E,5,0)*1000</f>
        <v>9100</v>
      </c>
      <c r="H1101" s="24">
        <f t="shared" si="54"/>
        <v>7417148.700000003</v>
      </c>
      <c r="I1101" s="25">
        <f t="shared" si="52"/>
        <v>21.9375</v>
      </c>
      <c r="J1101" s="25">
        <f t="shared" si="53"/>
        <v>19.684577229299371</v>
      </c>
      <c r="K1101" s="17" t="s">
        <v>12</v>
      </c>
    </row>
    <row r="1102" spans="1:11" ht="15.75" customHeight="1" x14ac:dyDescent="0.2">
      <c r="A1102" s="15">
        <v>45905</v>
      </c>
      <c r="B1102" s="3">
        <f>VLOOKUP(A1102,'[1]BADI SID DATA'!A:B,2,0)</f>
        <v>158</v>
      </c>
      <c r="C1102" s="4">
        <v>55900</v>
      </c>
      <c r="D1102" s="9">
        <v>0</v>
      </c>
      <c r="E1102" s="23">
        <v>100</v>
      </c>
      <c r="F1102" s="23">
        <v>100</v>
      </c>
      <c r="G1102" s="16">
        <f>VLOOKUP(A1102,'[1]DRDO Kolar Data'!$A:$E,5,0)*1000</f>
        <v>10000</v>
      </c>
      <c r="H1102" s="24">
        <f t="shared" si="54"/>
        <v>7473048.700000003</v>
      </c>
      <c r="I1102" s="25">
        <f t="shared" si="52"/>
        <v>23.291666666666664</v>
      </c>
      <c r="J1102" s="25">
        <f t="shared" si="53"/>
        <v>19.707406909282707</v>
      </c>
      <c r="K1102" s="17" t="s">
        <v>12</v>
      </c>
    </row>
    <row r="1103" spans="1:11" ht="15.75" customHeight="1" x14ac:dyDescent="0.2">
      <c r="A1103" s="15">
        <v>45906</v>
      </c>
      <c r="B1103" s="3">
        <f>VLOOKUP(A1103,'[1]BADI SID DATA'!A:B,2,0)</f>
        <v>159</v>
      </c>
      <c r="C1103" s="4">
        <v>62400</v>
      </c>
      <c r="D1103" s="9">
        <v>0</v>
      </c>
      <c r="E1103" s="23">
        <v>100</v>
      </c>
      <c r="F1103" s="23">
        <v>100</v>
      </c>
      <c r="G1103" s="16">
        <f>VLOOKUP(A1103,'[1]DRDO Kolar Data'!$A:$E,5,0)*1000</f>
        <v>7500</v>
      </c>
      <c r="H1103" s="24">
        <f t="shared" si="54"/>
        <v>7535448.700000003</v>
      </c>
      <c r="I1103" s="25">
        <f t="shared" si="52"/>
        <v>26</v>
      </c>
      <c r="J1103" s="25">
        <f t="shared" si="53"/>
        <v>19.746982966457029</v>
      </c>
      <c r="K1103" s="17" t="s">
        <v>10</v>
      </c>
    </row>
    <row r="1104" spans="1:11" ht="15.75" customHeight="1" x14ac:dyDescent="0.2">
      <c r="A1104" s="15">
        <v>45907</v>
      </c>
      <c r="B1104" s="3">
        <f>VLOOKUP(A1104,'[1]BADI SID DATA'!A:B,2,0)</f>
        <v>160</v>
      </c>
      <c r="C1104" s="4">
        <v>51350</v>
      </c>
      <c r="D1104" s="9">
        <v>0</v>
      </c>
      <c r="E1104" s="23">
        <v>100</v>
      </c>
      <c r="F1104" s="23">
        <v>100</v>
      </c>
      <c r="G1104" s="16">
        <f>VLOOKUP(A1104,'[1]DRDO Kolar Data'!$A:$E,5,0)*1000</f>
        <v>6500</v>
      </c>
      <c r="H1104" s="24">
        <f t="shared" si="54"/>
        <v>7586798.700000003</v>
      </c>
      <c r="I1104" s="25">
        <f t="shared" si="52"/>
        <v>21.395833333333332</v>
      </c>
      <c r="J1104" s="25">
        <f t="shared" si="53"/>
        <v>19.757288281250005</v>
      </c>
      <c r="K1104" s="17" t="s">
        <v>10</v>
      </c>
    </row>
    <row r="1105" spans="1:11" ht="15.75" customHeight="1" x14ac:dyDescent="0.2">
      <c r="A1105" s="15">
        <v>45908</v>
      </c>
      <c r="B1105" s="3">
        <f>VLOOKUP(A1105,'[1]BADI SID DATA'!A:B,2,0)</f>
        <v>161</v>
      </c>
      <c r="C1105" s="4">
        <v>54600</v>
      </c>
      <c r="D1105" s="9">
        <v>0</v>
      </c>
      <c r="E1105" s="23">
        <v>100</v>
      </c>
      <c r="F1105" s="23">
        <v>100</v>
      </c>
      <c r="G1105" s="16">
        <f>VLOOKUP(A1105,'[1]DRDO Kolar Data'!$A:$E,5,0)*1000</f>
        <v>7200</v>
      </c>
      <c r="H1105" s="24">
        <f t="shared" si="54"/>
        <v>7641398.700000003</v>
      </c>
      <c r="I1105" s="25">
        <f t="shared" si="52"/>
        <v>22.75</v>
      </c>
      <c r="J1105" s="25">
        <f t="shared" si="53"/>
        <v>19.775876552795037</v>
      </c>
      <c r="K1105" s="17" t="s">
        <v>10</v>
      </c>
    </row>
    <row r="1106" spans="1:11" ht="15.75" customHeight="1" x14ac:dyDescent="0.2">
      <c r="A1106" s="15">
        <v>45909</v>
      </c>
      <c r="B1106" s="3">
        <f>VLOOKUP(A1106,'[1]BADI SID DATA'!A:B,2,0)</f>
        <v>162</v>
      </c>
      <c r="C1106" s="4">
        <v>50700</v>
      </c>
      <c r="D1106" s="9">
        <v>0</v>
      </c>
      <c r="E1106" s="23">
        <v>100</v>
      </c>
      <c r="F1106" s="23">
        <v>100</v>
      </c>
      <c r="G1106" s="16">
        <f>VLOOKUP(A1106,'[1]DRDO Kolar Data'!$A:$E,5,0)*1000</f>
        <v>8500</v>
      </c>
      <c r="H1106" s="24">
        <f t="shared" si="54"/>
        <v>7692098.700000003</v>
      </c>
      <c r="I1106" s="25">
        <f t="shared" si="52"/>
        <v>21.125</v>
      </c>
      <c r="J1106" s="25">
        <f t="shared" si="53"/>
        <v>19.784204475308652</v>
      </c>
      <c r="K1106" s="17" t="s">
        <v>10</v>
      </c>
    </row>
    <row r="1107" spans="1:11" ht="15.75" customHeight="1" x14ac:dyDescent="0.2">
      <c r="A1107" s="15">
        <v>45910</v>
      </c>
      <c r="B1107" s="3">
        <f>VLOOKUP(A1107,'[1]BADI SID DATA'!A:B,2,0)</f>
        <v>163</v>
      </c>
      <c r="C1107" s="4">
        <v>47450</v>
      </c>
      <c r="D1107" s="9">
        <v>0</v>
      </c>
      <c r="E1107" s="23">
        <v>100</v>
      </c>
      <c r="F1107" s="23">
        <v>100</v>
      </c>
      <c r="G1107" s="16">
        <f>VLOOKUP(A1107,'[1]DRDO Kolar Data'!$A:$E,5,0)*1000</f>
        <v>10200</v>
      </c>
      <c r="H1107" s="24">
        <f t="shared" si="54"/>
        <v>7739548.700000003</v>
      </c>
      <c r="I1107" s="25">
        <f t="shared" si="52"/>
        <v>19.770833333333336</v>
      </c>
      <c r="J1107" s="25">
        <f t="shared" si="53"/>
        <v>19.78412244376279</v>
      </c>
      <c r="K1107" s="17" t="s">
        <v>13</v>
      </c>
    </row>
    <row r="1108" spans="1:11" ht="15.75" customHeight="1" x14ac:dyDescent="0.2">
      <c r="A1108" s="15">
        <v>45911</v>
      </c>
      <c r="B1108" s="3">
        <f>VLOOKUP(A1108,'[1]BADI SID DATA'!A:B,2,0)</f>
        <v>164</v>
      </c>
      <c r="C1108" s="4">
        <v>39650</v>
      </c>
      <c r="D1108" s="9">
        <v>0</v>
      </c>
      <c r="E1108" s="23">
        <v>100</v>
      </c>
      <c r="F1108" s="23">
        <v>100</v>
      </c>
      <c r="G1108" s="16">
        <f>VLOOKUP(A1108,'[1]DRDO Kolar Data'!$A:$E,5,0)*1000</f>
        <v>10400</v>
      </c>
      <c r="H1108" s="24">
        <f t="shared" si="54"/>
        <v>7779198.700000003</v>
      </c>
      <c r="I1108" s="25">
        <f t="shared" si="52"/>
        <v>16.520833333333336</v>
      </c>
      <c r="J1108" s="25">
        <f t="shared" si="53"/>
        <v>19.764224339430903</v>
      </c>
      <c r="K1108" s="17" t="s">
        <v>11</v>
      </c>
    </row>
    <row r="1109" spans="1:11" ht="15.75" customHeight="1" x14ac:dyDescent="0.2">
      <c r="A1109" s="15">
        <v>45912</v>
      </c>
      <c r="B1109" s="3">
        <f>VLOOKUP(A1109,'[1]BADI SID DATA'!A:B,2,0)</f>
        <v>165</v>
      </c>
      <c r="C1109" s="4">
        <v>46150</v>
      </c>
      <c r="D1109" s="9">
        <v>0</v>
      </c>
      <c r="E1109" s="23">
        <v>100</v>
      </c>
      <c r="F1109" s="23">
        <v>100</v>
      </c>
      <c r="G1109" s="16">
        <f>VLOOKUP(A1109,'[1]DRDO Kolar Data'!$A:$E,5,0)*1000</f>
        <v>10500</v>
      </c>
      <c r="H1109" s="24">
        <f t="shared" si="54"/>
        <v>7825348.700000003</v>
      </c>
      <c r="I1109" s="25">
        <f t="shared" si="52"/>
        <v>19.229166666666668</v>
      </c>
      <c r="J1109" s="25">
        <f t="shared" si="53"/>
        <v>19.760981565656575</v>
      </c>
      <c r="K1109" s="17" t="s">
        <v>11</v>
      </c>
    </row>
    <row r="1110" spans="1:11" ht="15.75" customHeight="1" x14ac:dyDescent="0.2">
      <c r="A1110" s="15">
        <v>45913</v>
      </c>
      <c r="B1110" s="3">
        <f>VLOOKUP(A1110,'[1]BADI SID DATA'!A:B,2,0)</f>
        <v>166</v>
      </c>
      <c r="C1110" s="4">
        <v>39000</v>
      </c>
      <c r="D1110" s="9">
        <v>0</v>
      </c>
      <c r="E1110" s="23">
        <v>100</v>
      </c>
      <c r="F1110" s="23">
        <v>100</v>
      </c>
      <c r="G1110" s="16">
        <f>VLOOKUP(A1110,'[1]DRDO Kolar Data'!$A:$E,5,0)*1000</f>
        <v>10200</v>
      </c>
      <c r="H1110" s="24">
        <f t="shared" si="54"/>
        <v>7864348.700000003</v>
      </c>
      <c r="I1110" s="25">
        <f t="shared" si="52"/>
        <v>16.25</v>
      </c>
      <c r="J1110" s="25">
        <f t="shared" si="53"/>
        <v>19.739831074297197</v>
      </c>
      <c r="K1110" s="17" t="s">
        <v>13</v>
      </c>
    </row>
    <row r="1111" spans="1:11" ht="15.75" customHeight="1" x14ac:dyDescent="0.2">
      <c r="A1111" s="15">
        <v>45914</v>
      </c>
      <c r="B1111" s="3">
        <f>VLOOKUP(A1111,'[1]BADI SID DATA'!A:B,2,0)</f>
        <v>167</v>
      </c>
      <c r="C1111" s="4">
        <v>4550</v>
      </c>
      <c r="D1111" s="9">
        <v>0</v>
      </c>
      <c r="E1111" s="23">
        <v>100</v>
      </c>
      <c r="F1111" s="23">
        <v>100</v>
      </c>
      <c r="G1111" s="16">
        <f>VLOOKUP(A1111,'[1]DRDO Kolar Data'!$A:$E,5,0)*1000</f>
        <v>10200</v>
      </c>
      <c r="H1111" s="24">
        <f t="shared" si="54"/>
        <v>7868898.700000003</v>
      </c>
      <c r="I1111" s="25">
        <f t="shared" si="52"/>
        <v>1.8958333333333335</v>
      </c>
      <c r="J1111" s="25">
        <f t="shared" si="53"/>
        <v>19.632980788423161</v>
      </c>
      <c r="K1111" s="17" t="s">
        <v>11</v>
      </c>
    </row>
    <row r="1112" spans="1:11" ht="15.75" customHeight="1" x14ac:dyDescent="0.2">
      <c r="A1112" s="15">
        <v>45915</v>
      </c>
      <c r="B1112" s="3">
        <f>VLOOKUP(A1112,'[1]BADI SID DATA'!A:B,2,0)</f>
        <v>168</v>
      </c>
      <c r="C1112" s="4">
        <v>49400</v>
      </c>
      <c r="D1112" s="9">
        <v>0</v>
      </c>
      <c r="E1112" s="23">
        <v>100</v>
      </c>
      <c r="F1112" s="23">
        <v>100</v>
      </c>
      <c r="G1112" s="16">
        <f>VLOOKUP(A1112,'[1]DRDO Kolar Data'!$A:$E,5,0)*1000</f>
        <v>10000</v>
      </c>
      <c r="H1112" s="24">
        <f t="shared" si="54"/>
        <v>7918298.700000003</v>
      </c>
      <c r="I1112" s="25">
        <f t="shared" si="52"/>
        <v>20.583333333333336</v>
      </c>
      <c r="J1112" s="25">
        <f t="shared" si="53"/>
        <v>19.638637648809532</v>
      </c>
      <c r="K1112" s="17" t="s">
        <v>10</v>
      </c>
    </row>
    <row r="1113" spans="1:11" ht="15.75" customHeight="1" x14ac:dyDescent="0.2">
      <c r="A1113" s="15">
        <v>45916</v>
      </c>
      <c r="B1113" s="3">
        <f>VLOOKUP(A1113,'[1]BADI SID DATA'!A:B,2,0)</f>
        <v>169</v>
      </c>
      <c r="C1113" s="4">
        <v>44850</v>
      </c>
      <c r="D1113" s="9">
        <v>0</v>
      </c>
      <c r="E1113" s="23">
        <v>100</v>
      </c>
      <c r="F1113" s="23">
        <v>100</v>
      </c>
      <c r="G1113" s="16">
        <f>VLOOKUP(A1113,'[1]DRDO Kolar Data'!$A:$E,5,0)*1000</f>
        <v>10300</v>
      </c>
      <c r="H1113" s="24">
        <f t="shared" si="54"/>
        <v>7963148.700000003</v>
      </c>
      <c r="I1113" s="25">
        <f t="shared" si="52"/>
        <v>18.6875</v>
      </c>
      <c r="J1113" s="25">
        <f t="shared" si="53"/>
        <v>19.633009615384623</v>
      </c>
      <c r="K1113" s="17" t="s">
        <v>13</v>
      </c>
    </row>
    <row r="1114" spans="1:11" ht="15.75" customHeight="1" x14ac:dyDescent="0.2">
      <c r="A1114" s="15">
        <v>45917</v>
      </c>
      <c r="B1114" s="3">
        <f>VLOOKUP(A1114,'[1]BADI SID DATA'!A:B,2,0)</f>
        <v>170</v>
      </c>
      <c r="C1114" s="4">
        <v>43550</v>
      </c>
      <c r="D1114" s="9">
        <v>0</v>
      </c>
      <c r="E1114" s="23">
        <v>100</v>
      </c>
      <c r="F1114" s="23">
        <v>100</v>
      </c>
      <c r="G1114" s="16">
        <f>VLOOKUP(A1114,'[1]DRDO Kolar Data'!$A:$E,5,0)*1000</f>
        <v>10000</v>
      </c>
      <c r="H1114" s="24">
        <f t="shared" si="54"/>
        <v>8006698.700000003</v>
      </c>
      <c r="I1114" s="25">
        <f t="shared" si="52"/>
        <v>18.145833333333332</v>
      </c>
      <c r="J1114" s="25">
        <f t="shared" si="53"/>
        <v>19.624261519607849</v>
      </c>
      <c r="K1114" s="17" t="s">
        <v>37</v>
      </c>
    </row>
    <row r="1115" spans="1:11" ht="15.75" customHeight="1" x14ac:dyDescent="0.2">
      <c r="A1115" s="15">
        <v>45918</v>
      </c>
      <c r="B1115" s="3">
        <f>VLOOKUP(A1115,'[1]BADI SID DATA'!A:B,2,0)</f>
        <v>171</v>
      </c>
      <c r="C1115" s="4">
        <v>47450</v>
      </c>
      <c r="D1115" s="9">
        <v>0</v>
      </c>
      <c r="E1115" s="23">
        <v>100</v>
      </c>
      <c r="F1115" s="23">
        <v>100</v>
      </c>
      <c r="G1115" s="16">
        <f>VLOOKUP(A1115,'[1]DRDO Kolar Data'!$A:$E,5,0)*1000</f>
        <v>10100</v>
      </c>
      <c r="H1115" s="24">
        <f t="shared" si="54"/>
        <v>8054148.700000003</v>
      </c>
      <c r="I1115" s="25">
        <f t="shared" si="52"/>
        <v>19.770833333333336</v>
      </c>
      <c r="J1115" s="25">
        <f t="shared" si="53"/>
        <v>19.625118664717355</v>
      </c>
      <c r="K1115" s="17" t="s">
        <v>13</v>
      </c>
    </row>
    <row r="1116" spans="1:11" ht="15.75" customHeight="1" x14ac:dyDescent="0.2">
      <c r="A1116" s="15">
        <v>45919</v>
      </c>
      <c r="B1116" s="3">
        <f>VLOOKUP(A1116,'[1]BADI SID DATA'!A:B,2,0)</f>
        <v>172</v>
      </c>
      <c r="C1116" s="4">
        <v>41600</v>
      </c>
      <c r="D1116" s="9">
        <v>0</v>
      </c>
      <c r="E1116" s="23">
        <v>100</v>
      </c>
      <c r="F1116" s="23">
        <v>100</v>
      </c>
      <c r="G1116" s="16">
        <f>VLOOKUP(A1116,'[1]DRDO Kolar Data'!$A:$E,5,0)*1000</f>
        <v>10200</v>
      </c>
      <c r="H1116" s="24">
        <f t="shared" si="54"/>
        <v>8095748.700000003</v>
      </c>
      <c r="I1116" s="25">
        <f t="shared" si="52"/>
        <v>17.333333333333336</v>
      </c>
      <c r="J1116" s="25">
        <f t="shared" si="53"/>
        <v>19.611794331395359</v>
      </c>
      <c r="K1116" s="17" t="s">
        <v>11</v>
      </c>
    </row>
    <row r="1117" spans="1:11" ht="15.75" customHeight="1" x14ac:dyDescent="0.2">
      <c r="A1117" s="15">
        <v>45920</v>
      </c>
      <c r="B1117" s="3">
        <f>VLOOKUP(A1117,'[1]BADI SID DATA'!A:B,2,0)</f>
        <v>173</v>
      </c>
      <c r="C1117" s="4">
        <v>43550</v>
      </c>
      <c r="D1117" s="9">
        <v>0</v>
      </c>
      <c r="E1117" s="23">
        <v>100</v>
      </c>
      <c r="F1117" s="23">
        <v>100</v>
      </c>
      <c r="G1117" s="16">
        <f>VLOOKUP(A1117,'[1]DRDO Kolar Data'!$A:$E,5,0)*1000</f>
        <v>10500</v>
      </c>
      <c r="H1117" s="24">
        <f t="shared" si="54"/>
        <v>8139298.700000003</v>
      </c>
      <c r="I1117" s="25">
        <f t="shared" si="52"/>
        <v>18.145833333333332</v>
      </c>
      <c r="J1117" s="25">
        <f t="shared" si="53"/>
        <v>19.603320568400779</v>
      </c>
      <c r="K1117" s="17" t="s">
        <v>11</v>
      </c>
    </row>
    <row r="1118" spans="1:11" ht="15.75" customHeight="1" x14ac:dyDescent="0.2">
      <c r="A1118" s="15">
        <v>45921</v>
      </c>
      <c r="B1118" s="3">
        <f>VLOOKUP(A1118,'[1]BADI SID DATA'!A:B,2,0)</f>
        <v>174</v>
      </c>
      <c r="C1118" s="4">
        <v>48100</v>
      </c>
      <c r="D1118" s="9">
        <v>0</v>
      </c>
      <c r="E1118" s="23">
        <v>100</v>
      </c>
      <c r="F1118" s="23">
        <v>100</v>
      </c>
      <c r="G1118" s="16">
        <f>VLOOKUP(A1118,'[1]DRDO Kolar Data'!$A:$E,5,0)*1000</f>
        <v>10700</v>
      </c>
      <c r="H1118" s="24">
        <f t="shared" si="54"/>
        <v>8187398.700000003</v>
      </c>
      <c r="I1118" s="25">
        <f t="shared" si="52"/>
        <v>20.041666666666664</v>
      </c>
      <c r="J1118" s="25">
        <f t="shared" si="53"/>
        <v>19.605839798850582</v>
      </c>
      <c r="K1118" s="17" t="s">
        <v>11</v>
      </c>
    </row>
    <row r="1119" spans="1:11" ht="15.75" customHeight="1" x14ac:dyDescent="0.2">
      <c r="A1119" s="15">
        <v>45922</v>
      </c>
      <c r="B1119" s="3">
        <f>VLOOKUP(A1119,'[1]BADI SID DATA'!A:B,2,0)</f>
        <v>175</v>
      </c>
      <c r="C1119" s="4">
        <v>50050</v>
      </c>
      <c r="D1119" s="9">
        <v>0</v>
      </c>
      <c r="E1119" s="23">
        <v>100</v>
      </c>
      <c r="F1119" s="23">
        <v>100</v>
      </c>
      <c r="G1119" s="16">
        <f>VLOOKUP(A1119,'[1]DRDO Kolar Data'!$A:$E,5,0)*1000</f>
        <v>10900</v>
      </c>
      <c r="H1119" s="24">
        <f t="shared" si="54"/>
        <v>8237448.700000003</v>
      </c>
      <c r="I1119" s="25">
        <f t="shared" si="52"/>
        <v>20.854166666666664</v>
      </c>
      <c r="J1119" s="25">
        <f t="shared" si="53"/>
        <v>19.6129730952381</v>
      </c>
      <c r="K1119" s="17" t="s">
        <v>11</v>
      </c>
    </row>
    <row r="1120" spans="1:11" ht="15.75" customHeight="1" x14ac:dyDescent="0.2">
      <c r="A1120" s="15">
        <v>45923</v>
      </c>
      <c r="B1120" s="3">
        <f>VLOOKUP(A1120,'[1]BADI SID DATA'!A:B,2,0)</f>
        <v>176</v>
      </c>
      <c r="C1120" s="4">
        <v>45500</v>
      </c>
      <c r="D1120" s="9">
        <v>0</v>
      </c>
      <c r="E1120" s="23">
        <v>100</v>
      </c>
      <c r="F1120" s="23">
        <v>100</v>
      </c>
      <c r="G1120" s="16">
        <f>VLOOKUP(A1120,'[1]DRDO Kolar Data'!$A:$E,5,0)*1000</f>
        <v>10000</v>
      </c>
      <c r="H1120" s="24">
        <f t="shared" si="54"/>
        <v>8282948.700000003</v>
      </c>
      <c r="I1120" s="25">
        <f t="shared" si="52"/>
        <v>18.958333333333332</v>
      </c>
      <c r="J1120" s="25">
        <f t="shared" si="53"/>
        <v>19.609253551136373</v>
      </c>
      <c r="K1120" s="17" t="s">
        <v>11</v>
      </c>
    </row>
    <row r="1121" spans="1:11" ht="15.75" customHeight="1" x14ac:dyDescent="0.2">
      <c r="A1121" s="15">
        <v>45924</v>
      </c>
      <c r="B1121" s="3">
        <f>VLOOKUP(A1121,'[1]BADI SID DATA'!A:B,2,0)</f>
        <v>177</v>
      </c>
      <c r="C1121" s="4">
        <v>44200</v>
      </c>
      <c r="D1121" s="9">
        <v>0</v>
      </c>
      <c r="E1121" s="23">
        <v>100</v>
      </c>
      <c r="F1121" s="23">
        <v>100</v>
      </c>
      <c r="G1121" s="16">
        <f>VLOOKUP(A1121,'[1]DRDO Kolar Data'!$A:$E,5,0)*1000</f>
        <v>10500</v>
      </c>
      <c r="H1121" s="24">
        <f t="shared" si="54"/>
        <v>8327148.700000003</v>
      </c>
      <c r="I1121" s="25">
        <f t="shared" si="52"/>
        <v>18.416666666666668</v>
      </c>
      <c r="J1121" s="25">
        <f t="shared" si="53"/>
        <v>19.602515772128069</v>
      </c>
      <c r="K1121" s="17" t="s">
        <v>11</v>
      </c>
    </row>
    <row r="1122" spans="1:11" ht="15.75" customHeight="1" x14ac:dyDescent="0.2">
      <c r="A1122" s="15">
        <v>45925</v>
      </c>
      <c r="B1122" s="3">
        <f>VLOOKUP(A1122,'[1]BADI SID DATA'!A:B,2,0)</f>
        <v>178</v>
      </c>
      <c r="C1122" s="4">
        <v>52000</v>
      </c>
      <c r="D1122" s="9">
        <v>0</v>
      </c>
      <c r="E1122" s="23">
        <v>100</v>
      </c>
      <c r="F1122" s="23">
        <v>100</v>
      </c>
      <c r="G1122" s="16">
        <f>VLOOKUP(A1122,'[1]DRDO Kolar Data'!$A:$E,5,0)*1000</f>
        <v>10400</v>
      </c>
      <c r="H1122" s="24">
        <f t="shared" si="54"/>
        <v>8379148.700000003</v>
      </c>
      <c r="I1122" s="25">
        <f t="shared" si="52"/>
        <v>21.666666666666668</v>
      </c>
      <c r="J1122" s="25">
        <f t="shared" si="53"/>
        <v>19.614112125468171</v>
      </c>
      <c r="K1122" s="17" t="s">
        <v>11</v>
      </c>
    </row>
    <row r="1123" spans="1:11" ht="15.75" customHeight="1" x14ac:dyDescent="0.2">
      <c r="A1123" s="15">
        <v>45926</v>
      </c>
      <c r="B1123" s="3">
        <f>VLOOKUP(A1123,'[1]BADI SID DATA'!A:B,2,0)</f>
        <v>179</v>
      </c>
      <c r="C1123" s="4">
        <v>51350</v>
      </c>
      <c r="D1123" s="9">
        <v>0</v>
      </c>
      <c r="E1123" s="23">
        <v>100</v>
      </c>
      <c r="F1123" s="23">
        <v>100</v>
      </c>
      <c r="G1123" s="16">
        <f>VLOOKUP(A1123,'[1]DRDO Kolar Data'!$A:$E,5,0)*1000</f>
        <v>9900</v>
      </c>
      <c r="H1123" s="24">
        <f t="shared" si="54"/>
        <v>8430498.700000003</v>
      </c>
      <c r="I1123" s="25">
        <f t="shared" si="52"/>
        <v>21.395833333333332</v>
      </c>
      <c r="J1123" s="25">
        <f t="shared" si="53"/>
        <v>19.624065875232784</v>
      </c>
      <c r="K1123" s="17" t="s">
        <v>10</v>
      </c>
    </row>
    <row r="1124" spans="1:11" ht="15.75" customHeight="1" x14ac:dyDescent="0.2">
      <c r="A1124" s="15">
        <v>45927</v>
      </c>
      <c r="B1124" s="3">
        <f>VLOOKUP(A1124,'[1]BADI SID DATA'!A:B,2,0)</f>
        <v>180</v>
      </c>
      <c r="C1124" s="4">
        <v>43550</v>
      </c>
      <c r="D1124" s="9">
        <v>0</v>
      </c>
      <c r="E1124" s="23">
        <v>100</v>
      </c>
      <c r="F1124" s="23">
        <v>100</v>
      </c>
      <c r="G1124" s="16">
        <f>VLOOKUP(A1124,'[1]DRDO Kolar Data'!$A:$E,5,0)*1000</f>
        <v>9700</v>
      </c>
      <c r="H1124" s="24">
        <f t="shared" si="54"/>
        <v>8474048.700000003</v>
      </c>
      <c r="I1124" s="25">
        <f t="shared" si="52"/>
        <v>18.145833333333332</v>
      </c>
      <c r="J1124" s="25">
        <f t="shared" si="53"/>
        <v>19.615853472222227</v>
      </c>
      <c r="K1124" s="17" t="s">
        <v>10</v>
      </c>
    </row>
    <row r="1125" spans="1:11" ht="15.75" customHeight="1" x14ac:dyDescent="0.2">
      <c r="A1125" s="15">
        <v>45928</v>
      </c>
      <c r="B1125" s="3">
        <f>VLOOKUP(A1125,'[1]BADI SID DATA'!A:B,2,0)</f>
        <v>181</v>
      </c>
      <c r="C1125" s="4">
        <v>48750</v>
      </c>
      <c r="D1125" s="9">
        <v>0</v>
      </c>
      <c r="E1125" s="23">
        <v>100</v>
      </c>
      <c r="F1125" s="23">
        <v>100</v>
      </c>
      <c r="G1125" s="16">
        <f>VLOOKUP(A1125,'[1]DRDO Kolar Data'!$A:$E,5,0)*1000</f>
        <v>9900</v>
      </c>
      <c r="H1125" s="24">
        <f t="shared" si="54"/>
        <v>8522798.700000003</v>
      </c>
      <c r="I1125" s="25">
        <f t="shared" si="52"/>
        <v>20.3125</v>
      </c>
      <c r="J1125" s="25">
        <f t="shared" si="53"/>
        <v>19.619702348066305</v>
      </c>
      <c r="K1125" s="17" t="s">
        <v>10</v>
      </c>
    </row>
    <row r="1126" spans="1:11" ht="15.75" customHeight="1" x14ac:dyDescent="0.2">
      <c r="A1126" s="15">
        <v>45929</v>
      </c>
      <c r="B1126" s="3">
        <f>VLOOKUP(A1126,'[1]BADI SID DATA'!A:B,2,0)</f>
        <v>182</v>
      </c>
      <c r="C1126" s="4">
        <v>57850</v>
      </c>
      <c r="D1126" s="9">
        <v>0</v>
      </c>
      <c r="E1126" s="23">
        <v>100</v>
      </c>
      <c r="F1126" s="23">
        <v>100</v>
      </c>
      <c r="G1126" s="16">
        <f>VLOOKUP(A1126,'[1]DRDO Kolar Data'!$A:$E,5,0)*1000</f>
        <v>10900</v>
      </c>
      <c r="H1126" s="24">
        <f t="shared" si="54"/>
        <v>8580648.700000003</v>
      </c>
      <c r="I1126" s="25">
        <f t="shared" si="52"/>
        <v>24.104166666666664</v>
      </c>
      <c r="J1126" s="25">
        <f t="shared" si="53"/>
        <v>19.644342261904768</v>
      </c>
      <c r="K1126" s="17" t="s">
        <v>13</v>
      </c>
    </row>
    <row r="1127" spans="1:11" ht="15.75" customHeight="1" x14ac:dyDescent="0.2">
      <c r="A1127" s="15">
        <v>45930</v>
      </c>
      <c r="B1127" s="3">
        <f>VLOOKUP(A1127,'[1]BADI SID DATA'!A:B,2,0)</f>
        <v>183</v>
      </c>
      <c r="C1127" s="4">
        <v>53300</v>
      </c>
      <c r="D1127" s="9">
        <v>0</v>
      </c>
      <c r="E1127" s="23">
        <v>100</v>
      </c>
      <c r="F1127" s="23">
        <v>100</v>
      </c>
      <c r="G1127" s="16">
        <f>VLOOKUP(A1127,'[1]DRDO Kolar Data'!$A:$E,5,0)*1000</f>
        <v>10200</v>
      </c>
      <c r="H1127" s="24">
        <f t="shared" si="54"/>
        <v>8633948.700000003</v>
      </c>
      <c r="I1127" s="25">
        <f t="shared" si="52"/>
        <v>22.208333333333332</v>
      </c>
      <c r="J1127" s="25">
        <f t="shared" si="53"/>
        <v>19.658353142076511</v>
      </c>
      <c r="K1127" s="17" t="s">
        <v>13</v>
      </c>
    </row>
    <row r="1128" spans="1:11" ht="15.75" customHeight="1" x14ac:dyDescent="0.2">
      <c r="A1128" s="15">
        <v>45931</v>
      </c>
      <c r="B1128" s="3">
        <f>VLOOKUP(A1128,'[1]BADI SID DATA'!A:B,2,0)</f>
        <v>184</v>
      </c>
      <c r="C1128" s="4">
        <v>51350</v>
      </c>
      <c r="D1128" s="9">
        <v>0</v>
      </c>
      <c r="E1128" s="23">
        <v>100</v>
      </c>
      <c r="F1128" s="23">
        <v>100</v>
      </c>
      <c r="G1128" s="16">
        <f>VLOOKUP(A1128,'[1]DRDO Kolar Data'!$A:$E,5,0)*1000</f>
        <v>10500</v>
      </c>
      <c r="H1128" s="24">
        <f t="shared" si="54"/>
        <v>8685298.700000003</v>
      </c>
      <c r="I1128" s="25">
        <f t="shared" si="52"/>
        <v>21.395833333333332</v>
      </c>
      <c r="J1128" s="25">
        <f t="shared" si="53"/>
        <v>19.667795969202906</v>
      </c>
      <c r="K1128" s="17" t="s">
        <v>38</v>
      </c>
    </row>
    <row r="1129" spans="1:11" ht="15.75" customHeight="1" x14ac:dyDescent="0.2">
      <c r="A1129" s="15">
        <v>45932</v>
      </c>
      <c r="B1129" s="3">
        <f>VLOOKUP(A1129,'[1]BADI SID DATA'!A:B,2,0)</f>
        <v>185</v>
      </c>
      <c r="C1129" s="4">
        <v>55250</v>
      </c>
      <c r="D1129" s="9">
        <v>0</v>
      </c>
      <c r="E1129" s="23">
        <v>100</v>
      </c>
      <c r="F1129" s="23">
        <v>100</v>
      </c>
      <c r="G1129" s="16">
        <f>VLOOKUP(A1129,'[1]DRDO Kolar Data'!$A:$E,5,0)*1000</f>
        <v>10800</v>
      </c>
      <c r="H1129" s="24">
        <f t="shared" si="54"/>
        <v>8740548.700000003</v>
      </c>
      <c r="I1129" s="25">
        <f t="shared" si="52"/>
        <v>23.020833333333332</v>
      </c>
      <c r="J1129" s="25">
        <f t="shared" si="53"/>
        <v>19.685920495495502</v>
      </c>
      <c r="K1129" s="17" t="s">
        <v>38</v>
      </c>
    </row>
    <row r="1130" spans="1:11" ht="15.75" customHeight="1" x14ac:dyDescent="0.2">
      <c r="A1130" s="15">
        <v>45933</v>
      </c>
      <c r="B1130" s="3">
        <f>VLOOKUP(A1130,'[1]BADI SID DATA'!A:B,2,0)</f>
        <v>186</v>
      </c>
      <c r="C1130" s="4">
        <v>64350</v>
      </c>
      <c r="D1130" s="9">
        <v>0</v>
      </c>
      <c r="E1130" s="23">
        <v>100</v>
      </c>
      <c r="F1130" s="23">
        <v>100</v>
      </c>
      <c r="G1130" s="16">
        <f>VLOOKUP(A1130,'[1]DRDO Kolar Data'!$A:$E,5,0)*1000</f>
        <v>9200</v>
      </c>
      <c r="H1130" s="24">
        <f t="shared" si="54"/>
        <v>8804898.700000003</v>
      </c>
      <c r="I1130" s="25">
        <f t="shared" si="52"/>
        <v>26.8125</v>
      </c>
      <c r="J1130" s="25">
        <f t="shared" si="53"/>
        <v>19.724235439068107</v>
      </c>
      <c r="K1130" s="17" t="s">
        <v>38</v>
      </c>
    </row>
    <row r="1131" spans="1:11" ht="15.75" customHeight="1" x14ac:dyDescent="0.2">
      <c r="A1131" s="15">
        <v>45934</v>
      </c>
      <c r="B1131" s="3">
        <f>VLOOKUP(A1131,'[1]BADI SID DATA'!A:B,2,0)</f>
        <v>187</v>
      </c>
      <c r="C1131" s="4">
        <v>31200</v>
      </c>
      <c r="D1131" s="9">
        <v>0</v>
      </c>
      <c r="E1131" s="23">
        <v>100</v>
      </c>
      <c r="F1131" s="23">
        <v>100</v>
      </c>
      <c r="G1131" s="16">
        <f>VLOOKUP(A1131,'[1]DRDO Kolar Data'!$A:$E,5,0)*1000</f>
        <v>10500</v>
      </c>
      <c r="H1131" s="24">
        <f t="shared" si="54"/>
        <v>8836098.700000003</v>
      </c>
      <c r="I1131" s="25">
        <f t="shared" si="52"/>
        <v>13</v>
      </c>
      <c r="J1131" s="25">
        <f t="shared" si="53"/>
        <v>19.688276960784322</v>
      </c>
      <c r="K1131" s="17" t="s">
        <v>10</v>
      </c>
    </row>
    <row r="1132" spans="1:11" ht="15.75" customHeight="1" x14ac:dyDescent="0.2">
      <c r="A1132" s="15">
        <v>45935</v>
      </c>
      <c r="B1132" s="3">
        <f>VLOOKUP(A1132,'[1]BADI SID DATA'!A:B,2,0)</f>
        <v>188</v>
      </c>
      <c r="C1132" s="4">
        <v>57850</v>
      </c>
      <c r="D1132" s="9">
        <v>0</v>
      </c>
      <c r="E1132" s="23">
        <v>100</v>
      </c>
      <c r="F1132" s="23">
        <v>100</v>
      </c>
      <c r="G1132" s="16">
        <f>VLOOKUP(A1132,'[1]DRDO Kolar Data'!$A:$E,5,0)*1000</f>
        <v>10000</v>
      </c>
      <c r="H1132" s="24">
        <f t="shared" si="54"/>
        <v>8893948.700000003</v>
      </c>
      <c r="I1132" s="25">
        <f t="shared" si="52"/>
        <v>24.104166666666664</v>
      </c>
      <c r="J1132" s="25">
        <f t="shared" si="53"/>
        <v>19.711765735815607</v>
      </c>
      <c r="K1132" s="17" t="s">
        <v>38</v>
      </c>
    </row>
    <row r="1133" spans="1:11" ht="15.75" customHeight="1" x14ac:dyDescent="0.2">
      <c r="A1133" s="15">
        <v>45936</v>
      </c>
      <c r="B1133" s="3">
        <f>VLOOKUP(A1133,'[1]BADI SID DATA'!A:B,2,0)</f>
        <v>189</v>
      </c>
      <c r="C1133" s="4">
        <v>54600</v>
      </c>
      <c r="D1133" s="9">
        <v>0</v>
      </c>
      <c r="E1133" s="23">
        <v>100</v>
      </c>
      <c r="F1133" s="23">
        <v>100</v>
      </c>
      <c r="G1133" s="16">
        <f>VLOOKUP(A1133,'[1]DRDO Kolar Data'!$A:$E,5,0)*1000</f>
        <v>10600</v>
      </c>
      <c r="H1133" s="24">
        <f t="shared" si="54"/>
        <v>8948548.700000003</v>
      </c>
      <c r="I1133" s="25">
        <f t="shared" si="52"/>
        <v>22.75</v>
      </c>
      <c r="J1133" s="25">
        <f t="shared" si="53"/>
        <v>19.727841049382722</v>
      </c>
      <c r="K1133" s="17" t="s">
        <v>39</v>
      </c>
    </row>
    <row r="1134" spans="1:11" ht="15.75" customHeight="1" x14ac:dyDescent="0.2">
      <c r="A1134" s="15">
        <v>45937</v>
      </c>
      <c r="B1134" s="3">
        <f>VLOOKUP(A1134,'[1]BADI SID DATA'!A:B,2,0)</f>
        <v>190</v>
      </c>
      <c r="C1134" s="4">
        <v>59150</v>
      </c>
      <c r="D1134" s="9">
        <v>0</v>
      </c>
      <c r="E1134" s="23">
        <v>100</v>
      </c>
      <c r="F1134" s="23">
        <v>100</v>
      </c>
      <c r="G1134" s="16">
        <f>VLOOKUP(A1134,'[1]DRDO Kolar Data'!$A:$E,5,0)*1000</f>
        <v>10100</v>
      </c>
      <c r="H1134" s="24">
        <f t="shared" si="54"/>
        <v>9007698.700000003</v>
      </c>
      <c r="I1134" s="25">
        <f t="shared" si="52"/>
        <v>24.645833333333332</v>
      </c>
      <c r="J1134" s="25">
        <f t="shared" si="53"/>
        <v>19.75372521929825</v>
      </c>
      <c r="K1134" s="17" t="s">
        <v>38</v>
      </c>
    </row>
    <row r="1135" spans="1:11" ht="15.75" customHeight="1" x14ac:dyDescent="0.2">
      <c r="A1135" s="15">
        <v>45938</v>
      </c>
      <c r="B1135" s="3">
        <f>VLOOKUP(A1135,'[1]BADI SID DATA'!A:B,2,0)</f>
        <v>191</v>
      </c>
      <c r="C1135" s="4">
        <v>35750</v>
      </c>
      <c r="D1135" s="9">
        <v>0</v>
      </c>
      <c r="E1135" s="23">
        <v>100</v>
      </c>
      <c r="F1135" s="23">
        <v>100</v>
      </c>
      <c r="G1135" s="16">
        <f>VLOOKUP(A1135,'[1]DRDO Kolar Data'!$A:$E,5,0)*1000</f>
        <v>10300</v>
      </c>
      <c r="H1135" s="24">
        <f t="shared" si="54"/>
        <v>9043448.700000003</v>
      </c>
      <c r="I1135" s="25">
        <f t="shared" si="52"/>
        <v>14.895833333333334</v>
      </c>
      <c r="J1135" s="25">
        <f t="shared" si="53"/>
        <v>19.728291230366498</v>
      </c>
      <c r="K1135" s="17" t="s">
        <v>11</v>
      </c>
    </row>
    <row r="1136" spans="1:11" ht="15.75" customHeight="1" x14ac:dyDescent="0.2">
      <c r="A1136" s="15">
        <v>45939</v>
      </c>
      <c r="B1136" s="3">
        <f>VLOOKUP(A1136,'[1]BADI SID DATA'!A:B,2,0)</f>
        <v>192</v>
      </c>
      <c r="C1136" s="4">
        <v>39650</v>
      </c>
      <c r="D1136" s="9">
        <v>0</v>
      </c>
      <c r="E1136" s="23">
        <v>100</v>
      </c>
      <c r="F1136" s="23">
        <v>100</v>
      </c>
      <c r="G1136" s="16">
        <f>VLOOKUP(A1136,'[1]DRDO Kolar Data'!$A:$E,5,0)*1000</f>
        <v>10200</v>
      </c>
      <c r="H1136" s="24">
        <f t="shared" si="54"/>
        <v>9083098.700000003</v>
      </c>
      <c r="I1136" s="25">
        <f t="shared" si="52"/>
        <v>16.520833333333336</v>
      </c>
      <c r="J1136" s="25">
        <f t="shared" si="53"/>
        <v>19.71158572048612</v>
      </c>
      <c r="K1136" s="17" t="s">
        <v>11</v>
      </c>
    </row>
    <row r="1137" spans="1:11" ht="15.75" customHeight="1" x14ac:dyDescent="0.2">
      <c r="A1137" s="15">
        <v>45940</v>
      </c>
      <c r="B1137" s="3">
        <f>VLOOKUP(A1137,'[1]BADI SID DATA'!A:B,2,0)</f>
        <v>193</v>
      </c>
      <c r="C1137" s="4">
        <v>55900</v>
      </c>
      <c r="D1137" s="9">
        <v>0</v>
      </c>
      <c r="E1137" s="23">
        <v>100</v>
      </c>
      <c r="F1137" s="23">
        <v>100</v>
      </c>
      <c r="G1137" s="16">
        <f>VLOOKUP(A1137,'[1]DRDO Kolar Data'!$A:$E,5,0)*1000</f>
        <v>10600</v>
      </c>
      <c r="H1137" s="24">
        <f t="shared" si="54"/>
        <v>9138998.700000003</v>
      </c>
      <c r="I1137" s="25">
        <f t="shared" si="52"/>
        <v>23.291666666666664</v>
      </c>
      <c r="J1137" s="25">
        <f t="shared" si="53"/>
        <v>19.730135362694305</v>
      </c>
      <c r="K1137" s="17" t="s">
        <v>13</v>
      </c>
    </row>
    <row r="1138" spans="1:11" ht="15.75" customHeight="1" x14ac:dyDescent="0.2">
      <c r="A1138" s="15">
        <v>45941</v>
      </c>
      <c r="B1138" s="3">
        <f>VLOOKUP(A1138,'[1]BADI SID DATA'!A:B,2,0)</f>
        <v>194</v>
      </c>
      <c r="C1138" s="4">
        <v>51350</v>
      </c>
      <c r="D1138" s="9">
        <v>0</v>
      </c>
      <c r="E1138" s="23">
        <v>100</v>
      </c>
      <c r="F1138" s="23">
        <v>100</v>
      </c>
      <c r="G1138" s="16">
        <f>VLOOKUP(A1138,'[1]DRDO Kolar Data'!$A:$E,5,0)*1000</f>
        <v>10300</v>
      </c>
      <c r="H1138" s="24">
        <f t="shared" si="54"/>
        <v>9190348.700000003</v>
      </c>
      <c r="I1138" s="25">
        <f t="shared" si="52"/>
        <v>21.395833333333332</v>
      </c>
      <c r="J1138" s="25">
        <f t="shared" si="53"/>
        <v>19.738721434707909</v>
      </c>
      <c r="K1138" s="17" t="s">
        <v>10</v>
      </c>
    </row>
    <row r="1139" spans="1:11" ht="15.75" customHeight="1" x14ac:dyDescent="0.2">
      <c r="A1139" s="15">
        <v>45942</v>
      </c>
      <c r="B1139" s="3">
        <f>VLOOKUP(A1139,'[1]BADI SID DATA'!A:B,2,0)</f>
        <v>195</v>
      </c>
      <c r="C1139" s="4">
        <v>66300</v>
      </c>
      <c r="D1139" s="9">
        <v>0</v>
      </c>
      <c r="E1139" s="23">
        <v>100</v>
      </c>
      <c r="F1139" s="23">
        <v>100</v>
      </c>
      <c r="G1139" s="16">
        <f>VLOOKUP(A1139,'[1]DRDO Kolar Data'!$A:$E,5,0)*1000</f>
        <v>10600</v>
      </c>
      <c r="H1139" s="24">
        <f t="shared" si="54"/>
        <v>9256648.700000003</v>
      </c>
      <c r="I1139" s="25">
        <f t="shared" si="52"/>
        <v>27.625</v>
      </c>
      <c r="J1139" s="25">
        <f t="shared" si="53"/>
        <v>19.779163888888895</v>
      </c>
      <c r="K1139" s="17" t="s">
        <v>13</v>
      </c>
    </row>
    <row r="1140" spans="1:11" ht="15.75" customHeight="1" x14ac:dyDescent="0.2">
      <c r="A1140" s="15">
        <v>45943</v>
      </c>
      <c r="B1140" s="3">
        <f>VLOOKUP(A1140,'[1]BADI SID DATA'!A:B,2,0)</f>
        <v>196</v>
      </c>
      <c r="C1140" s="4">
        <v>61100</v>
      </c>
      <c r="D1140" s="9">
        <v>0</v>
      </c>
      <c r="E1140" s="23">
        <v>100</v>
      </c>
      <c r="F1140" s="23">
        <v>100</v>
      </c>
      <c r="G1140" s="16">
        <f>VLOOKUP(A1140,'[1]DRDO Kolar Data'!$A:$E,5,0)*1000</f>
        <v>9800</v>
      </c>
      <c r="H1140" s="24">
        <f t="shared" si="54"/>
        <v>9317748.700000003</v>
      </c>
      <c r="I1140" s="25">
        <f t="shared" si="52"/>
        <v>25.458333333333332</v>
      </c>
      <c r="J1140" s="25">
        <f t="shared" si="53"/>
        <v>19.808139243197285</v>
      </c>
      <c r="K1140" s="17" t="s">
        <v>10</v>
      </c>
    </row>
    <row r="1141" spans="1:11" ht="15.75" customHeight="1" x14ac:dyDescent="0.2">
      <c r="A1141" s="15">
        <v>45944</v>
      </c>
      <c r="B1141" s="3">
        <f>VLOOKUP(A1141,'[1]BADI SID DATA'!A:B,2,0)</f>
        <v>197</v>
      </c>
      <c r="C1141" s="4">
        <v>49400</v>
      </c>
      <c r="D1141" s="9">
        <v>0</v>
      </c>
      <c r="E1141" s="23">
        <v>100</v>
      </c>
      <c r="F1141" s="23">
        <v>100</v>
      </c>
      <c r="G1141" s="16">
        <f>VLOOKUP(A1141,'[1]DRDO Kolar Data'!$A:$E,5,0)*1000</f>
        <v>10100</v>
      </c>
      <c r="H1141" s="24">
        <f t="shared" si="54"/>
        <v>9367148.700000003</v>
      </c>
      <c r="I1141" s="25">
        <f t="shared" si="52"/>
        <v>20.583333333333336</v>
      </c>
      <c r="J1141" s="25">
        <f t="shared" si="53"/>
        <v>19.812074238578685</v>
      </c>
      <c r="K1141" s="17" t="s">
        <v>10</v>
      </c>
    </row>
    <row r="1142" spans="1:11" ht="15.75" customHeight="1" x14ac:dyDescent="0.2">
      <c r="A1142" s="15">
        <v>45945</v>
      </c>
      <c r="B1142" s="3">
        <f>VLOOKUP(A1142,'[1]BADI SID DATA'!A:B,2,0)</f>
        <v>198</v>
      </c>
      <c r="C1142" s="4">
        <v>35750</v>
      </c>
      <c r="D1142" s="9">
        <v>0</v>
      </c>
      <c r="E1142" s="23">
        <v>100</v>
      </c>
      <c r="F1142" s="23">
        <v>100</v>
      </c>
      <c r="G1142" s="16">
        <f>VLOOKUP(A1142,'[1]DRDO Kolar Data'!$A:$E,5,0)*1000</f>
        <v>9200</v>
      </c>
      <c r="H1142" s="24">
        <f t="shared" si="54"/>
        <v>9402898.700000003</v>
      </c>
      <c r="I1142" s="25">
        <f t="shared" si="52"/>
        <v>14.895833333333334</v>
      </c>
      <c r="J1142" s="25">
        <f t="shared" si="53"/>
        <v>19.787244739057243</v>
      </c>
      <c r="K1142" s="17" t="s">
        <v>10</v>
      </c>
    </row>
    <row r="1143" spans="1:11" ht="15.75" customHeight="1" x14ac:dyDescent="0.2">
      <c r="A1143" s="15">
        <v>45946</v>
      </c>
      <c r="B1143" s="3">
        <f>VLOOKUP(A1143,'[1]BADI SID DATA'!A:B,2,0)</f>
        <v>199</v>
      </c>
      <c r="C1143" s="4">
        <v>30000</v>
      </c>
      <c r="D1143" s="9">
        <v>0</v>
      </c>
      <c r="E1143" s="23">
        <v>100</v>
      </c>
      <c r="F1143" s="23">
        <v>100</v>
      </c>
      <c r="G1143" s="16">
        <f>VLOOKUP(A1143,'[1]DRDO Kolar Data'!$A:$E,5,0)*1000</f>
        <v>5000</v>
      </c>
      <c r="H1143" s="24">
        <f t="shared" si="54"/>
        <v>9432898.700000003</v>
      </c>
      <c r="I1143" s="25">
        <f t="shared" si="52"/>
        <v>12.5</v>
      </c>
      <c r="J1143" s="25">
        <f t="shared" si="53"/>
        <v>19.750625418760475</v>
      </c>
      <c r="K1143" s="20"/>
    </row>
    <row r="1144" spans="1:11" ht="15.75" customHeight="1" x14ac:dyDescent="0.2">
      <c r="A1144" s="15">
        <v>45947</v>
      </c>
      <c r="B1144" s="3">
        <f>VLOOKUP(A1144,'[1]BADI SID DATA'!A:B,2,0)</f>
        <v>200</v>
      </c>
      <c r="C1144" s="4">
        <v>40200</v>
      </c>
      <c r="D1144" s="9">
        <v>0</v>
      </c>
      <c r="E1144" s="23">
        <v>100</v>
      </c>
      <c r="F1144" s="23">
        <v>100</v>
      </c>
      <c r="G1144" s="16">
        <f>VLOOKUP(A1144,'[1]DRDO Kolar Data'!$A:$E,5,0)*1000</f>
        <v>3610</v>
      </c>
      <c r="H1144" s="24">
        <f t="shared" si="54"/>
        <v>9473098.700000003</v>
      </c>
      <c r="I1144" s="25">
        <f t="shared" si="52"/>
        <v>16.75</v>
      </c>
      <c r="J1144" s="25">
        <f t="shared" si="53"/>
        <v>19.735622291666672</v>
      </c>
      <c r="K1144" s="20"/>
    </row>
    <row r="1145" spans="1:11" ht="15.75" customHeight="1" x14ac:dyDescent="0.2">
      <c r="A1145" s="15">
        <v>45948</v>
      </c>
      <c r="B1145" s="3">
        <f>VLOOKUP(A1145,'[1]BADI SID DATA'!A:B,2,0)</f>
        <v>201</v>
      </c>
      <c r="C1145" s="4">
        <v>33000</v>
      </c>
      <c r="D1145" s="9">
        <v>0</v>
      </c>
      <c r="E1145" s="23">
        <v>100</v>
      </c>
      <c r="F1145" s="23">
        <v>100</v>
      </c>
      <c r="G1145" s="16">
        <f>VLOOKUP(A1145,'[1]DRDO Kolar Data'!$A:$E,5,0)*1000</f>
        <v>5090</v>
      </c>
      <c r="H1145" s="24">
        <f t="shared" si="54"/>
        <v>9506098.700000003</v>
      </c>
      <c r="I1145" s="25">
        <f t="shared" si="52"/>
        <v>13.750000000000002</v>
      </c>
      <c r="J1145" s="25">
        <f t="shared" si="53"/>
        <v>19.705843076285245</v>
      </c>
      <c r="K1145" s="20"/>
    </row>
    <row r="1146" spans="1:11" ht="15.75" customHeight="1" x14ac:dyDescent="0.2">
      <c r="A1146" s="15">
        <v>45949</v>
      </c>
      <c r="B1146" s="3">
        <f>VLOOKUP(A1146,'[1]BADI SID DATA'!A:B,2,0)</f>
        <v>202</v>
      </c>
      <c r="C1146" s="4">
        <v>49800</v>
      </c>
      <c r="D1146" s="9">
        <v>0</v>
      </c>
      <c r="E1146" s="23">
        <v>100</v>
      </c>
      <c r="F1146" s="23">
        <v>100</v>
      </c>
      <c r="G1146" s="16">
        <f>VLOOKUP(A1146,'[1]DRDO Kolar Data'!$A:$E,5,0)*1000</f>
        <v>9890</v>
      </c>
      <c r="H1146" s="24">
        <f t="shared" si="54"/>
        <v>9555898.700000003</v>
      </c>
      <c r="I1146" s="25">
        <f t="shared" si="52"/>
        <v>20.75</v>
      </c>
      <c r="J1146" s="25">
        <f t="shared" si="53"/>
        <v>19.711012169967002</v>
      </c>
      <c r="K1146" s="20"/>
    </row>
    <row r="1147" spans="1:11" ht="15.75" customHeight="1" x14ac:dyDescent="0.2">
      <c r="A1147" s="15">
        <v>45950</v>
      </c>
      <c r="B1147" s="3">
        <f>VLOOKUP(A1147,'[1]BADI SID DATA'!A:B,2,0)</f>
        <v>203</v>
      </c>
      <c r="C1147" s="4">
        <v>48000</v>
      </c>
      <c r="D1147" s="9">
        <v>0</v>
      </c>
      <c r="E1147" s="23">
        <v>100</v>
      </c>
      <c r="F1147" s="23">
        <v>100</v>
      </c>
      <c r="G1147" s="16">
        <f>VLOOKUP(A1147,'[1]DRDO Kolar Data'!$A:$E,5,0)*1000</f>
        <v>8950</v>
      </c>
      <c r="H1147" s="24">
        <f t="shared" si="54"/>
        <v>9603898.700000003</v>
      </c>
      <c r="I1147" s="25">
        <f t="shared" si="52"/>
        <v>20</v>
      </c>
      <c r="J1147" s="25">
        <f t="shared" si="53"/>
        <v>19.712435755336625</v>
      </c>
      <c r="K1147" s="20"/>
    </row>
    <row r="1148" spans="1:11" ht="15.75" customHeight="1" x14ac:dyDescent="0.2">
      <c r="A1148" s="15">
        <v>45951</v>
      </c>
      <c r="B1148" s="3">
        <f>VLOOKUP(A1148,'[1]BADI SID DATA'!A:B,2,0)</f>
        <v>204</v>
      </c>
      <c r="C1148" s="4">
        <v>24000</v>
      </c>
      <c r="D1148" s="9">
        <v>0</v>
      </c>
      <c r="E1148" s="23">
        <v>100</v>
      </c>
      <c r="F1148" s="23">
        <v>100</v>
      </c>
      <c r="G1148" s="16">
        <f>VLOOKUP(A1148,'[1]DRDO Kolar Data'!$A:$E,5,0)*1000</f>
        <v>3840</v>
      </c>
      <c r="H1148" s="24">
        <f t="shared" si="54"/>
        <v>9627898.700000003</v>
      </c>
      <c r="I1148" s="25">
        <f t="shared" si="52"/>
        <v>10</v>
      </c>
      <c r="J1148" s="25">
        <f t="shared" si="53"/>
        <v>19.664825776143797</v>
      </c>
      <c r="K1148" s="17" t="s">
        <v>10</v>
      </c>
    </row>
    <row r="1149" spans="1:11" ht="15.75" customHeight="1" x14ac:dyDescent="0.2">
      <c r="A1149" s="15">
        <v>45952</v>
      </c>
      <c r="B1149" s="3">
        <f>VLOOKUP(A1149,'[1]BADI SID DATA'!A:B,2,0)</f>
        <v>205</v>
      </c>
      <c r="C1149" s="4">
        <v>25800</v>
      </c>
      <c r="D1149" s="9">
        <v>0</v>
      </c>
      <c r="E1149" s="23">
        <v>100</v>
      </c>
      <c r="F1149" s="23">
        <v>100</v>
      </c>
      <c r="G1149" s="16">
        <f>VLOOKUP(A1149,'[1]DRDO Kolar Data'!$A:$E,5,0)*1000</f>
        <v>6460</v>
      </c>
      <c r="H1149" s="24">
        <f t="shared" si="54"/>
        <v>9653698.700000003</v>
      </c>
      <c r="I1149" s="25">
        <f t="shared" si="52"/>
        <v>10.75</v>
      </c>
      <c r="J1149" s="25">
        <f t="shared" si="53"/>
        <v>19.621338821138217</v>
      </c>
      <c r="K1149" s="17" t="s">
        <v>10</v>
      </c>
    </row>
    <row r="1150" spans="1:11" ht="15.75" customHeight="1" x14ac:dyDescent="0.2">
      <c r="A1150" s="15">
        <v>45953</v>
      </c>
      <c r="B1150" s="3">
        <f>VLOOKUP(A1150,'[1]BADI SID DATA'!A:B,2,0)</f>
        <v>206</v>
      </c>
      <c r="C1150" s="4">
        <v>37800</v>
      </c>
      <c r="D1150" s="9">
        <v>0</v>
      </c>
      <c r="E1150" s="23">
        <v>100</v>
      </c>
      <c r="F1150" s="23">
        <v>100</v>
      </c>
      <c r="G1150" s="16">
        <f>VLOOKUP(A1150,'[1]DRDO Kolar Data'!$A:$E,5,0)*1000</f>
        <v>8119.9999999999991</v>
      </c>
      <c r="H1150" s="24">
        <f t="shared" si="54"/>
        <v>9691498.700000003</v>
      </c>
      <c r="I1150" s="25">
        <f t="shared" si="52"/>
        <v>15.75</v>
      </c>
      <c r="J1150" s="25">
        <f t="shared" si="53"/>
        <v>19.602545914239489</v>
      </c>
      <c r="K1150" s="21" t="s">
        <v>40</v>
      </c>
    </row>
    <row r="1151" spans="1:11" ht="15.75" customHeight="1" x14ac:dyDescent="0.2">
      <c r="A1151" s="15">
        <v>45954</v>
      </c>
      <c r="B1151" s="3">
        <f>VLOOKUP(A1151,'[1]BADI SID DATA'!A:B,2,0)</f>
        <v>207</v>
      </c>
      <c r="C1151" s="4">
        <v>31800</v>
      </c>
      <c r="D1151" s="9">
        <v>0</v>
      </c>
      <c r="E1151" s="23">
        <v>100</v>
      </c>
      <c r="F1151" s="23">
        <v>100</v>
      </c>
      <c r="G1151" s="16">
        <f>VLOOKUP(A1151,'[1]DRDO Kolar Data'!$A:$E,5,0)*1000</f>
        <v>5090</v>
      </c>
      <c r="H1151" s="24">
        <f t="shared" si="54"/>
        <v>9723298.700000003</v>
      </c>
      <c r="I1151" s="25">
        <f t="shared" si="52"/>
        <v>13.25</v>
      </c>
      <c r="J1151" s="25">
        <f t="shared" si="53"/>
        <v>19.571857286634469</v>
      </c>
      <c r="K1151" s="20"/>
    </row>
    <row r="1152" spans="1:11" ht="15.75" customHeight="1" x14ac:dyDescent="0.2">
      <c r="A1152" s="15">
        <v>45955</v>
      </c>
      <c r="B1152" s="3">
        <f>VLOOKUP(A1152,'[1]BADI SID DATA'!A:B,2,0)</f>
        <v>208</v>
      </c>
      <c r="C1152" s="4">
        <v>51000</v>
      </c>
      <c r="D1152" s="9">
        <v>0</v>
      </c>
      <c r="E1152" s="23">
        <v>100</v>
      </c>
      <c r="F1152" s="23">
        <v>100</v>
      </c>
      <c r="G1152" s="16">
        <f>VLOOKUP(A1152,'[1]DRDO Kolar Data'!$A:$E,5,0)*1000</f>
        <v>7620</v>
      </c>
      <c r="H1152" s="24">
        <f t="shared" si="54"/>
        <v>9774298.700000003</v>
      </c>
      <c r="I1152" s="25">
        <f t="shared" si="52"/>
        <v>21.25</v>
      </c>
      <c r="J1152" s="25">
        <f t="shared" si="53"/>
        <v>19.579925280448723</v>
      </c>
      <c r="K1152" s="20"/>
    </row>
    <row r="1153" spans="1:11" ht="15.75" customHeight="1" x14ac:dyDescent="0.2">
      <c r="A1153" s="15">
        <v>45956</v>
      </c>
      <c r="B1153" s="3">
        <f>VLOOKUP(A1153,'[1]BADI SID DATA'!A:B,2,0)</f>
        <v>209</v>
      </c>
      <c r="C1153" s="4">
        <v>45000</v>
      </c>
      <c r="D1153" s="9">
        <v>0</v>
      </c>
      <c r="E1153" s="23">
        <v>100</v>
      </c>
      <c r="F1153" s="23">
        <v>100</v>
      </c>
      <c r="G1153" s="16">
        <f>VLOOKUP(A1153,'[1]DRDO Kolar Data'!$A:$E,5,0)*1000</f>
        <v>6890</v>
      </c>
      <c r="H1153" s="24">
        <f t="shared" si="54"/>
        <v>9819298.700000003</v>
      </c>
      <c r="I1153" s="25">
        <f t="shared" si="52"/>
        <v>18.75</v>
      </c>
      <c r="J1153" s="25">
        <f t="shared" si="53"/>
        <v>19.575954346092512</v>
      </c>
      <c r="K1153" s="21" t="s">
        <v>41</v>
      </c>
    </row>
    <row r="1154" spans="1:11" ht="15.75" customHeight="1" x14ac:dyDescent="0.2">
      <c r="A1154" s="15">
        <v>45957</v>
      </c>
      <c r="B1154" s="3">
        <f>VLOOKUP(A1154,'[1]BADI SID DATA'!A:B,2,0)</f>
        <v>210</v>
      </c>
      <c r="C1154" s="4">
        <v>23400</v>
      </c>
      <c r="D1154" s="9">
        <v>0</v>
      </c>
      <c r="E1154" s="23">
        <v>100</v>
      </c>
      <c r="F1154" s="23">
        <v>100</v>
      </c>
      <c r="G1154" s="16">
        <f>VLOOKUP(A1154,'[1]DRDO Kolar Data'!$A:$E,5,0)*1000</f>
        <v>4670</v>
      </c>
      <c r="H1154" s="24">
        <f t="shared" si="54"/>
        <v>9842698.700000003</v>
      </c>
      <c r="I1154" s="25">
        <f t="shared" si="52"/>
        <v>9.75</v>
      </c>
      <c r="J1154" s="25">
        <f t="shared" si="53"/>
        <v>19.529164087301591</v>
      </c>
      <c r="K1154" s="21" t="s">
        <v>40</v>
      </c>
    </row>
    <row r="1155" spans="1:11" ht="15.75" customHeight="1" x14ac:dyDescent="0.2">
      <c r="A1155" s="15">
        <v>45958</v>
      </c>
      <c r="B1155" s="3">
        <f>VLOOKUP(A1155,'[1]BADI SID DATA'!A:B,2,0)</f>
        <v>211</v>
      </c>
      <c r="C1155" s="4">
        <v>12000</v>
      </c>
      <c r="D1155" s="9">
        <v>0</v>
      </c>
      <c r="E1155" s="23">
        <v>100</v>
      </c>
      <c r="F1155" s="23">
        <v>100</v>
      </c>
      <c r="G1155" s="16">
        <f>VLOOKUP(A1155,'[1]DRDO Kolar Data'!$A:$E,5,0)*1000</f>
        <v>4730</v>
      </c>
      <c r="H1155" s="24">
        <f t="shared" si="54"/>
        <v>9854698.700000003</v>
      </c>
      <c r="I1155" s="25">
        <f t="shared" ref="I1155:I1218" si="55">(C1155/(10*24*1000))*100</f>
        <v>5</v>
      </c>
      <c r="J1155" s="25">
        <f t="shared" ref="J1155:J1218" si="56">(H1155/(24*B1155*10*1000))*100</f>
        <v>19.460305489731443</v>
      </c>
      <c r="K1155" s="21" t="s">
        <v>40</v>
      </c>
    </row>
    <row r="1156" spans="1:11" ht="15.75" customHeight="1" x14ac:dyDescent="0.2">
      <c r="A1156" s="15">
        <v>45959</v>
      </c>
      <c r="B1156" s="3">
        <f>VLOOKUP(A1156,'[1]BADI SID DATA'!A:B,2,0)</f>
        <v>212</v>
      </c>
      <c r="C1156" s="4">
        <v>43200</v>
      </c>
      <c r="D1156" s="9">
        <v>0</v>
      </c>
      <c r="E1156" s="23">
        <v>100</v>
      </c>
      <c r="F1156" s="23">
        <v>100</v>
      </c>
      <c r="G1156" s="16">
        <f>VLOOKUP(A1156,'[1]DRDO Kolar Data'!$A:$E,5,0)*1000</f>
        <v>8020</v>
      </c>
      <c r="H1156" s="24">
        <f t="shared" si="54"/>
        <v>9897898.700000003</v>
      </c>
      <c r="I1156" s="25">
        <f t="shared" si="55"/>
        <v>18</v>
      </c>
      <c r="J1156" s="25">
        <f t="shared" si="56"/>
        <v>19.453417256289317</v>
      </c>
      <c r="K1156" s="20"/>
    </row>
    <row r="1157" spans="1:11" ht="15.75" customHeight="1" x14ac:dyDescent="0.2">
      <c r="A1157" s="15">
        <v>45960</v>
      </c>
      <c r="B1157" s="3">
        <f>VLOOKUP(A1157,'[1]BADI SID DATA'!A:B,2,0)</f>
        <v>213</v>
      </c>
      <c r="C1157" s="4">
        <v>61200</v>
      </c>
      <c r="D1157" s="9">
        <v>0</v>
      </c>
      <c r="E1157" s="23">
        <v>100</v>
      </c>
      <c r="F1157" s="23">
        <v>100</v>
      </c>
      <c r="G1157" s="16">
        <f>VLOOKUP(A1157,'[1]DRDO Kolar Data'!$A:$E,5,0)*1000</f>
        <v>9260</v>
      </c>
      <c r="H1157" s="24">
        <f t="shared" ref="H1157:H1220" si="57">C1157+H1156</f>
        <v>9959098.700000003</v>
      </c>
      <c r="I1157" s="25">
        <f t="shared" si="55"/>
        <v>25.5</v>
      </c>
      <c r="J1157" s="25">
        <f t="shared" si="56"/>
        <v>19.481804968701102</v>
      </c>
      <c r="K1157" s="20"/>
    </row>
    <row r="1158" spans="1:11" ht="15.75" customHeight="1" x14ac:dyDescent="0.2">
      <c r="A1158" s="15">
        <v>45961</v>
      </c>
      <c r="B1158" s="3">
        <f>VLOOKUP(A1158,'[1]BADI SID DATA'!A:B,2,0)</f>
        <v>214</v>
      </c>
      <c r="C1158" s="4">
        <v>64800</v>
      </c>
      <c r="D1158" s="9">
        <v>0</v>
      </c>
      <c r="E1158" s="23">
        <v>100</v>
      </c>
      <c r="F1158" s="23">
        <v>100</v>
      </c>
      <c r="G1158" s="16">
        <f>VLOOKUP(A1158,'[1]DRDO Kolar Data'!$A:$E,5,0)*1000</f>
        <v>9070</v>
      </c>
      <c r="H1158" s="24">
        <f t="shared" si="57"/>
        <v>10023898.700000003</v>
      </c>
      <c r="I1158" s="25">
        <f t="shared" si="55"/>
        <v>27</v>
      </c>
      <c r="J1158" s="25">
        <f t="shared" si="56"/>
        <v>19.516936721183807</v>
      </c>
      <c r="K1158" s="20"/>
    </row>
    <row r="1159" spans="1:11" ht="15.75" customHeight="1" x14ac:dyDescent="0.2">
      <c r="A1159" s="15">
        <v>45962</v>
      </c>
      <c r="B1159" s="3">
        <f>VLOOKUP(A1159,'[1]BADI SID DATA'!A:B,2,0)</f>
        <v>215</v>
      </c>
      <c r="C1159" s="4">
        <v>50400</v>
      </c>
      <c r="D1159" s="9">
        <v>0</v>
      </c>
      <c r="E1159" s="23">
        <v>100</v>
      </c>
      <c r="F1159" s="23">
        <v>100</v>
      </c>
      <c r="G1159" s="16">
        <f>VLOOKUP(A1159,'[1]DRDO Kolar Data'!$A:$E,5,0)*1000</f>
        <v>9150</v>
      </c>
      <c r="H1159" s="24">
        <f t="shared" si="57"/>
        <v>10074298.700000003</v>
      </c>
      <c r="I1159" s="25">
        <f t="shared" si="55"/>
        <v>21</v>
      </c>
      <c r="J1159" s="25">
        <f t="shared" si="56"/>
        <v>19.523834689922488</v>
      </c>
      <c r="K1159" s="20"/>
    </row>
    <row r="1160" spans="1:11" ht="15.75" customHeight="1" x14ac:dyDescent="0.2">
      <c r="A1160" s="15">
        <v>45963</v>
      </c>
      <c r="B1160" s="3">
        <f>VLOOKUP(A1160,'[1]BADI SID DATA'!A:B,2,0)</f>
        <v>216</v>
      </c>
      <c r="C1160" s="4">
        <v>53800</v>
      </c>
      <c r="D1160" s="9">
        <v>0</v>
      </c>
      <c r="E1160" s="23">
        <v>100</v>
      </c>
      <c r="F1160" s="23">
        <v>100</v>
      </c>
      <c r="G1160" s="16">
        <f>VLOOKUP(A1160,'[1]DRDO Kolar Data'!$A:$E,5,0)*1000</f>
        <v>7980</v>
      </c>
      <c r="H1160" s="24">
        <f t="shared" si="57"/>
        <v>10128098.700000003</v>
      </c>
      <c r="I1160" s="25">
        <f t="shared" si="55"/>
        <v>22.416666666666664</v>
      </c>
      <c r="J1160" s="25">
        <f t="shared" si="56"/>
        <v>19.537227430555561</v>
      </c>
      <c r="K1160" s="20"/>
    </row>
    <row r="1161" spans="1:11" ht="15.75" customHeight="1" x14ac:dyDescent="0.2">
      <c r="A1161" s="15">
        <v>45964</v>
      </c>
      <c r="B1161" s="3">
        <f>VLOOKUP(A1161,'[1]BADI SID DATA'!A:B,2,0)</f>
        <v>217</v>
      </c>
      <c r="C1161" s="4">
        <v>51000</v>
      </c>
      <c r="D1161" s="9">
        <v>0</v>
      </c>
      <c r="E1161" s="23">
        <v>100</v>
      </c>
      <c r="F1161" s="23">
        <v>100</v>
      </c>
      <c r="G1161" s="16">
        <f>VLOOKUP(A1161,'[1]DRDO Kolar Data'!$A:$E,5,0)*1000</f>
        <v>8480</v>
      </c>
      <c r="H1161" s="24">
        <f t="shared" si="57"/>
        <v>10179098.700000003</v>
      </c>
      <c r="I1161" s="25">
        <f t="shared" si="55"/>
        <v>21.25</v>
      </c>
      <c r="J1161" s="25">
        <f t="shared" si="56"/>
        <v>19.545120391705076</v>
      </c>
      <c r="K1161" s="20"/>
    </row>
    <row r="1162" spans="1:11" ht="15.75" customHeight="1" x14ac:dyDescent="0.2">
      <c r="A1162" s="15">
        <v>45965</v>
      </c>
      <c r="B1162" s="3">
        <f>VLOOKUP(A1162,'[1]BADI SID DATA'!A:B,2,0)</f>
        <v>218</v>
      </c>
      <c r="C1162" s="4">
        <v>31200</v>
      </c>
      <c r="D1162" s="9">
        <v>0</v>
      </c>
      <c r="E1162" s="23">
        <v>100</v>
      </c>
      <c r="F1162" s="23">
        <v>100</v>
      </c>
      <c r="G1162" s="16">
        <f>VLOOKUP(A1162,'[1]DRDO Kolar Data'!$A:$E,5,0)*1000</f>
        <v>5090</v>
      </c>
      <c r="H1162" s="24">
        <f t="shared" si="57"/>
        <v>10210298.700000003</v>
      </c>
      <c r="I1162" s="25">
        <f t="shared" si="55"/>
        <v>13</v>
      </c>
      <c r="J1162" s="25">
        <f t="shared" si="56"/>
        <v>19.515096903669729</v>
      </c>
      <c r="K1162" s="21" t="s">
        <v>41</v>
      </c>
    </row>
    <row r="1163" spans="1:11" ht="15.75" customHeight="1" x14ac:dyDescent="0.2">
      <c r="A1163" s="15">
        <v>45966</v>
      </c>
      <c r="B1163" s="3">
        <f>VLOOKUP(A1163,'[1]BADI SID DATA'!A:B,2,0)</f>
        <v>219</v>
      </c>
      <c r="C1163" s="4">
        <v>48600</v>
      </c>
      <c r="D1163" s="9">
        <v>0</v>
      </c>
      <c r="E1163" s="23">
        <v>100</v>
      </c>
      <c r="F1163" s="23">
        <v>100</v>
      </c>
      <c r="G1163" s="16">
        <f>VLOOKUP(A1163,'[1]DRDO Kolar Data'!$A:$E,5,0)*1000</f>
        <v>7580</v>
      </c>
      <c r="H1163" s="24">
        <f t="shared" si="57"/>
        <v>10258898.700000003</v>
      </c>
      <c r="I1163" s="25">
        <f t="shared" si="55"/>
        <v>20.25</v>
      </c>
      <c r="J1163" s="25">
        <f t="shared" si="56"/>
        <v>19.518452625570781</v>
      </c>
      <c r="K1163" s="20"/>
    </row>
    <row r="1164" spans="1:11" ht="15.75" customHeight="1" x14ac:dyDescent="0.2">
      <c r="A1164" s="15">
        <v>45967</v>
      </c>
      <c r="B1164" s="3">
        <f>VLOOKUP(A1164,'[1]BADI SID DATA'!A:B,2,0)</f>
        <v>220</v>
      </c>
      <c r="C1164" s="4">
        <v>22200</v>
      </c>
      <c r="D1164" s="9">
        <v>0</v>
      </c>
      <c r="E1164" s="23">
        <v>100</v>
      </c>
      <c r="F1164" s="23">
        <v>100</v>
      </c>
      <c r="G1164" s="16">
        <f>VLOOKUP(A1164,'[1]DRDO Kolar Data'!$A:$E,5,0)*1000</f>
        <v>5310</v>
      </c>
      <c r="H1164" s="24">
        <f t="shared" si="57"/>
        <v>10281098.700000003</v>
      </c>
      <c r="I1164" s="25">
        <f t="shared" si="55"/>
        <v>9.25</v>
      </c>
      <c r="J1164" s="25">
        <f t="shared" si="56"/>
        <v>19.471777840909095</v>
      </c>
      <c r="K1164" s="21" t="s">
        <v>40</v>
      </c>
    </row>
    <row r="1165" spans="1:11" ht="15.75" customHeight="1" x14ac:dyDescent="0.2">
      <c r="A1165" s="15">
        <v>45968</v>
      </c>
      <c r="B1165" s="3">
        <f>VLOOKUP(A1165,'[1]BADI SID DATA'!A:B,2,0)</f>
        <v>221</v>
      </c>
      <c r="C1165" s="4">
        <v>51000</v>
      </c>
      <c r="D1165" s="9">
        <v>0</v>
      </c>
      <c r="E1165" s="23">
        <v>100</v>
      </c>
      <c r="F1165" s="23">
        <v>100</v>
      </c>
      <c r="G1165" s="16">
        <f>VLOOKUP(A1165,'[1]DRDO Kolar Data'!$A:$E,5,0)*1000</f>
        <v>8720</v>
      </c>
      <c r="H1165" s="24">
        <f t="shared" si="57"/>
        <v>10332098.700000003</v>
      </c>
      <c r="I1165" s="25">
        <f t="shared" si="55"/>
        <v>21.25</v>
      </c>
      <c r="J1165" s="25">
        <f t="shared" si="56"/>
        <v>19.479824095022629</v>
      </c>
      <c r="K1165" s="20"/>
    </row>
    <row r="1166" spans="1:11" ht="15.75" customHeight="1" x14ac:dyDescent="0.2">
      <c r="A1166" s="15">
        <v>45969</v>
      </c>
      <c r="B1166" s="3">
        <f>VLOOKUP(A1166,'[1]BADI SID DATA'!A:B,2,0)</f>
        <v>222</v>
      </c>
      <c r="C1166" s="4">
        <v>42600</v>
      </c>
      <c r="D1166" s="9">
        <v>0</v>
      </c>
      <c r="E1166" s="23">
        <v>100</v>
      </c>
      <c r="F1166" s="23">
        <v>100</v>
      </c>
      <c r="G1166" s="16">
        <f>VLOOKUP(A1166,'[1]DRDO Kolar Data'!$A:$E,5,0)*1000</f>
        <v>6900</v>
      </c>
      <c r="H1166" s="24">
        <f t="shared" si="57"/>
        <v>10374698.700000003</v>
      </c>
      <c r="I1166" s="25">
        <f t="shared" si="55"/>
        <v>17.75</v>
      </c>
      <c r="J1166" s="25">
        <f t="shared" si="56"/>
        <v>19.472032094594599</v>
      </c>
      <c r="K1166" s="20"/>
    </row>
    <row r="1167" spans="1:11" ht="15.75" customHeight="1" x14ac:dyDescent="0.2">
      <c r="A1167" s="15">
        <v>45970</v>
      </c>
      <c r="B1167" s="3">
        <f>VLOOKUP(A1167,'[1]BADI SID DATA'!A:B,2,0)</f>
        <v>223</v>
      </c>
      <c r="C1167" s="4">
        <v>65400</v>
      </c>
      <c r="D1167" s="9">
        <v>0</v>
      </c>
      <c r="E1167" s="23">
        <v>100</v>
      </c>
      <c r="F1167" s="23">
        <v>100</v>
      </c>
      <c r="G1167" s="16">
        <f>VLOOKUP(A1167,'[1]DRDO Kolar Data'!$A:$E,5,0)*1000</f>
        <v>8480</v>
      </c>
      <c r="H1167" s="24">
        <f t="shared" si="57"/>
        <v>10440098.700000003</v>
      </c>
      <c r="I1167" s="25">
        <f t="shared" si="55"/>
        <v>27.250000000000004</v>
      </c>
      <c r="J1167" s="25">
        <f t="shared" si="56"/>
        <v>19.506910874439466</v>
      </c>
      <c r="K1167" s="20"/>
    </row>
    <row r="1168" spans="1:11" ht="15.75" customHeight="1" x14ac:dyDescent="0.2">
      <c r="A1168" s="15">
        <v>45971</v>
      </c>
      <c r="B1168" s="3">
        <f>VLOOKUP(A1168,'[1]BADI SID DATA'!A:B,2,0)</f>
        <v>224</v>
      </c>
      <c r="C1168" s="4">
        <v>65650</v>
      </c>
      <c r="D1168" s="9">
        <v>0</v>
      </c>
      <c r="E1168" s="23">
        <v>100</v>
      </c>
      <c r="F1168" s="23">
        <v>100</v>
      </c>
      <c r="G1168" s="16">
        <f>VLOOKUP(A1168,'[1]DRDO Kolar Data'!$A:$E,5,0)*1000</f>
        <v>9250</v>
      </c>
      <c r="H1168" s="24">
        <f t="shared" si="57"/>
        <v>10505748.700000003</v>
      </c>
      <c r="I1168" s="25">
        <f t="shared" si="55"/>
        <v>27.354166666666668</v>
      </c>
      <c r="J1168" s="25">
        <f t="shared" si="56"/>
        <v>19.541943266369053</v>
      </c>
      <c r="K1168" s="20"/>
    </row>
    <row r="1169" spans="1:11" ht="15.75" customHeight="1" x14ac:dyDescent="0.2">
      <c r="A1169" s="15">
        <v>45972</v>
      </c>
      <c r="B1169" s="3">
        <f>VLOOKUP(A1169,'[1]BADI SID DATA'!A:B,2,0)</f>
        <v>225</v>
      </c>
      <c r="C1169" s="4">
        <v>46800</v>
      </c>
      <c r="D1169" s="9">
        <v>0</v>
      </c>
      <c r="E1169" s="23">
        <v>100</v>
      </c>
      <c r="F1169" s="23">
        <v>100</v>
      </c>
      <c r="G1169" s="16">
        <f>VLOOKUP(A1169,'[1]DRDO Kolar Data'!$A:$E,5,0)*1000</f>
        <v>8750</v>
      </c>
      <c r="H1169" s="24">
        <f t="shared" si="57"/>
        <v>10552548.700000003</v>
      </c>
      <c r="I1169" s="25">
        <f t="shared" si="55"/>
        <v>19.5</v>
      </c>
      <c r="J1169" s="25">
        <f t="shared" si="56"/>
        <v>19.541756851851858</v>
      </c>
      <c r="K1169" s="20"/>
    </row>
    <row r="1170" spans="1:11" ht="15.75" customHeight="1" x14ac:dyDescent="0.2">
      <c r="A1170" s="15">
        <v>45973</v>
      </c>
      <c r="B1170" s="3">
        <f>VLOOKUP(A1170,'[1]BADI SID DATA'!A:B,2,0)</f>
        <v>226</v>
      </c>
      <c r="C1170" s="4">
        <v>50400</v>
      </c>
      <c r="D1170" s="9">
        <v>0</v>
      </c>
      <c r="E1170" s="23">
        <v>100</v>
      </c>
      <c r="F1170" s="23">
        <v>100</v>
      </c>
      <c r="G1170" s="16">
        <f>VLOOKUP(A1170,'[1]DRDO Kolar Data'!$A:$E,5,0)*1000</f>
        <v>9390</v>
      </c>
      <c r="H1170" s="24">
        <f t="shared" si="57"/>
        <v>10602948.700000003</v>
      </c>
      <c r="I1170" s="25">
        <f t="shared" si="55"/>
        <v>21</v>
      </c>
      <c r="J1170" s="25">
        <f t="shared" si="56"/>
        <v>19.548209255162245</v>
      </c>
      <c r="K1170" s="20"/>
    </row>
    <row r="1171" spans="1:11" ht="15.75" customHeight="1" x14ac:dyDescent="0.2">
      <c r="A1171" s="15">
        <v>45974</v>
      </c>
      <c r="B1171" s="3">
        <f>VLOOKUP(A1171,'[1]BADI SID DATA'!A:B,2,0)</f>
        <v>227</v>
      </c>
      <c r="C1171" s="4">
        <v>45000</v>
      </c>
      <c r="D1171" s="9">
        <v>0</v>
      </c>
      <c r="E1171" s="23">
        <v>100</v>
      </c>
      <c r="F1171" s="23">
        <v>100</v>
      </c>
      <c r="G1171" s="16">
        <f>VLOOKUP(A1171,'[1]DRDO Kolar Data'!$A:$E,5,0)*1000</f>
        <v>8060.0000000000009</v>
      </c>
      <c r="H1171" s="24">
        <f t="shared" si="57"/>
        <v>10647948.700000003</v>
      </c>
      <c r="I1171" s="25">
        <f t="shared" si="55"/>
        <v>18.75</v>
      </c>
      <c r="J1171" s="25">
        <f t="shared" si="56"/>
        <v>19.544692914831135</v>
      </c>
      <c r="K1171" s="20"/>
    </row>
    <row r="1172" spans="1:11" ht="15.75" customHeight="1" x14ac:dyDescent="0.2">
      <c r="A1172" s="15">
        <v>45975</v>
      </c>
      <c r="B1172" s="3">
        <f>VLOOKUP(A1172,'[1]BADI SID DATA'!A:B,2,0)</f>
        <v>228</v>
      </c>
      <c r="C1172" s="4">
        <v>42000</v>
      </c>
      <c r="D1172" s="9">
        <v>0</v>
      </c>
      <c r="E1172" s="23">
        <v>100</v>
      </c>
      <c r="F1172" s="23">
        <v>100</v>
      </c>
      <c r="G1172" s="16">
        <f>VLOOKUP(A1172,'[1]DRDO Kolar Data'!$A:$E,5,0)*1000</f>
        <v>4680</v>
      </c>
      <c r="H1172" s="24">
        <f t="shared" si="57"/>
        <v>10689948.700000003</v>
      </c>
      <c r="I1172" s="25">
        <f t="shared" si="55"/>
        <v>17.5</v>
      </c>
      <c r="J1172" s="25">
        <f t="shared" si="56"/>
        <v>19.535724963450299</v>
      </c>
      <c r="K1172" s="20"/>
    </row>
    <row r="1173" spans="1:11" ht="15.75" customHeight="1" x14ac:dyDescent="0.2">
      <c r="A1173" s="15">
        <v>45976</v>
      </c>
      <c r="B1173" s="3">
        <f>VLOOKUP(A1173,'[1]BADI SID DATA'!A:B,2,0)</f>
        <v>229</v>
      </c>
      <c r="C1173" s="4">
        <v>60000</v>
      </c>
      <c r="D1173" s="9">
        <v>0</v>
      </c>
      <c r="E1173" s="23">
        <v>100</v>
      </c>
      <c r="F1173" s="23">
        <v>100</v>
      </c>
      <c r="G1173" s="16">
        <f>VLOOKUP(A1173,'[1]DRDO Kolar Data'!$A:$E,5,0)*1000</f>
        <v>9180</v>
      </c>
      <c r="H1173" s="24">
        <f t="shared" si="57"/>
        <v>10749948.700000003</v>
      </c>
      <c r="I1173" s="25">
        <f t="shared" si="55"/>
        <v>25</v>
      </c>
      <c r="J1173" s="25">
        <f t="shared" si="56"/>
        <v>19.559586426491997</v>
      </c>
      <c r="K1173" s="20"/>
    </row>
    <row r="1174" spans="1:11" ht="15.75" customHeight="1" x14ac:dyDescent="0.2">
      <c r="A1174" s="15">
        <v>45977</v>
      </c>
      <c r="B1174" s="3">
        <f>VLOOKUP(A1174,'[1]BADI SID DATA'!A:B,2,0)</f>
        <v>230</v>
      </c>
      <c r="C1174" s="4">
        <v>33600</v>
      </c>
      <c r="D1174" s="9">
        <v>0</v>
      </c>
      <c r="E1174" s="23">
        <v>100</v>
      </c>
      <c r="F1174" s="23">
        <v>100</v>
      </c>
      <c r="G1174" s="16">
        <f>VLOOKUP(A1174,'[1]DRDO Kolar Data'!$A:$E,5,0)*1000</f>
        <v>7140</v>
      </c>
      <c r="H1174" s="24">
        <f t="shared" si="57"/>
        <v>10783548.700000003</v>
      </c>
      <c r="I1174" s="25">
        <f t="shared" si="55"/>
        <v>14.000000000000002</v>
      </c>
      <c r="J1174" s="25">
        <f t="shared" si="56"/>
        <v>19.535414311594206</v>
      </c>
      <c r="K1174" s="20"/>
    </row>
    <row r="1175" spans="1:11" ht="15.75" customHeight="1" x14ac:dyDescent="0.2">
      <c r="A1175" s="15">
        <v>45978</v>
      </c>
      <c r="B1175" s="3">
        <f>VLOOKUP(A1175,'[1]BADI SID DATA'!A:B,2,0)</f>
        <v>231</v>
      </c>
      <c r="C1175" s="4">
        <v>36000</v>
      </c>
      <c r="D1175" s="9">
        <v>0</v>
      </c>
      <c r="E1175" s="23">
        <v>100</v>
      </c>
      <c r="F1175" s="23">
        <v>100</v>
      </c>
      <c r="G1175" s="16">
        <f>VLOOKUP(A1175,'[1]DRDO Kolar Data'!$A:$E,5,0)*1000</f>
        <v>6460</v>
      </c>
      <c r="H1175" s="24">
        <f t="shared" si="57"/>
        <v>10819548.700000003</v>
      </c>
      <c r="I1175" s="25">
        <f t="shared" si="55"/>
        <v>15</v>
      </c>
      <c r="J1175" s="25">
        <f t="shared" si="56"/>
        <v>19.515780483405489</v>
      </c>
      <c r="K1175" s="20"/>
    </row>
    <row r="1176" spans="1:11" ht="15.75" customHeight="1" x14ac:dyDescent="0.2">
      <c r="A1176" s="15">
        <v>45979</v>
      </c>
      <c r="B1176" s="3">
        <f>VLOOKUP(A1176,'[1]BADI SID DATA'!A:B,2,0)</f>
        <v>232</v>
      </c>
      <c r="C1176" s="4">
        <v>17400</v>
      </c>
      <c r="D1176" s="9">
        <v>0</v>
      </c>
      <c r="E1176" s="23">
        <v>100</v>
      </c>
      <c r="F1176" s="23">
        <v>100</v>
      </c>
      <c r="G1176" s="16">
        <f>VLOOKUP(A1176,'[1]DRDO Kolar Data'!$A:$E,5,0)*1000</f>
        <v>3510</v>
      </c>
      <c r="H1176" s="24">
        <f t="shared" si="57"/>
        <v>10836948.700000003</v>
      </c>
      <c r="I1176" s="25">
        <f t="shared" si="55"/>
        <v>7.2499999999999991</v>
      </c>
      <c r="J1176" s="25">
        <f t="shared" si="56"/>
        <v>19.462910739942537</v>
      </c>
      <c r="K1176" s="21" t="s">
        <v>41</v>
      </c>
    </row>
    <row r="1177" spans="1:11" ht="15.75" customHeight="1" x14ac:dyDescent="0.2">
      <c r="A1177" s="15">
        <v>45980</v>
      </c>
      <c r="B1177" s="3">
        <f>VLOOKUP(A1177,'[1]BADI SID DATA'!A:B,2,0)</f>
        <v>233</v>
      </c>
      <c r="C1177" s="4">
        <v>42000</v>
      </c>
      <c r="D1177" s="9">
        <v>0</v>
      </c>
      <c r="E1177" s="23">
        <v>100</v>
      </c>
      <c r="F1177" s="23">
        <v>100</v>
      </c>
      <c r="G1177" s="16">
        <f>VLOOKUP(A1177,'[1]DRDO Kolar Data'!$A:$E,5,0)*1000</f>
        <v>4620</v>
      </c>
      <c r="H1177" s="24">
        <f t="shared" si="57"/>
        <v>10878948.700000003</v>
      </c>
      <c r="I1177" s="25">
        <f t="shared" si="55"/>
        <v>17.5</v>
      </c>
      <c r="J1177" s="25">
        <f t="shared" si="56"/>
        <v>19.454486230329046</v>
      </c>
      <c r="K1177" s="21" t="s">
        <v>41</v>
      </c>
    </row>
    <row r="1178" spans="1:11" ht="15.75" customHeight="1" x14ac:dyDescent="0.2">
      <c r="A1178" s="15">
        <v>45981</v>
      </c>
      <c r="B1178" s="3">
        <f>VLOOKUP(A1178,'[1]BADI SID DATA'!A:B,2,0)</f>
        <v>234</v>
      </c>
      <c r="C1178" s="4">
        <v>53400</v>
      </c>
      <c r="D1178" s="9">
        <v>0</v>
      </c>
      <c r="E1178" s="23">
        <v>100</v>
      </c>
      <c r="F1178" s="23">
        <v>100</v>
      </c>
      <c r="G1178" s="16">
        <f>VLOOKUP(A1178,'[1]DRDO Kolar Data'!$A:$E,5,0)*1000</f>
        <v>6860</v>
      </c>
      <c r="H1178" s="24">
        <f t="shared" si="57"/>
        <v>10932348.700000003</v>
      </c>
      <c r="I1178" s="25">
        <f t="shared" si="55"/>
        <v>22.25</v>
      </c>
      <c r="J1178" s="25">
        <f t="shared" si="56"/>
        <v>19.466432870370376</v>
      </c>
      <c r="K1178" s="20"/>
    </row>
    <row r="1179" spans="1:11" ht="15.75" customHeight="1" x14ac:dyDescent="0.2">
      <c r="A1179" s="15">
        <v>45982</v>
      </c>
      <c r="B1179" s="3">
        <f>VLOOKUP(A1179,'[1]BADI SID DATA'!A:B,2,0)</f>
        <v>235</v>
      </c>
      <c r="C1179" s="4">
        <v>34200</v>
      </c>
      <c r="D1179" s="9">
        <v>0</v>
      </c>
      <c r="E1179" s="23">
        <v>100</v>
      </c>
      <c r="F1179" s="23">
        <v>100</v>
      </c>
      <c r="G1179" s="16">
        <f>VLOOKUP(A1179,'[1]DRDO Kolar Data'!$A:$E,5,0)*1000</f>
        <v>8210</v>
      </c>
      <c r="H1179" s="24">
        <f t="shared" si="57"/>
        <v>10966548.700000003</v>
      </c>
      <c r="I1179" s="25">
        <f t="shared" si="55"/>
        <v>14.249999999999998</v>
      </c>
      <c r="J1179" s="25">
        <f t="shared" si="56"/>
        <v>19.444235283687949</v>
      </c>
      <c r="K1179" s="21" t="s">
        <v>40</v>
      </c>
    </row>
    <row r="1180" spans="1:11" ht="15.75" customHeight="1" x14ac:dyDescent="0.2">
      <c r="A1180" s="15">
        <v>45983</v>
      </c>
      <c r="B1180" s="3">
        <f>VLOOKUP(A1180,'[1]BADI SID DATA'!A:B,2,0)</f>
        <v>236</v>
      </c>
      <c r="C1180" s="4">
        <v>37800</v>
      </c>
      <c r="D1180" s="9">
        <v>0</v>
      </c>
      <c r="E1180" s="23">
        <v>100</v>
      </c>
      <c r="F1180" s="23">
        <v>100</v>
      </c>
      <c r="G1180" s="16">
        <f>VLOOKUP(A1180,'[1]DRDO Kolar Data'!$A:$E,5,0)*1000</f>
        <v>8010</v>
      </c>
      <c r="H1180" s="24">
        <f t="shared" si="57"/>
        <v>11004348.700000003</v>
      </c>
      <c r="I1180" s="25">
        <f t="shared" si="55"/>
        <v>15.75</v>
      </c>
      <c r="J1180" s="25">
        <f t="shared" si="56"/>
        <v>19.428581744350286</v>
      </c>
      <c r="K1180" s="20"/>
    </row>
    <row r="1181" spans="1:11" ht="15.75" customHeight="1" x14ac:dyDescent="0.2">
      <c r="A1181" s="15">
        <v>45984</v>
      </c>
      <c r="B1181" s="3">
        <f>VLOOKUP(A1181,'[1]BADI SID DATA'!A:B,2,0)</f>
        <v>237</v>
      </c>
      <c r="C1181" s="4">
        <v>30000</v>
      </c>
      <c r="D1181" s="9">
        <v>0</v>
      </c>
      <c r="E1181" s="23">
        <v>100</v>
      </c>
      <c r="F1181" s="23">
        <v>100</v>
      </c>
      <c r="G1181" s="16">
        <f>VLOOKUP(A1181,'[1]DRDO Kolar Data'!$A:$E,5,0)*1000</f>
        <v>4320</v>
      </c>
      <c r="H1181" s="24">
        <f t="shared" si="57"/>
        <v>11034348.700000003</v>
      </c>
      <c r="I1181" s="25">
        <f t="shared" si="55"/>
        <v>12.5</v>
      </c>
      <c r="J1181" s="25">
        <f t="shared" si="56"/>
        <v>19.399347222222225</v>
      </c>
      <c r="K1181" s="20"/>
    </row>
    <row r="1182" spans="1:11" ht="15.75" customHeight="1" x14ac:dyDescent="0.2">
      <c r="A1182" s="15">
        <v>45985</v>
      </c>
      <c r="B1182" s="3">
        <f>VLOOKUP(A1182,'[1]BADI SID DATA'!A:B,2,0)</f>
        <v>238</v>
      </c>
      <c r="C1182" s="4">
        <v>42600</v>
      </c>
      <c r="D1182" s="9">
        <v>0</v>
      </c>
      <c r="E1182" s="23">
        <v>100</v>
      </c>
      <c r="F1182" s="23">
        <v>100</v>
      </c>
      <c r="G1182" s="16">
        <f>VLOOKUP(A1182,'[1]DRDO Kolar Data'!$A:$E,5,0)*1000</f>
        <v>7320</v>
      </c>
      <c r="H1182" s="24">
        <f t="shared" si="57"/>
        <v>11076948.700000003</v>
      </c>
      <c r="I1182" s="25">
        <f t="shared" si="55"/>
        <v>17.75</v>
      </c>
      <c r="J1182" s="25">
        <f t="shared" si="56"/>
        <v>19.392417191876756</v>
      </c>
      <c r="K1182" s="20"/>
    </row>
    <row r="1183" spans="1:11" ht="15.75" customHeight="1" x14ac:dyDescent="0.2">
      <c r="A1183" s="15">
        <v>45986</v>
      </c>
      <c r="B1183" s="3">
        <f>VLOOKUP(A1183,'[1]BADI SID DATA'!A:B,2,0)</f>
        <v>239</v>
      </c>
      <c r="C1183" s="4">
        <v>40800</v>
      </c>
      <c r="D1183" s="9">
        <v>0</v>
      </c>
      <c r="E1183" s="23">
        <v>100</v>
      </c>
      <c r="F1183" s="23">
        <v>100</v>
      </c>
      <c r="G1183" s="16">
        <f>VLOOKUP(A1183,'[1]DRDO Kolar Data'!$A:$E,5,0)*1000</f>
        <v>6940</v>
      </c>
      <c r="H1183" s="24">
        <f t="shared" si="57"/>
        <v>11117748.700000003</v>
      </c>
      <c r="I1183" s="25">
        <f t="shared" si="55"/>
        <v>17</v>
      </c>
      <c r="J1183" s="25">
        <f t="shared" si="56"/>
        <v>19.382407078103213</v>
      </c>
      <c r="K1183" s="20"/>
    </row>
    <row r="1184" spans="1:11" ht="15.75" customHeight="1" x14ac:dyDescent="0.2">
      <c r="A1184" s="15">
        <v>45987</v>
      </c>
      <c r="B1184" s="3">
        <f>VLOOKUP(A1184,'[1]BADI SID DATA'!A:B,2,0)</f>
        <v>240</v>
      </c>
      <c r="C1184" s="4">
        <v>39600</v>
      </c>
      <c r="D1184" s="9">
        <v>0</v>
      </c>
      <c r="E1184" s="23">
        <v>100</v>
      </c>
      <c r="F1184" s="23">
        <v>100</v>
      </c>
      <c r="G1184" s="16">
        <f>VLOOKUP(A1184,'[1]DRDO Kolar Data'!$A:$E,5,0)*1000</f>
        <v>7600</v>
      </c>
      <c r="H1184" s="24">
        <f t="shared" si="57"/>
        <v>11157348.700000003</v>
      </c>
      <c r="I1184" s="25">
        <f t="shared" si="55"/>
        <v>16.5</v>
      </c>
      <c r="J1184" s="25">
        <f t="shared" si="56"/>
        <v>19.370397048611114</v>
      </c>
      <c r="K1184" s="20"/>
    </row>
    <row r="1185" spans="1:11" ht="15.75" customHeight="1" x14ac:dyDescent="0.2">
      <c r="A1185" s="15">
        <v>45988</v>
      </c>
      <c r="B1185" s="3">
        <f>VLOOKUP(A1185,'[1]BADI SID DATA'!A:B,2,0)</f>
        <v>241</v>
      </c>
      <c r="C1185" s="4">
        <v>33600</v>
      </c>
      <c r="D1185" s="9">
        <v>0</v>
      </c>
      <c r="E1185" s="23">
        <v>100</v>
      </c>
      <c r="F1185" s="23">
        <v>100</v>
      </c>
      <c r="G1185" s="16">
        <f>VLOOKUP(A1185,'[1]DRDO Kolar Data'!$A:$E,5,0)*1000</f>
        <v>8100</v>
      </c>
      <c r="H1185" s="24">
        <f t="shared" si="57"/>
        <v>11190948.700000003</v>
      </c>
      <c r="I1185" s="25">
        <f t="shared" si="55"/>
        <v>14.000000000000002</v>
      </c>
      <c r="J1185" s="25">
        <f t="shared" si="56"/>
        <v>19.348113243430156</v>
      </c>
      <c r="K1185" s="20"/>
    </row>
    <row r="1186" spans="1:11" ht="15.75" customHeight="1" x14ac:dyDescent="0.2">
      <c r="A1186" s="15">
        <v>45989</v>
      </c>
      <c r="B1186" s="3">
        <f>VLOOKUP(A1186,'[1]BADI SID DATA'!A:B,2,0)</f>
        <v>242</v>
      </c>
      <c r="C1186" s="4">
        <v>36600</v>
      </c>
      <c r="D1186" s="9">
        <v>0</v>
      </c>
      <c r="E1186" s="23">
        <v>100</v>
      </c>
      <c r="F1186" s="23">
        <v>100</v>
      </c>
      <c r="G1186" s="16">
        <f>VLOOKUP(A1186,'[1]DRDO Kolar Data'!$A:$E,5,0)*1000</f>
        <v>5760</v>
      </c>
      <c r="H1186" s="24">
        <f t="shared" si="57"/>
        <v>11227548.700000003</v>
      </c>
      <c r="I1186" s="25">
        <f t="shared" si="55"/>
        <v>15.25</v>
      </c>
      <c r="J1186" s="25">
        <f t="shared" si="56"/>
        <v>19.331178891184578</v>
      </c>
      <c r="K1186" s="20"/>
    </row>
    <row r="1187" spans="1:11" ht="15.75" customHeight="1" x14ac:dyDescent="0.15">
      <c r="A1187" s="15">
        <v>45990</v>
      </c>
      <c r="B1187" s="12">
        <f>VLOOKUP(A1187,'[1]BADI SID DATA'!A:B,2,0)</f>
        <v>243</v>
      </c>
      <c r="C1187" s="13">
        <v>12600</v>
      </c>
      <c r="D1187" s="9">
        <v>0</v>
      </c>
      <c r="E1187" s="27">
        <v>100</v>
      </c>
      <c r="F1187" s="27">
        <v>100</v>
      </c>
      <c r="G1187" s="16">
        <f>VLOOKUP(A1187,'[1]DRDO Kolar Data'!$A:$E,5,0)*1000</f>
        <v>1600</v>
      </c>
      <c r="H1187" s="28">
        <f t="shared" si="57"/>
        <v>11240148.700000003</v>
      </c>
      <c r="I1187" s="25">
        <f t="shared" si="55"/>
        <v>5.25</v>
      </c>
      <c r="J1187" s="25">
        <f t="shared" si="56"/>
        <v>19.273231652949253</v>
      </c>
      <c r="K1187" s="22" t="s">
        <v>40</v>
      </c>
    </row>
    <row r="1188" spans="1:11" ht="15.75" customHeight="1" x14ac:dyDescent="0.15">
      <c r="A1188" s="15">
        <v>45991</v>
      </c>
      <c r="B1188" s="12">
        <f>VLOOKUP(A1188,'[1]BADI SID DATA'!A:B,2,0)</f>
        <v>244</v>
      </c>
      <c r="C1188" s="13">
        <v>12600</v>
      </c>
      <c r="D1188" s="9">
        <v>0</v>
      </c>
      <c r="E1188" s="27">
        <v>100</v>
      </c>
      <c r="F1188" s="27">
        <v>100</v>
      </c>
      <c r="G1188" s="16">
        <f>VLOOKUP(A1188,'[1]DRDO Kolar Data'!$A:$E,5,0)*1000</f>
        <v>1980</v>
      </c>
      <c r="H1188" s="28">
        <f t="shared" si="57"/>
        <v>11252748.700000003</v>
      </c>
      <c r="I1188" s="25">
        <f t="shared" si="55"/>
        <v>5.25</v>
      </c>
      <c r="J1188" s="25">
        <f t="shared" si="56"/>
        <v>19.21575939207651</v>
      </c>
      <c r="K1188" s="22" t="s">
        <v>40</v>
      </c>
    </row>
    <row r="1189" spans="1:11" ht="15.75" customHeight="1" x14ac:dyDescent="0.15">
      <c r="A1189" s="15">
        <v>45992</v>
      </c>
      <c r="B1189" s="12">
        <f>VLOOKUP(A1189,'[1]BADI SID DATA'!A:B,2,0)</f>
        <v>245</v>
      </c>
      <c r="C1189" s="13">
        <v>13220</v>
      </c>
      <c r="D1189" s="9">
        <v>0</v>
      </c>
      <c r="E1189" s="27">
        <v>100</v>
      </c>
      <c r="F1189" s="27">
        <v>100</v>
      </c>
      <c r="G1189" s="16">
        <f>VLOOKUP(A1189,'[1]DRDO Kolar Data'!$A:$E,5,0)*1000</f>
        <v>1830</v>
      </c>
      <c r="H1189" s="28">
        <f t="shared" si="57"/>
        <v>11265968.700000003</v>
      </c>
      <c r="I1189" s="25">
        <f t="shared" si="55"/>
        <v>5.5083333333333329</v>
      </c>
      <c r="J1189" s="25">
        <f t="shared" si="56"/>
        <v>19.159810714285719</v>
      </c>
      <c r="K1189" s="22" t="s">
        <v>42</v>
      </c>
    </row>
    <row r="1190" spans="1:11" ht="15.75" customHeight="1" x14ac:dyDescent="0.2">
      <c r="A1190" s="15">
        <v>45993</v>
      </c>
      <c r="B1190" s="3">
        <f>VLOOKUP(A1190,'[1]BADI SID DATA'!A:B,2,0)</f>
        <v>246</v>
      </c>
      <c r="C1190" s="13">
        <v>23400</v>
      </c>
      <c r="D1190" s="9">
        <v>0</v>
      </c>
      <c r="E1190" s="23">
        <v>100</v>
      </c>
      <c r="F1190" s="23">
        <v>100</v>
      </c>
      <c r="G1190" s="16">
        <f>VLOOKUP(A1190,'[1]DRDO Kolar Data'!$A:$E,5,0)*1000</f>
        <v>6450</v>
      </c>
      <c r="H1190" s="24">
        <f t="shared" si="57"/>
        <v>11289368.700000003</v>
      </c>
      <c r="I1190" s="25">
        <f t="shared" si="55"/>
        <v>9.75</v>
      </c>
      <c r="J1190" s="25">
        <f t="shared" si="56"/>
        <v>19.121559451219518</v>
      </c>
      <c r="K1190" s="20"/>
    </row>
    <row r="1191" spans="1:11" ht="15.75" customHeight="1" x14ac:dyDescent="0.2">
      <c r="A1191" s="15">
        <v>45994</v>
      </c>
      <c r="B1191" s="3">
        <f>VLOOKUP(A1191,'[1]BADI SID DATA'!A:B,2,0)</f>
        <v>247</v>
      </c>
      <c r="C1191" s="4">
        <v>27000</v>
      </c>
      <c r="D1191" s="9">
        <v>0</v>
      </c>
      <c r="E1191" s="23">
        <v>100</v>
      </c>
      <c r="F1191" s="23">
        <v>100</v>
      </c>
      <c r="G1191" s="16">
        <f>VLOOKUP(A1191,'[1]DRDO Kolar Data'!$A:$E,5,0)*1000</f>
        <v>5650</v>
      </c>
      <c r="H1191" s="24">
        <f t="shared" si="57"/>
        <v>11316368.700000003</v>
      </c>
      <c r="I1191" s="25">
        <f t="shared" si="55"/>
        <v>11.25</v>
      </c>
      <c r="J1191" s="25">
        <f t="shared" si="56"/>
        <v>19.089690789473689</v>
      </c>
      <c r="K1191" s="20"/>
    </row>
    <row r="1192" spans="1:11" ht="15.75" customHeight="1" x14ac:dyDescent="0.2">
      <c r="A1192" s="15">
        <v>45995</v>
      </c>
      <c r="B1192" s="3">
        <f>VLOOKUP(A1192,'[1]BADI SID DATA'!A:B,2,0)</f>
        <v>248</v>
      </c>
      <c r="C1192" s="4">
        <v>37800</v>
      </c>
      <c r="D1192" s="9">
        <v>0</v>
      </c>
      <c r="E1192" s="23">
        <v>100</v>
      </c>
      <c r="F1192" s="23">
        <v>100</v>
      </c>
      <c r="G1192" s="16">
        <f>VLOOKUP(A1192,'[1]DRDO Kolar Data'!$A:$E,5,0)*1000</f>
        <v>5760</v>
      </c>
      <c r="H1192" s="24">
        <f t="shared" si="57"/>
        <v>11354168.700000003</v>
      </c>
      <c r="I1192" s="25">
        <f t="shared" si="55"/>
        <v>15.75</v>
      </c>
      <c r="J1192" s="25">
        <f t="shared" si="56"/>
        <v>19.076224294354844</v>
      </c>
      <c r="K1192" s="20"/>
    </row>
    <row r="1193" spans="1:11" ht="15.75" customHeight="1" x14ac:dyDescent="0.2">
      <c r="A1193" s="15">
        <v>45996</v>
      </c>
      <c r="B1193" s="3">
        <f>VLOOKUP(A1193,'[1]BADI SID DATA'!A:B,2,0)</f>
        <v>249</v>
      </c>
      <c r="C1193" s="4">
        <v>16800</v>
      </c>
      <c r="D1193" s="9">
        <v>0</v>
      </c>
      <c r="E1193" s="23">
        <v>100</v>
      </c>
      <c r="F1193" s="23">
        <v>100</v>
      </c>
      <c r="G1193" s="16">
        <f>VLOOKUP(A1193,'[1]DRDO Kolar Data'!$A:$E,5,0)*1000</f>
        <v>6880</v>
      </c>
      <c r="H1193" s="24">
        <f t="shared" si="57"/>
        <v>11370968.700000003</v>
      </c>
      <c r="I1193" s="25">
        <f t="shared" si="55"/>
        <v>7.0000000000000009</v>
      </c>
      <c r="J1193" s="25">
        <f t="shared" si="56"/>
        <v>19.027725401606428</v>
      </c>
      <c r="K1193" s="22" t="s">
        <v>42</v>
      </c>
    </row>
    <row r="1194" spans="1:11" ht="15.75" customHeight="1" x14ac:dyDescent="0.2">
      <c r="A1194" s="15">
        <v>45997</v>
      </c>
      <c r="B1194" s="3">
        <f>VLOOKUP(A1194,'[1]BADI SID DATA'!A:B,2,0)</f>
        <v>250</v>
      </c>
      <c r="C1194" s="4">
        <v>51000</v>
      </c>
      <c r="D1194" s="9">
        <v>0</v>
      </c>
      <c r="E1194" s="23">
        <v>100</v>
      </c>
      <c r="F1194" s="23">
        <v>100</v>
      </c>
      <c r="G1194" s="16">
        <f>VLOOKUP(A1194,'[1]DRDO Kolar Data'!$A:$E,5,0)*1000</f>
        <v>6940</v>
      </c>
      <c r="H1194" s="24">
        <f t="shared" si="57"/>
        <v>11421968.700000003</v>
      </c>
      <c r="I1194" s="25">
        <f t="shared" si="55"/>
        <v>21.25</v>
      </c>
      <c r="J1194" s="25">
        <f t="shared" si="56"/>
        <v>19.036614500000006</v>
      </c>
      <c r="K1194" s="21" t="s">
        <v>43</v>
      </c>
    </row>
    <row r="1195" spans="1:11" ht="15.75" customHeight="1" x14ac:dyDescent="0.2">
      <c r="A1195" s="15">
        <v>45998</v>
      </c>
      <c r="B1195" s="3">
        <f>VLOOKUP(A1195,'[1]BADI SID DATA'!A:B,2,0)</f>
        <v>251</v>
      </c>
      <c r="C1195" s="4">
        <v>39600</v>
      </c>
      <c r="D1195" s="9">
        <v>0</v>
      </c>
      <c r="E1195" s="23">
        <v>100</v>
      </c>
      <c r="F1195" s="23">
        <v>100</v>
      </c>
      <c r="G1195" s="16">
        <f>VLOOKUP(A1195,'[1]DRDO Kolar Data'!$A:$E,5,0)*1000</f>
        <v>5430</v>
      </c>
      <c r="H1195" s="24">
        <f t="shared" si="57"/>
        <v>11461568.700000003</v>
      </c>
      <c r="I1195" s="25">
        <f t="shared" si="55"/>
        <v>16.5</v>
      </c>
      <c r="J1195" s="25">
        <f t="shared" si="56"/>
        <v>19.026508466135464</v>
      </c>
      <c r="K1195" s="21" t="s">
        <v>43</v>
      </c>
    </row>
    <row r="1196" spans="1:11" ht="15.75" customHeight="1" x14ac:dyDescent="0.2">
      <c r="A1196" s="15">
        <v>45999</v>
      </c>
      <c r="B1196" s="3">
        <f>VLOOKUP(A1196,'[1]BADI SID DATA'!A:B,2,0)</f>
        <v>252</v>
      </c>
      <c r="C1196" s="14">
        <v>52200</v>
      </c>
      <c r="D1196" s="9">
        <v>0</v>
      </c>
      <c r="E1196" s="23">
        <v>100</v>
      </c>
      <c r="F1196" s="23">
        <v>100</v>
      </c>
      <c r="G1196" s="16">
        <f>VLOOKUP(A1196,'[1]DRDO Kolar Data'!$A:$E,5,0)*1000</f>
        <v>9120</v>
      </c>
      <c r="H1196" s="24">
        <f t="shared" si="57"/>
        <v>11513768.700000003</v>
      </c>
      <c r="I1196" s="25">
        <f t="shared" si="55"/>
        <v>21.75</v>
      </c>
      <c r="J1196" s="25">
        <f t="shared" si="56"/>
        <v>19.037315972222228</v>
      </c>
      <c r="K1196" s="20"/>
    </row>
    <row r="1197" spans="1:11" ht="15.75" customHeight="1" x14ac:dyDescent="0.2">
      <c r="A1197" s="15">
        <v>46000</v>
      </c>
      <c r="B1197" s="3">
        <f>VLOOKUP(A1197,'[1]BADI SID DATA'!A:B,2,0)</f>
        <v>253</v>
      </c>
      <c r="C1197" s="4">
        <v>59400</v>
      </c>
      <c r="D1197" s="9">
        <v>0</v>
      </c>
      <c r="E1197" s="23">
        <v>100</v>
      </c>
      <c r="F1197" s="23">
        <v>100</v>
      </c>
      <c r="G1197" s="16">
        <f>VLOOKUP(A1197,'[1]DRDO Kolar Data'!$A:$E,5,0)*1000</f>
        <v>8710</v>
      </c>
      <c r="H1197" s="24">
        <f t="shared" si="57"/>
        <v>11573168.700000003</v>
      </c>
      <c r="I1197" s="25">
        <f t="shared" si="55"/>
        <v>24.75</v>
      </c>
      <c r="J1197" s="25">
        <f t="shared" si="56"/>
        <v>19.059895750988147</v>
      </c>
      <c r="K1197" s="20"/>
    </row>
    <row r="1198" spans="1:11" ht="15.75" customHeight="1" x14ac:dyDescent="0.2">
      <c r="A1198" s="15">
        <v>46001</v>
      </c>
      <c r="B1198" s="3">
        <f>VLOOKUP(A1198,'[1]BADI SID DATA'!A:B,2,0)</f>
        <v>254</v>
      </c>
      <c r="C1198" s="4">
        <v>60000</v>
      </c>
      <c r="D1198" s="9">
        <v>0</v>
      </c>
      <c r="E1198" s="23">
        <v>100</v>
      </c>
      <c r="F1198" s="23">
        <v>100</v>
      </c>
      <c r="G1198" s="16">
        <f>VLOOKUP(A1198,'[1]DRDO Kolar Data'!$A:$E,5,0)*1000</f>
        <v>9390</v>
      </c>
      <c r="H1198" s="24">
        <f t="shared" si="57"/>
        <v>11633168.700000003</v>
      </c>
      <c r="I1198" s="25">
        <f t="shared" si="55"/>
        <v>25</v>
      </c>
      <c r="J1198" s="25">
        <f t="shared" si="56"/>
        <v>19.083281988188983</v>
      </c>
      <c r="K1198" s="20"/>
    </row>
    <row r="1199" spans="1:11" ht="15.75" customHeight="1" x14ac:dyDescent="0.2">
      <c r="A1199" s="15">
        <v>46002</v>
      </c>
      <c r="B1199" s="3">
        <f>VLOOKUP(A1199,'[1]BADI SID DATA'!A:B,2,0)</f>
        <v>255</v>
      </c>
      <c r="C1199" s="4">
        <v>63600</v>
      </c>
      <c r="D1199" s="9">
        <v>0</v>
      </c>
      <c r="E1199" s="23">
        <v>100</v>
      </c>
      <c r="F1199" s="23">
        <v>100</v>
      </c>
      <c r="G1199" s="16">
        <f>VLOOKUP(A1199,'[1]DRDO Kolar Data'!$A:$E,5,0)*1000</f>
        <v>8710</v>
      </c>
      <c r="H1199" s="24">
        <f t="shared" si="57"/>
        <v>11696768.700000003</v>
      </c>
      <c r="I1199" s="25">
        <f t="shared" si="55"/>
        <v>26.5</v>
      </c>
      <c r="J1199" s="25">
        <f t="shared" si="56"/>
        <v>19.112367156862749</v>
      </c>
      <c r="K1199" s="20"/>
    </row>
    <row r="1200" spans="1:11" ht="15.75" customHeight="1" x14ac:dyDescent="0.2">
      <c r="A1200" s="15">
        <v>46003</v>
      </c>
      <c r="B1200" s="3">
        <f>VLOOKUP(A1200,'[1]BADI SID DATA'!A:B,2,0)</f>
        <v>256</v>
      </c>
      <c r="C1200" s="4">
        <v>59400</v>
      </c>
      <c r="D1200" s="9">
        <v>0</v>
      </c>
      <c r="E1200" s="23">
        <v>100</v>
      </c>
      <c r="F1200" s="23">
        <v>100</v>
      </c>
      <c r="G1200" s="16">
        <f>VLOOKUP(A1200,'[1]DRDO Kolar Data'!$A:$E,5,0)*1000</f>
        <v>10430</v>
      </c>
      <c r="H1200" s="24">
        <f t="shared" si="57"/>
        <v>11756168.700000003</v>
      </c>
      <c r="I1200" s="25">
        <f t="shared" si="55"/>
        <v>24.75</v>
      </c>
      <c r="J1200" s="25">
        <f t="shared" si="56"/>
        <v>19.134389160156253</v>
      </c>
      <c r="K1200" s="20"/>
    </row>
    <row r="1201" spans="1:11" ht="15.75" customHeight="1" x14ac:dyDescent="0.2">
      <c r="A1201" s="15">
        <v>46004</v>
      </c>
      <c r="B1201" s="3">
        <f>VLOOKUP(A1201,'[1]BADI SID DATA'!A:B,2,0)</f>
        <v>257</v>
      </c>
      <c r="C1201" s="4">
        <v>66000</v>
      </c>
      <c r="D1201" s="9">
        <v>0</v>
      </c>
      <c r="E1201" s="23">
        <v>100</v>
      </c>
      <c r="F1201" s="23">
        <v>100</v>
      </c>
      <c r="G1201" s="16">
        <f>VLOOKUP(A1201,'[1]DRDO Kolar Data'!$A:$E,5,0)*1000</f>
        <v>9630</v>
      </c>
      <c r="H1201" s="24">
        <f t="shared" si="57"/>
        <v>11822168.700000003</v>
      </c>
      <c r="I1201" s="25">
        <f t="shared" si="55"/>
        <v>27.500000000000004</v>
      </c>
      <c r="J1201" s="25">
        <f t="shared" si="56"/>
        <v>19.166940175097281</v>
      </c>
      <c r="K1201" s="20"/>
    </row>
    <row r="1202" spans="1:11" ht="15.75" customHeight="1" x14ac:dyDescent="0.2">
      <c r="A1202" s="15">
        <v>46005</v>
      </c>
      <c r="B1202" s="3">
        <f>VLOOKUP(A1202,'[1]BADI SID DATA'!A:B,2,0)</f>
        <v>258</v>
      </c>
      <c r="C1202" s="4">
        <v>4800</v>
      </c>
      <c r="D1202" s="9">
        <v>0</v>
      </c>
      <c r="E1202" s="23">
        <v>100</v>
      </c>
      <c r="F1202" s="23">
        <v>100</v>
      </c>
      <c r="G1202" s="16">
        <f>VLOOKUP(A1202,'[1]DRDO Kolar Data'!$A:$E,5,0)*1000</f>
        <v>2950</v>
      </c>
      <c r="H1202" s="24">
        <f t="shared" si="57"/>
        <v>11826968.700000003</v>
      </c>
      <c r="I1202" s="25">
        <f t="shared" si="55"/>
        <v>2</v>
      </c>
      <c r="J1202" s="25">
        <f t="shared" si="56"/>
        <v>19.100401647286827</v>
      </c>
      <c r="K1202" s="21" t="s">
        <v>44</v>
      </c>
    </row>
    <row r="1203" spans="1:11" ht="15.75" customHeight="1" x14ac:dyDescent="0.2">
      <c r="A1203" s="15">
        <v>46006</v>
      </c>
      <c r="B1203" s="3">
        <f>VLOOKUP(A1203,'[1]BADI SID DATA'!A:B,2,0)</f>
        <v>259</v>
      </c>
      <c r="C1203" s="11">
        <v>63000</v>
      </c>
      <c r="D1203" s="9">
        <v>0</v>
      </c>
      <c r="E1203" s="23">
        <v>100</v>
      </c>
      <c r="F1203" s="23">
        <v>100</v>
      </c>
      <c r="G1203" s="16">
        <f>VLOOKUP(A1203,'[1]DRDO Kolar Data'!$A:$E,5,0)*1000</f>
        <v>9690</v>
      </c>
      <c r="H1203" s="24">
        <f t="shared" si="57"/>
        <v>11889968.700000003</v>
      </c>
      <c r="I1203" s="25">
        <f t="shared" si="55"/>
        <v>26.25</v>
      </c>
      <c r="J1203" s="25">
        <f t="shared" si="56"/>
        <v>19.12800627413128</v>
      </c>
      <c r="K1203" s="20"/>
    </row>
    <row r="1204" spans="1:11" ht="15.75" customHeight="1" x14ac:dyDescent="0.2">
      <c r="A1204" s="15">
        <v>46007</v>
      </c>
      <c r="B1204" s="3">
        <f>VLOOKUP(A1204,'[1]BADI SID DATA'!A:B,2,0)</f>
        <v>260</v>
      </c>
      <c r="C1204" s="4">
        <v>16200</v>
      </c>
      <c r="D1204" s="9">
        <v>0</v>
      </c>
      <c r="E1204" s="23">
        <v>100</v>
      </c>
      <c r="F1204" s="23">
        <v>100</v>
      </c>
      <c r="G1204" s="16">
        <f>VLOOKUP(A1204,'[1]DRDO Kolar Data'!$A:$E,5,0)*1000</f>
        <v>3070</v>
      </c>
      <c r="H1204" s="24">
        <f t="shared" si="57"/>
        <v>11906168.700000003</v>
      </c>
      <c r="I1204" s="25">
        <f t="shared" si="55"/>
        <v>6.75</v>
      </c>
      <c r="J1204" s="25">
        <f t="shared" si="56"/>
        <v>19.080398557692313</v>
      </c>
      <c r="K1204" s="21" t="s">
        <v>41</v>
      </c>
    </row>
    <row r="1205" spans="1:11" ht="15.75" customHeight="1" x14ac:dyDescent="0.2">
      <c r="A1205" s="15">
        <v>46008</v>
      </c>
      <c r="B1205" s="3">
        <f>VLOOKUP(A1205,'[1]BADI SID DATA'!A:B,2,0)</f>
        <v>261</v>
      </c>
      <c r="C1205" s="4">
        <v>53400</v>
      </c>
      <c r="D1205" s="9">
        <v>0</v>
      </c>
      <c r="E1205" s="23">
        <v>100</v>
      </c>
      <c r="F1205" s="23">
        <v>100</v>
      </c>
      <c r="G1205" s="16">
        <f>VLOOKUP(A1205,'[1]DRDO Kolar Data'!$A:$E,5,0)*1000</f>
        <v>9160</v>
      </c>
      <c r="H1205" s="24">
        <f t="shared" si="57"/>
        <v>11959568.700000003</v>
      </c>
      <c r="I1205" s="25">
        <f t="shared" si="55"/>
        <v>22.25</v>
      </c>
      <c r="J1205" s="25">
        <f t="shared" si="56"/>
        <v>19.092542624521077</v>
      </c>
      <c r="K1205" s="20"/>
    </row>
    <row r="1206" spans="1:11" ht="15.75" customHeight="1" x14ac:dyDescent="0.2">
      <c r="A1206" s="15">
        <v>46009</v>
      </c>
      <c r="B1206" s="3">
        <f>VLOOKUP(A1206,'[1]BADI SID DATA'!A:B,2,0)</f>
        <v>262</v>
      </c>
      <c r="C1206" s="4">
        <v>61800</v>
      </c>
      <c r="D1206" s="9">
        <v>0</v>
      </c>
      <c r="E1206" s="23">
        <v>100</v>
      </c>
      <c r="F1206" s="23">
        <v>100</v>
      </c>
      <c r="G1206" s="16">
        <f>VLOOKUP(A1206,'[1]DRDO Kolar Data'!$A:$E,5,0)*1000</f>
        <v>9170</v>
      </c>
      <c r="H1206" s="24">
        <f t="shared" si="57"/>
        <v>12021368.700000003</v>
      </c>
      <c r="I1206" s="25">
        <f t="shared" si="55"/>
        <v>25.75</v>
      </c>
      <c r="J1206" s="25">
        <f t="shared" si="56"/>
        <v>19.117952767175577</v>
      </c>
      <c r="K1206" s="20"/>
    </row>
    <row r="1207" spans="1:11" ht="15.75" customHeight="1" x14ac:dyDescent="0.2">
      <c r="A1207" s="15">
        <v>46010</v>
      </c>
      <c r="B1207" s="3">
        <f>VLOOKUP(A1207,'[1]BADI SID DATA'!A:B,2,0)</f>
        <v>263</v>
      </c>
      <c r="C1207" s="4">
        <v>57600</v>
      </c>
      <c r="D1207" s="9">
        <v>0</v>
      </c>
      <c r="E1207" s="23">
        <v>100</v>
      </c>
      <c r="F1207" s="23">
        <v>100</v>
      </c>
      <c r="G1207" s="16">
        <f>VLOOKUP(A1207,'[1]DRDO Kolar Data'!$A:$E,5,0)*1000</f>
        <v>8029.9999999999991</v>
      </c>
      <c r="H1207" s="24">
        <f t="shared" si="57"/>
        <v>12078968.700000003</v>
      </c>
      <c r="I1207" s="25">
        <f t="shared" si="55"/>
        <v>24</v>
      </c>
      <c r="J1207" s="25">
        <f t="shared" si="56"/>
        <v>19.13651568441065</v>
      </c>
      <c r="K1207" s="20"/>
    </row>
    <row r="1208" spans="1:11" ht="15.75" customHeight="1" x14ac:dyDescent="0.2">
      <c r="A1208" s="15">
        <v>46011</v>
      </c>
      <c r="B1208" s="3">
        <f>VLOOKUP(A1208,'[1]BADI SID DATA'!A:B,2,0)</f>
        <v>264</v>
      </c>
      <c r="C1208" s="4">
        <v>57000</v>
      </c>
      <c r="D1208" s="9">
        <v>0</v>
      </c>
      <c r="E1208" s="23">
        <v>100</v>
      </c>
      <c r="F1208" s="23">
        <v>100</v>
      </c>
      <c r="G1208" s="16">
        <f>VLOOKUP(A1208,'[1]DRDO Kolar Data'!$A:$E,5,0)*1000</f>
        <v>8940</v>
      </c>
      <c r="H1208" s="24">
        <f t="shared" si="57"/>
        <v>12135968.700000003</v>
      </c>
      <c r="I1208" s="25">
        <f t="shared" si="55"/>
        <v>23.75</v>
      </c>
      <c r="J1208" s="25">
        <f t="shared" si="56"/>
        <v>19.153991003787883</v>
      </c>
      <c r="K1208" s="20"/>
    </row>
    <row r="1209" spans="1:11" ht="15.75" customHeight="1" x14ac:dyDescent="0.2">
      <c r="A1209" s="15">
        <v>46012</v>
      </c>
      <c r="B1209" s="3">
        <f>VLOOKUP(A1209,'[1]BADI SID DATA'!A:B,2,0)</f>
        <v>265</v>
      </c>
      <c r="C1209" s="4">
        <v>58800</v>
      </c>
      <c r="D1209" s="9">
        <v>0</v>
      </c>
      <c r="E1209" s="23">
        <v>100</v>
      </c>
      <c r="F1209" s="23">
        <v>100</v>
      </c>
      <c r="G1209" s="16">
        <f>VLOOKUP(A1209,'[1]DRDO Kolar Data'!$A:$E,5,0)*1000</f>
        <v>9160</v>
      </c>
      <c r="H1209" s="24">
        <f t="shared" si="57"/>
        <v>12194768.700000003</v>
      </c>
      <c r="I1209" s="25">
        <f t="shared" si="55"/>
        <v>24.5</v>
      </c>
      <c r="J1209" s="25">
        <f t="shared" si="56"/>
        <v>19.174164622641516</v>
      </c>
      <c r="K1209" s="20"/>
    </row>
    <row r="1210" spans="1:11" ht="15.75" customHeight="1" x14ac:dyDescent="0.2">
      <c r="A1210" s="15">
        <v>46013</v>
      </c>
      <c r="B1210" s="3">
        <f>VLOOKUP(A1210,'[1]BADI SID DATA'!A:B,2,0)</f>
        <v>266</v>
      </c>
      <c r="C1210" s="4">
        <v>43800</v>
      </c>
      <c r="D1210" s="9">
        <v>0</v>
      </c>
      <c r="E1210" s="23">
        <v>100</v>
      </c>
      <c r="F1210" s="23">
        <v>100</v>
      </c>
      <c r="G1210" s="16">
        <f>VLOOKUP(A1210,'[1]DRDO Kolar Data'!$A:$E,5,0)*1000</f>
        <v>7750</v>
      </c>
      <c r="H1210" s="24">
        <f t="shared" si="57"/>
        <v>12238568.700000003</v>
      </c>
      <c r="I1210" s="25">
        <f t="shared" si="55"/>
        <v>18.25</v>
      </c>
      <c r="J1210" s="25">
        <f t="shared" si="56"/>
        <v>19.170690319548878</v>
      </c>
      <c r="K1210" s="20"/>
    </row>
    <row r="1211" spans="1:11" ht="15.75" customHeight="1" x14ac:dyDescent="0.2">
      <c r="A1211" s="15">
        <v>46014</v>
      </c>
      <c r="B1211" s="3">
        <f>VLOOKUP(A1211,'[1]BADI SID DATA'!A:B,2,0)</f>
        <v>267</v>
      </c>
      <c r="C1211" s="4">
        <v>58200</v>
      </c>
      <c r="D1211" s="9">
        <v>0</v>
      </c>
      <c r="E1211" s="23">
        <v>100</v>
      </c>
      <c r="F1211" s="23">
        <v>100</v>
      </c>
      <c r="G1211" s="16">
        <f>VLOOKUP(A1211,'[1]DRDO Kolar Data'!$A:$E,5,0)*1000</f>
        <v>8710</v>
      </c>
      <c r="H1211" s="24">
        <f t="shared" si="57"/>
        <v>12296768.700000003</v>
      </c>
      <c r="I1211" s="25">
        <f t="shared" si="55"/>
        <v>24.25</v>
      </c>
      <c r="J1211" s="25">
        <f t="shared" si="56"/>
        <v>19.189713951310868</v>
      </c>
      <c r="K1211" s="20"/>
    </row>
    <row r="1212" spans="1:11" ht="15.75" customHeight="1" x14ac:dyDescent="0.2">
      <c r="A1212" s="15">
        <v>46015</v>
      </c>
      <c r="B1212" s="3">
        <f>VLOOKUP(A1212,'[1]BADI SID DATA'!A:B,2,0)</f>
        <v>268</v>
      </c>
      <c r="C1212" s="11">
        <v>60000</v>
      </c>
      <c r="D1212" s="9">
        <v>0</v>
      </c>
      <c r="E1212" s="23">
        <v>100</v>
      </c>
      <c r="F1212" s="23">
        <v>100</v>
      </c>
      <c r="G1212" s="16">
        <f>VLOOKUP(A1212,'[1]DRDO Kolar Data'!$A:$E,5,0)*1000</f>
        <v>8750</v>
      </c>
      <c r="H1212" s="24">
        <f t="shared" si="57"/>
        <v>12356768.700000003</v>
      </c>
      <c r="I1212" s="25">
        <f t="shared" si="55"/>
        <v>25</v>
      </c>
      <c r="J1212" s="25">
        <f t="shared" si="56"/>
        <v>19.211394123134333</v>
      </c>
      <c r="K1212" s="20"/>
    </row>
    <row r="1213" spans="1:11" ht="15.75" customHeight="1" x14ac:dyDescent="0.2">
      <c r="A1213" s="15">
        <v>46016</v>
      </c>
      <c r="B1213" s="3">
        <f>VLOOKUP(A1213,'[1]BADI SID DATA'!A:B,2,0)</f>
        <v>269</v>
      </c>
      <c r="C1213" s="11">
        <v>64200</v>
      </c>
      <c r="D1213" s="9">
        <v>0</v>
      </c>
      <c r="E1213" s="23">
        <v>100</v>
      </c>
      <c r="F1213" s="23">
        <v>100</v>
      </c>
      <c r="G1213" s="16">
        <f>VLOOKUP(A1213,'[1]DRDO Kolar Data'!$A:$E,5,0)*1000</f>
        <v>9230</v>
      </c>
      <c r="H1213" s="24">
        <f t="shared" si="57"/>
        <v>12420968.700000003</v>
      </c>
      <c r="I1213" s="25">
        <f t="shared" si="55"/>
        <v>26.75</v>
      </c>
      <c r="J1213" s="25">
        <f t="shared" si="56"/>
        <v>19.239418680297401</v>
      </c>
      <c r="K1213" s="20"/>
    </row>
    <row r="1214" spans="1:11" ht="15.75" customHeight="1" x14ac:dyDescent="0.2">
      <c r="A1214" s="15">
        <v>46017</v>
      </c>
      <c r="B1214" s="3">
        <f>VLOOKUP(A1214,'[1]BADI SID DATA'!A:B,2,0)</f>
        <v>270</v>
      </c>
      <c r="C1214" s="4">
        <v>55200</v>
      </c>
      <c r="D1214" s="9">
        <v>0</v>
      </c>
      <c r="E1214" s="23">
        <v>100</v>
      </c>
      <c r="F1214" s="23">
        <v>100</v>
      </c>
      <c r="G1214" s="16">
        <f>VLOOKUP(A1214,'[1]DRDO Kolar Data'!$A:$E,5,0)*1000</f>
        <v>9200</v>
      </c>
      <c r="H1214" s="24">
        <f t="shared" si="57"/>
        <v>12476168.700000003</v>
      </c>
      <c r="I1214" s="25">
        <f t="shared" si="55"/>
        <v>23</v>
      </c>
      <c r="J1214" s="25">
        <f t="shared" si="56"/>
        <v>19.253346759259262</v>
      </c>
      <c r="K1214" s="20"/>
    </row>
    <row r="1215" spans="1:11" ht="15.75" customHeight="1" x14ac:dyDescent="0.2">
      <c r="A1215" s="15">
        <v>46018</v>
      </c>
      <c r="B1215" s="3">
        <f>VLOOKUP(A1215,'[1]BADI SID DATA'!A:B,2,0)</f>
        <v>271</v>
      </c>
      <c r="C1215" s="4">
        <v>62400</v>
      </c>
      <c r="D1215" s="9">
        <v>0</v>
      </c>
      <c r="E1215" s="23">
        <v>100</v>
      </c>
      <c r="F1215" s="23">
        <v>100</v>
      </c>
      <c r="G1215" s="16">
        <f>VLOOKUP(A1215,'[1]DRDO Kolar Data'!$A:$E,5,0)*1000</f>
        <v>9680</v>
      </c>
      <c r="H1215" s="24">
        <f t="shared" si="57"/>
        <v>12538568.700000003</v>
      </c>
      <c r="I1215" s="25">
        <f t="shared" si="55"/>
        <v>26</v>
      </c>
      <c r="J1215" s="25">
        <f t="shared" si="56"/>
        <v>19.278242158671592</v>
      </c>
      <c r="K1215" s="20"/>
    </row>
    <row r="1216" spans="1:11" ht="15.75" customHeight="1" x14ac:dyDescent="0.2">
      <c r="A1216" s="15">
        <v>46019</v>
      </c>
      <c r="B1216" s="3">
        <f>VLOOKUP(A1216,'[1]BADI SID DATA'!A:B,2,0)</f>
        <v>272</v>
      </c>
      <c r="C1216" s="4">
        <v>50400</v>
      </c>
      <c r="D1216" s="9">
        <v>0</v>
      </c>
      <c r="E1216" s="23">
        <v>100</v>
      </c>
      <c r="F1216" s="23">
        <v>100</v>
      </c>
      <c r="G1216" s="16">
        <f>VLOOKUP(A1216,'[1]DRDO Kolar Data'!$A:$E,5,0)*1000</f>
        <v>8980</v>
      </c>
      <c r="H1216" s="24">
        <f t="shared" si="57"/>
        <v>12588968.700000003</v>
      </c>
      <c r="I1216" s="25">
        <f t="shared" si="55"/>
        <v>21</v>
      </c>
      <c r="J1216" s="25">
        <f t="shared" si="56"/>
        <v>19.284572150735301</v>
      </c>
      <c r="K1216" s="20"/>
    </row>
    <row r="1217" spans="1:11" ht="15.75" customHeight="1" x14ac:dyDescent="0.2">
      <c r="A1217" s="15">
        <v>46020</v>
      </c>
      <c r="B1217" s="3">
        <f>VLOOKUP(A1217,'[1]BADI SID DATA'!A:B,2,0)</f>
        <v>273</v>
      </c>
      <c r="C1217" s="4">
        <v>59400</v>
      </c>
      <c r="D1217" s="9">
        <v>0</v>
      </c>
      <c r="E1217" s="23">
        <v>100</v>
      </c>
      <c r="F1217" s="23">
        <v>100</v>
      </c>
      <c r="G1217" s="16">
        <f>VLOOKUP(A1217,'[1]DRDO Kolar Data'!$A:$E,5,0)*1000</f>
        <v>8370</v>
      </c>
      <c r="H1217" s="24">
        <f t="shared" si="57"/>
        <v>12648368.700000003</v>
      </c>
      <c r="I1217" s="25">
        <f t="shared" si="55"/>
        <v>24.75</v>
      </c>
      <c r="J1217" s="25">
        <f t="shared" si="56"/>
        <v>19.304592032967037</v>
      </c>
      <c r="K1217" s="20"/>
    </row>
    <row r="1218" spans="1:11" ht="15.75" customHeight="1" x14ac:dyDescent="0.2">
      <c r="A1218" s="15">
        <v>46021</v>
      </c>
      <c r="B1218" s="3">
        <f>VLOOKUP(A1218,'[1]BADI SID DATA'!A:B,2,0)</f>
        <v>274</v>
      </c>
      <c r="C1218" s="4">
        <v>54000</v>
      </c>
      <c r="D1218" s="9">
        <v>0</v>
      </c>
      <c r="E1218" s="23">
        <v>100</v>
      </c>
      <c r="F1218" s="23">
        <v>100</v>
      </c>
      <c r="G1218" s="16">
        <f>VLOOKUP(A1218,'[1]DRDO Kolar Data'!$A:$E,5,0)*1000</f>
        <v>9390</v>
      </c>
      <c r="H1218" s="24">
        <f t="shared" si="57"/>
        <v>12702368.700000003</v>
      </c>
      <c r="I1218" s="25">
        <f t="shared" si="55"/>
        <v>22.5</v>
      </c>
      <c r="J1218" s="25">
        <f t="shared" si="56"/>
        <v>19.31625410583942</v>
      </c>
      <c r="K1218" s="20"/>
    </row>
    <row r="1219" spans="1:11" ht="15.75" customHeight="1" x14ac:dyDescent="0.2">
      <c r="A1219" s="15">
        <v>46022</v>
      </c>
      <c r="B1219" s="3">
        <f>VLOOKUP(A1219,'[1]BADI SID DATA'!A:B,2,0)</f>
        <v>275</v>
      </c>
      <c r="C1219" s="4">
        <v>46800</v>
      </c>
      <c r="D1219" s="9">
        <v>0</v>
      </c>
      <c r="E1219" s="23">
        <v>100</v>
      </c>
      <c r="F1219" s="23">
        <v>100</v>
      </c>
      <c r="G1219" s="16">
        <f>VLOOKUP(A1219,'[1]DRDO Kolar Data'!$A:$E,5,0)*1000</f>
        <v>8720</v>
      </c>
      <c r="H1219" s="24">
        <f t="shared" si="57"/>
        <v>12749168.700000003</v>
      </c>
      <c r="I1219" s="25">
        <f t="shared" ref="I1219:I1248" si="58">(C1219/(10*24*1000))*100</f>
        <v>19.5</v>
      </c>
      <c r="J1219" s="25">
        <f t="shared" ref="J1219:J1248" si="59">(H1219/(24*B1219*10*1000))*100</f>
        <v>19.316922272727275</v>
      </c>
      <c r="K1219" s="20"/>
    </row>
    <row r="1220" spans="1:11" ht="15.75" customHeight="1" x14ac:dyDescent="0.2">
      <c r="A1220" s="15">
        <v>46023</v>
      </c>
      <c r="B1220" s="3">
        <f>VLOOKUP(A1220,'[1]BADI SID DATA'!A:B,2,0)</f>
        <v>276</v>
      </c>
      <c r="C1220" s="4">
        <v>29739</v>
      </c>
      <c r="D1220" s="9">
        <v>0</v>
      </c>
      <c r="E1220" s="23">
        <v>100</v>
      </c>
      <c r="F1220" s="23">
        <v>100</v>
      </c>
      <c r="G1220" s="16">
        <f>VLOOKUP(A1220,'[1]DRDO Kolar Data'!$A:$E,5,0)*1000</f>
        <v>3600</v>
      </c>
      <c r="H1220" s="24">
        <f t="shared" si="57"/>
        <v>12778907.700000003</v>
      </c>
      <c r="I1220" s="25">
        <f t="shared" si="58"/>
        <v>12.391249999999999</v>
      </c>
      <c r="J1220" s="25">
        <f t="shared" si="59"/>
        <v>19.291829257246381</v>
      </c>
      <c r="K1220" s="21" t="s">
        <v>41</v>
      </c>
    </row>
    <row r="1221" spans="1:11" ht="15.75" customHeight="1" x14ac:dyDescent="0.2">
      <c r="A1221" s="15">
        <v>46024</v>
      </c>
      <c r="B1221" s="3">
        <f>VLOOKUP(A1221,'[1]BADI SID DATA'!A:B,2,0)</f>
        <v>277</v>
      </c>
      <c r="C1221" s="4">
        <v>43800</v>
      </c>
      <c r="D1221" s="9">
        <v>0</v>
      </c>
      <c r="E1221" s="23">
        <v>100</v>
      </c>
      <c r="F1221" s="23">
        <v>100</v>
      </c>
      <c r="G1221" s="16">
        <f>VLOOKUP(A1221,'[1]DRDO Kolar Data'!$A:$E,5,0)*1000</f>
        <v>5330</v>
      </c>
      <c r="H1221" s="24">
        <f t="shared" ref="H1221:H1248" si="60">C1221+H1220</f>
        <v>12822707.700000003</v>
      </c>
      <c r="I1221" s="25">
        <f t="shared" si="58"/>
        <v>18.25</v>
      </c>
      <c r="J1221" s="25">
        <f t="shared" si="59"/>
        <v>19.28806814079423</v>
      </c>
      <c r="K1221" s="21" t="s">
        <v>41</v>
      </c>
    </row>
    <row r="1222" spans="1:11" ht="15.75" customHeight="1" x14ac:dyDescent="0.2">
      <c r="A1222" s="15">
        <v>46025</v>
      </c>
      <c r="B1222" s="3">
        <f>VLOOKUP(A1222,'[1]BADI SID DATA'!A:B,2,0)</f>
        <v>278</v>
      </c>
      <c r="C1222" s="4">
        <v>52800</v>
      </c>
      <c r="D1222" s="9">
        <v>0</v>
      </c>
      <c r="E1222" s="23">
        <v>100</v>
      </c>
      <c r="F1222" s="23">
        <v>100</v>
      </c>
      <c r="G1222" s="16">
        <f>VLOOKUP(A1222,'[1]DRDO Kolar Data'!$A:$E,5,0)*1000</f>
        <v>9210</v>
      </c>
      <c r="H1222" s="24">
        <f t="shared" si="60"/>
        <v>12875507.700000003</v>
      </c>
      <c r="I1222" s="25">
        <f t="shared" si="58"/>
        <v>22</v>
      </c>
      <c r="J1222" s="25">
        <f t="shared" si="59"/>
        <v>19.29782329136691</v>
      </c>
      <c r="K1222" s="20"/>
    </row>
    <row r="1223" spans="1:11" ht="15.75" customHeight="1" x14ac:dyDescent="0.2">
      <c r="A1223" s="15">
        <v>46026</v>
      </c>
      <c r="B1223" s="3">
        <f>VLOOKUP(A1223,'[1]BADI SID DATA'!A:B,2,0)</f>
        <v>279</v>
      </c>
      <c r="C1223" s="4">
        <v>57000</v>
      </c>
      <c r="D1223" s="9">
        <v>0</v>
      </c>
      <c r="E1223" s="23">
        <v>100</v>
      </c>
      <c r="F1223" s="23">
        <v>100</v>
      </c>
      <c r="G1223" s="16">
        <f>VLOOKUP(A1223,'[1]DRDO Kolar Data'!$A:$E,5,0)*1000</f>
        <v>9770</v>
      </c>
      <c r="H1223" s="24">
        <f t="shared" si="60"/>
        <v>12932507.700000003</v>
      </c>
      <c r="I1223" s="25">
        <f t="shared" si="58"/>
        <v>23.75</v>
      </c>
      <c r="J1223" s="25">
        <f t="shared" si="59"/>
        <v>19.313780913978498</v>
      </c>
      <c r="K1223" s="20"/>
    </row>
    <row r="1224" spans="1:11" ht="15.75" customHeight="1" x14ac:dyDescent="0.2">
      <c r="A1224" s="15">
        <v>46027</v>
      </c>
      <c r="B1224" s="3">
        <f>VLOOKUP(A1224,'[1]BADI SID DATA'!A:B,2,0)</f>
        <v>280</v>
      </c>
      <c r="C1224" s="4">
        <v>62400</v>
      </c>
      <c r="D1224" s="9">
        <v>0</v>
      </c>
      <c r="E1224" s="23">
        <v>100</v>
      </c>
      <c r="F1224" s="23">
        <v>100</v>
      </c>
      <c r="G1224" s="16">
        <f>VLOOKUP(A1224,'[1]DRDO Kolar Data'!$A:$E,5,0)*1000</f>
        <v>8980</v>
      </c>
      <c r="H1224" s="24">
        <f t="shared" si="60"/>
        <v>12994907.700000003</v>
      </c>
      <c r="I1224" s="25">
        <f t="shared" si="58"/>
        <v>26</v>
      </c>
      <c r="J1224" s="25">
        <f t="shared" si="59"/>
        <v>19.337660267857149</v>
      </c>
      <c r="K1224" s="20"/>
    </row>
    <row r="1225" spans="1:11" ht="15.75" customHeight="1" x14ac:dyDescent="0.2">
      <c r="A1225" s="15">
        <v>46028</v>
      </c>
      <c r="B1225" s="3">
        <f>VLOOKUP(A1225,'[1]BADI SID DATA'!A:B,2,0)</f>
        <v>281</v>
      </c>
      <c r="C1225" s="4">
        <v>42000</v>
      </c>
      <c r="D1225" s="9">
        <v>0</v>
      </c>
      <c r="E1225" s="23">
        <v>100</v>
      </c>
      <c r="F1225" s="23">
        <v>100</v>
      </c>
      <c r="G1225" s="16">
        <f>VLOOKUP(A1225,'[1]DRDO Kolar Data'!$A:$E,5,0)*1000</f>
        <v>8020</v>
      </c>
      <c r="H1225" s="24">
        <f t="shared" si="60"/>
        <v>13036907.700000003</v>
      </c>
      <c r="I1225" s="25">
        <f t="shared" si="58"/>
        <v>17.5</v>
      </c>
      <c r="J1225" s="25">
        <f t="shared" si="59"/>
        <v>19.331120551601426</v>
      </c>
      <c r="K1225" s="21" t="s">
        <v>41</v>
      </c>
    </row>
    <row r="1226" spans="1:11" ht="15.75" customHeight="1" x14ac:dyDescent="0.2">
      <c r="A1226" s="15">
        <v>46029</v>
      </c>
      <c r="B1226" s="3">
        <f>VLOOKUP(A1226,'[1]BADI SID DATA'!A:B,2,0)</f>
        <v>282</v>
      </c>
      <c r="C1226" s="4">
        <v>60600</v>
      </c>
      <c r="D1226" s="9">
        <v>0</v>
      </c>
      <c r="E1226" s="23">
        <v>100</v>
      </c>
      <c r="F1226" s="23">
        <v>100</v>
      </c>
      <c r="G1226" s="16">
        <f>VLOOKUP(A1226,'[1]DRDO Kolar Data'!$A:$E,5,0)*1000</f>
        <v>9380</v>
      </c>
      <c r="H1226" s="24">
        <f t="shared" si="60"/>
        <v>13097507.700000003</v>
      </c>
      <c r="I1226" s="25">
        <f t="shared" si="58"/>
        <v>25.25</v>
      </c>
      <c r="J1226" s="25">
        <f t="shared" si="59"/>
        <v>19.352109485815607</v>
      </c>
      <c r="K1226" s="20"/>
    </row>
    <row r="1227" spans="1:11" ht="15.75" customHeight="1" x14ac:dyDescent="0.2">
      <c r="A1227" s="15">
        <v>46030</v>
      </c>
      <c r="B1227" s="3">
        <f>VLOOKUP(A1227,'[1]BADI SID DATA'!A:B,2,0)</f>
        <v>283</v>
      </c>
      <c r="C1227" s="4">
        <v>61800</v>
      </c>
      <c r="D1227" s="9">
        <v>0</v>
      </c>
      <c r="E1227" s="23">
        <v>100</v>
      </c>
      <c r="F1227" s="23">
        <v>100</v>
      </c>
      <c r="G1227" s="16">
        <f>VLOOKUP(A1227,'[1]DRDO Kolar Data'!$A:$E,5,0)*1000</f>
        <v>9620</v>
      </c>
      <c r="H1227" s="24">
        <f t="shared" si="60"/>
        <v>13159307.700000003</v>
      </c>
      <c r="I1227" s="25">
        <f t="shared" si="58"/>
        <v>25.75</v>
      </c>
      <c r="J1227" s="25">
        <f t="shared" si="59"/>
        <v>19.374716872791524</v>
      </c>
      <c r="K1227" s="20"/>
    </row>
    <row r="1228" spans="1:11" ht="15.75" customHeight="1" x14ac:dyDescent="0.2">
      <c r="A1228" s="15">
        <v>46031</v>
      </c>
      <c r="B1228" s="3">
        <f>VLOOKUP(A1228,'[1]BADI SID DATA'!A:B,2,0)</f>
        <v>284</v>
      </c>
      <c r="C1228" s="11">
        <v>47400</v>
      </c>
      <c r="D1228" s="9">
        <v>0</v>
      </c>
      <c r="E1228" s="23">
        <v>100</v>
      </c>
      <c r="F1228" s="23">
        <v>100</v>
      </c>
      <c r="G1228" s="16">
        <f>VLOOKUP(A1228,'[1]DRDO Kolar Data'!$A:$E,5,0)*1000</f>
        <v>8020</v>
      </c>
      <c r="H1228" s="24">
        <f t="shared" si="60"/>
        <v>13206707.700000003</v>
      </c>
      <c r="I1228" s="25">
        <f t="shared" si="58"/>
        <v>19.75</v>
      </c>
      <c r="J1228" s="25">
        <f t="shared" si="59"/>
        <v>19.376038292253526</v>
      </c>
      <c r="K1228" s="20"/>
    </row>
    <row r="1229" spans="1:11" ht="15.75" customHeight="1" x14ac:dyDescent="0.2">
      <c r="A1229" s="15">
        <v>46032</v>
      </c>
      <c r="B1229" s="3">
        <f>VLOOKUP(A1229,'[1]BADI SID DATA'!A:B,2,0)</f>
        <v>285</v>
      </c>
      <c r="C1229" s="4">
        <v>21600</v>
      </c>
      <c r="D1229" s="9">
        <v>0</v>
      </c>
      <c r="E1229" s="23">
        <v>100</v>
      </c>
      <c r="F1229" s="23">
        <v>100</v>
      </c>
      <c r="G1229" s="16">
        <f>VLOOKUP(A1229,'[1]DRDO Kolar Data'!$A:$E,5,0)*1000</f>
        <v>3050</v>
      </c>
      <c r="H1229" s="24">
        <f t="shared" si="60"/>
        <v>13228307.700000003</v>
      </c>
      <c r="I1229" s="25">
        <f t="shared" si="58"/>
        <v>9</v>
      </c>
      <c r="J1229" s="25">
        <f t="shared" si="59"/>
        <v>19.339631140350882</v>
      </c>
      <c r="K1229" s="21" t="s">
        <v>41</v>
      </c>
    </row>
    <row r="1230" spans="1:11" ht="15.75" customHeight="1" x14ac:dyDescent="0.2">
      <c r="A1230" s="15">
        <v>46033</v>
      </c>
      <c r="B1230" s="3">
        <f>VLOOKUP(A1230,'[1]BADI SID DATA'!A:B,2,0)</f>
        <v>286</v>
      </c>
      <c r="C1230" s="4">
        <v>24600</v>
      </c>
      <c r="D1230" s="9">
        <v>0</v>
      </c>
      <c r="E1230" s="23">
        <v>100</v>
      </c>
      <c r="F1230" s="23">
        <v>100</v>
      </c>
      <c r="G1230" s="16">
        <f>VLOOKUP(A1230,'[1]DRDO Kolar Data'!$A:$E,5,0)*1000</f>
        <v>2450</v>
      </c>
      <c r="H1230" s="24">
        <f t="shared" si="60"/>
        <v>13252907.700000003</v>
      </c>
      <c r="I1230" s="25">
        <f t="shared" si="58"/>
        <v>10.25</v>
      </c>
      <c r="J1230" s="25">
        <f t="shared" si="59"/>
        <v>19.307849213286719</v>
      </c>
      <c r="K1230" s="21" t="s">
        <v>41</v>
      </c>
    </row>
    <row r="1231" spans="1:11" ht="15.75" customHeight="1" x14ac:dyDescent="0.2">
      <c r="A1231" s="15">
        <v>46034</v>
      </c>
      <c r="B1231" s="3">
        <f>VLOOKUP(A1231,'[1]BADI SID DATA'!A:B,2,0)</f>
        <v>287</v>
      </c>
      <c r="C1231" s="4">
        <v>18000</v>
      </c>
      <c r="D1231" s="9">
        <v>0</v>
      </c>
      <c r="E1231" s="23">
        <v>100</v>
      </c>
      <c r="F1231" s="23">
        <v>100</v>
      </c>
      <c r="G1231" s="16">
        <f>VLOOKUP(A1231,'[1]DRDO Kolar Data'!$A:$E,5,0)*1000</f>
        <v>2820</v>
      </c>
      <c r="H1231" s="24">
        <f t="shared" si="60"/>
        <v>13270907.700000003</v>
      </c>
      <c r="I1231" s="25">
        <f t="shared" si="58"/>
        <v>7.5</v>
      </c>
      <c r="J1231" s="25">
        <f t="shared" si="59"/>
        <v>19.266706881533104</v>
      </c>
      <c r="K1231" s="21" t="s">
        <v>41</v>
      </c>
    </row>
    <row r="1232" spans="1:11" ht="15.75" customHeight="1" x14ac:dyDescent="0.2">
      <c r="A1232" s="15">
        <v>46035</v>
      </c>
      <c r="B1232" s="3">
        <f>VLOOKUP(A1232,'[1]BADI SID DATA'!A:B,2,0)</f>
        <v>288</v>
      </c>
      <c r="C1232" s="4">
        <v>43200</v>
      </c>
      <c r="D1232" s="9">
        <v>0</v>
      </c>
      <c r="E1232" s="23">
        <v>100</v>
      </c>
      <c r="F1232" s="23">
        <v>100</v>
      </c>
      <c r="G1232" s="16">
        <f>VLOOKUP(A1232,'[1]DRDO Kolar Data'!$A:$E,5,0)*1000</f>
        <v>7580</v>
      </c>
      <c r="H1232" s="24">
        <f t="shared" si="60"/>
        <v>13314107.700000003</v>
      </c>
      <c r="I1232" s="25">
        <f t="shared" si="58"/>
        <v>18</v>
      </c>
      <c r="J1232" s="25">
        <f t="shared" si="59"/>
        <v>19.262308593750006</v>
      </c>
      <c r="K1232" s="20"/>
    </row>
    <row r="1233" spans="1:11" ht="15.75" customHeight="1" x14ac:dyDescent="0.2">
      <c r="A1233" s="15">
        <v>46036</v>
      </c>
      <c r="B1233" s="3">
        <f>VLOOKUP(A1233,'[1]BADI SID DATA'!A:B,2,0)</f>
        <v>289</v>
      </c>
      <c r="C1233" s="11">
        <v>57000</v>
      </c>
      <c r="D1233" s="9">
        <v>0</v>
      </c>
      <c r="E1233" s="23">
        <v>100</v>
      </c>
      <c r="F1233" s="23">
        <v>100</v>
      </c>
      <c r="G1233" s="16">
        <f>VLOOKUP(A1233,'[1]DRDO Kolar Data'!$A:$E,5,0)*1000</f>
        <v>9210</v>
      </c>
      <c r="H1233" s="24">
        <f t="shared" si="60"/>
        <v>13371107.700000003</v>
      </c>
      <c r="I1233" s="25">
        <f t="shared" si="58"/>
        <v>23.75</v>
      </c>
      <c r="J1233" s="25">
        <f t="shared" si="59"/>
        <v>19.277836937716266</v>
      </c>
      <c r="K1233" s="20"/>
    </row>
    <row r="1234" spans="1:11" ht="15.75" customHeight="1" x14ac:dyDescent="0.2">
      <c r="A1234" s="15">
        <v>46037</v>
      </c>
      <c r="B1234" s="3">
        <f>VLOOKUP(A1234,'[1]BADI SID DATA'!A:B,2,0)</f>
        <v>290</v>
      </c>
      <c r="C1234" s="4">
        <v>58800</v>
      </c>
      <c r="D1234" s="9">
        <v>0</v>
      </c>
      <c r="E1234" s="23">
        <v>100</v>
      </c>
      <c r="F1234" s="23">
        <v>100</v>
      </c>
      <c r="G1234" s="16">
        <f>VLOOKUP(A1234,'[1]DRDO Kolar Data'!$A:$E,5,0)*1000</f>
        <v>9310</v>
      </c>
      <c r="H1234" s="24">
        <f t="shared" si="60"/>
        <v>13429907.700000003</v>
      </c>
      <c r="I1234" s="25">
        <f t="shared" si="58"/>
        <v>24.5</v>
      </c>
      <c r="J1234" s="25">
        <f t="shared" si="59"/>
        <v>19.295844396551729</v>
      </c>
      <c r="K1234" s="20"/>
    </row>
    <row r="1235" spans="1:11" ht="15.75" customHeight="1" x14ac:dyDescent="0.2">
      <c r="A1235" s="15">
        <v>46038</v>
      </c>
      <c r="B1235" s="3">
        <f>VLOOKUP(A1235,'[1]BADI SID DATA'!A:B,2,0)</f>
        <v>291</v>
      </c>
      <c r="C1235" s="4">
        <v>55800</v>
      </c>
      <c r="D1235" s="9">
        <v>0</v>
      </c>
      <c r="E1235" s="23">
        <v>100</v>
      </c>
      <c r="F1235" s="23">
        <v>100</v>
      </c>
      <c r="G1235" s="16">
        <f>VLOOKUP(A1235,'[1]DRDO Kolar Data'!$A:$E,5,0)*1000</f>
        <v>9200</v>
      </c>
      <c r="H1235" s="24">
        <f t="shared" si="60"/>
        <v>13485707.700000003</v>
      </c>
      <c r="I1235" s="25">
        <f t="shared" si="58"/>
        <v>23.25</v>
      </c>
      <c r="J1235" s="25">
        <f t="shared" si="59"/>
        <v>19.309432560137459</v>
      </c>
      <c r="K1235" s="20"/>
    </row>
    <row r="1236" spans="1:11" ht="15.75" customHeight="1" x14ac:dyDescent="0.2">
      <c r="A1236" s="15">
        <v>46039</v>
      </c>
      <c r="B1236" s="3">
        <f>VLOOKUP(A1236,'[1]BADI SID DATA'!A:B,2,0)</f>
        <v>292</v>
      </c>
      <c r="C1236" s="4">
        <v>47400</v>
      </c>
      <c r="D1236" s="9">
        <v>0</v>
      </c>
      <c r="E1236" s="23">
        <v>100</v>
      </c>
      <c r="F1236" s="23">
        <v>100</v>
      </c>
      <c r="G1236" s="16">
        <f>VLOOKUP(A1236,'[1]DRDO Kolar Data'!$A:$E,5,0)*1000</f>
        <v>8020</v>
      </c>
      <c r="H1236" s="24">
        <f t="shared" si="60"/>
        <v>13533107.700000003</v>
      </c>
      <c r="I1236" s="25">
        <f t="shared" si="58"/>
        <v>19.75</v>
      </c>
      <c r="J1236" s="25">
        <f t="shared" si="59"/>
        <v>19.310941352739729</v>
      </c>
      <c r="K1236" s="20"/>
    </row>
    <row r="1237" spans="1:11" ht="15.75" customHeight="1" x14ac:dyDescent="0.2">
      <c r="A1237" s="15">
        <v>46040</v>
      </c>
      <c r="B1237" s="3">
        <f>VLOOKUP(A1237,'[1]BADI SID DATA'!A:B,2,0)</f>
        <v>293</v>
      </c>
      <c r="C1237" s="4">
        <v>66600</v>
      </c>
      <c r="D1237" s="9">
        <v>0</v>
      </c>
      <c r="E1237" s="23">
        <v>100</v>
      </c>
      <c r="F1237" s="23">
        <v>100</v>
      </c>
      <c r="G1237" s="16">
        <f>VLOOKUP(A1237,'[1]DRDO Kolar Data'!$A:$E,5,0)*1000</f>
        <v>9950</v>
      </c>
      <c r="H1237" s="24">
        <f t="shared" si="60"/>
        <v>13599707.700000003</v>
      </c>
      <c r="I1237" s="25">
        <f t="shared" si="58"/>
        <v>27.750000000000004</v>
      </c>
      <c r="J1237" s="25">
        <f t="shared" si="59"/>
        <v>19.339743600682599</v>
      </c>
      <c r="K1237" s="20"/>
    </row>
    <row r="1238" spans="1:11" ht="15.75" customHeight="1" x14ac:dyDescent="0.2">
      <c r="A1238" s="15">
        <v>46041</v>
      </c>
      <c r="B1238" s="3">
        <f>VLOOKUP(A1238,'[1]BADI SID DATA'!A:B,2,0)</f>
        <v>294</v>
      </c>
      <c r="C1238" s="4">
        <v>63000</v>
      </c>
      <c r="D1238" s="9">
        <v>0</v>
      </c>
      <c r="E1238" s="23">
        <v>100</v>
      </c>
      <c r="F1238" s="23">
        <v>100</v>
      </c>
      <c r="G1238" s="16">
        <f>VLOOKUP(A1238,'[1]DRDO Kolar Data'!$A:$E,5,0)*1000</f>
        <v>8940</v>
      </c>
      <c r="H1238" s="24">
        <f t="shared" si="60"/>
        <v>13662707.700000003</v>
      </c>
      <c r="I1238" s="25">
        <f t="shared" si="58"/>
        <v>26.25</v>
      </c>
      <c r="J1238" s="25">
        <f t="shared" si="59"/>
        <v>19.363247874149664</v>
      </c>
      <c r="K1238" s="20"/>
    </row>
    <row r="1239" spans="1:11" ht="15.75" customHeight="1" x14ac:dyDescent="0.2">
      <c r="A1239" s="15">
        <v>46042</v>
      </c>
      <c r="B1239" s="3">
        <f>VLOOKUP(A1239,'[1]BADI SID DATA'!A:B,2,0)</f>
        <v>295</v>
      </c>
      <c r="C1239" s="4">
        <v>66000</v>
      </c>
      <c r="D1239" s="9">
        <v>0</v>
      </c>
      <c r="E1239" s="23">
        <v>100</v>
      </c>
      <c r="F1239" s="23">
        <v>100</v>
      </c>
      <c r="G1239" s="16">
        <f>VLOOKUP(A1239,'[1]DRDO Kolar Data'!$A:$E,5,0)*1000</f>
        <v>9950</v>
      </c>
      <c r="H1239" s="24">
        <f t="shared" si="60"/>
        <v>13728707.700000003</v>
      </c>
      <c r="I1239" s="25">
        <f t="shared" si="58"/>
        <v>27.500000000000004</v>
      </c>
      <c r="J1239" s="25">
        <f t="shared" si="59"/>
        <v>19.390830084745765</v>
      </c>
      <c r="K1239" s="20"/>
    </row>
    <row r="1240" spans="1:11" ht="15.75" customHeight="1" x14ac:dyDescent="0.2">
      <c r="A1240" s="15">
        <v>46043</v>
      </c>
      <c r="B1240" s="3">
        <f>VLOOKUP(A1240,'[1]BADI SID DATA'!A:B,2,0)</f>
        <v>296</v>
      </c>
      <c r="C1240" s="4">
        <v>63000</v>
      </c>
      <c r="D1240" s="9">
        <v>0</v>
      </c>
      <c r="E1240" s="23">
        <v>100</v>
      </c>
      <c r="F1240" s="23">
        <v>100</v>
      </c>
      <c r="G1240" s="16">
        <f>VLOOKUP(A1240,'[1]DRDO Kolar Data'!$A:$E,5,0)*1000</f>
        <v>9340</v>
      </c>
      <c r="H1240" s="24">
        <f t="shared" si="60"/>
        <v>13791707.700000003</v>
      </c>
      <c r="I1240" s="25">
        <f t="shared" si="58"/>
        <v>26.25</v>
      </c>
      <c r="J1240" s="25">
        <f t="shared" si="59"/>
        <v>19.414002956081085</v>
      </c>
      <c r="K1240" s="20"/>
    </row>
    <row r="1241" spans="1:11" ht="15.75" customHeight="1" x14ac:dyDescent="0.2">
      <c r="A1241" s="15">
        <v>46044</v>
      </c>
      <c r="B1241" s="3">
        <f>VLOOKUP(A1241,'[1]BADI SID DATA'!A:B,2,0)</f>
        <v>297</v>
      </c>
      <c r="C1241" s="4">
        <v>68400</v>
      </c>
      <c r="D1241" s="9">
        <v>0</v>
      </c>
      <c r="E1241" s="23">
        <v>100</v>
      </c>
      <c r="F1241" s="23">
        <v>100</v>
      </c>
      <c r="G1241" s="16">
        <f>VLOOKUP(A1241,'[1]DRDO Kolar Data'!$A:$E,5,0)*1000</f>
        <v>9310</v>
      </c>
      <c r="H1241" s="24">
        <f t="shared" si="60"/>
        <v>13860107.700000003</v>
      </c>
      <c r="I1241" s="25">
        <f t="shared" si="58"/>
        <v>28.499999999999996</v>
      </c>
      <c r="J1241" s="25">
        <f t="shared" si="59"/>
        <v>19.444595538720545</v>
      </c>
      <c r="K1241" s="20"/>
    </row>
    <row r="1242" spans="1:11" ht="15.75" customHeight="1" x14ac:dyDescent="0.2">
      <c r="A1242" s="15">
        <v>46045</v>
      </c>
      <c r="B1242" s="3">
        <f>VLOOKUP(A1242,'[1]BADI SID DATA'!A:B,2,0)</f>
        <v>298</v>
      </c>
      <c r="C1242" s="4">
        <v>66006</v>
      </c>
      <c r="D1242" s="9">
        <v>0</v>
      </c>
      <c r="E1242" s="23">
        <v>100</v>
      </c>
      <c r="F1242" s="23">
        <v>100</v>
      </c>
      <c r="G1242" s="16">
        <f>VLOOKUP(A1242,'[1]DRDO Kolar Data'!$A:$E,5,0)*1000</f>
        <v>9850</v>
      </c>
      <c r="H1242" s="24">
        <f t="shared" si="60"/>
        <v>13926113.700000003</v>
      </c>
      <c r="I1242" s="25">
        <f t="shared" si="58"/>
        <v>27.502500000000001</v>
      </c>
      <c r="J1242" s="25">
        <f t="shared" si="59"/>
        <v>19.471635486577185</v>
      </c>
      <c r="K1242" s="20"/>
    </row>
    <row r="1243" spans="1:11" ht="15.75" customHeight="1" x14ac:dyDescent="0.2">
      <c r="A1243" s="15">
        <v>46046</v>
      </c>
      <c r="B1243" s="3">
        <f>VLOOKUP(A1243,'[1]BADI SID DATA'!A:B,2,0)</f>
        <v>299</v>
      </c>
      <c r="C1243" s="4">
        <v>29400</v>
      </c>
      <c r="D1243" s="9">
        <v>0</v>
      </c>
      <c r="E1243" s="23">
        <v>100</v>
      </c>
      <c r="F1243" s="23">
        <v>100</v>
      </c>
      <c r="G1243" s="16">
        <f>VLOOKUP(A1243,'[1]DRDO Kolar Data'!$A:$E,5,0)*1000</f>
        <v>5310</v>
      </c>
      <c r="H1243" s="24">
        <f t="shared" si="60"/>
        <v>13955513.700000003</v>
      </c>
      <c r="I1243" s="25">
        <f t="shared" si="58"/>
        <v>12.25</v>
      </c>
      <c r="J1243" s="25">
        <f t="shared" si="59"/>
        <v>19.447482859531775</v>
      </c>
      <c r="K1243" s="21" t="s">
        <v>45</v>
      </c>
    </row>
    <row r="1244" spans="1:11" ht="15.75" customHeight="1" x14ac:dyDescent="0.2">
      <c r="A1244" s="15">
        <v>46047</v>
      </c>
      <c r="B1244" s="3">
        <f>VLOOKUP(A1244,'[1]BADI SID DATA'!A:B,2,0)</f>
        <v>300</v>
      </c>
      <c r="C1244" s="4">
        <v>21600</v>
      </c>
      <c r="D1244" s="9">
        <v>0</v>
      </c>
      <c r="E1244" s="23">
        <v>100</v>
      </c>
      <c r="F1244" s="23">
        <v>100</v>
      </c>
      <c r="G1244" s="16">
        <f>VLOOKUP(A1244,'[1]DRDO Kolar Data'!$A:$E,5,0)*1000</f>
        <v>2460</v>
      </c>
      <c r="H1244" s="24">
        <f t="shared" si="60"/>
        <v>13977113.700000003</v>
      </c>
      <c r="I1244" s="25">
        <f t="shared" si="58"/>
        <v>9</v>
      </c>
      <c r="J1244" s="25">
        <f t="shared" si="59"/>
        <v>19.412657916666671</v>
      </c>
      <c r="K1244" s="21" t="s">
        <v>42</v>
      </c>
    </row>
    <row r="1245" spans="1:11" ht="15.75" customHeight="1" x14ac:dyDescent="0.2">
      <c r="A1245" s="15">
        <v>46048</v>
      </c>
      <c r="B1245" s="3">
        <f>VLOOKUP(A1245,'[1]BADI SID DATA'!A:B,2,0)</f>
        <v>301</v>
      </c>
      <c r="C1245" s="4">
        <v>21000</v>
      </c>
      <c r="D1245" s="9">
        <v>0</v>
      </c>
      <c r="E1245" s="23">
        <v>100</v>
      </c>
      <c r="F1245" s="23">
        <v>100</v>
      </c>
      <c r="G1245" s="16">
        <f>VLOOKUP(A1245,'[1]DRDO Kolar Data'!$A:$E,5,0)*1000</f>
        <v>2710</v>
      </c>
      <c r="H1245" s="24">
        <f t="shared" si="60"/>
        <v>13998113.700000003</v>
      </c>
      <c r="I1245" s="25">
        <f t="shared" si="58"/>
        <v>8.75</v>
      </c>
      <c r="J1245" s="25">
        <f t="shared" si="59"/>
        <v>19.377233803986716</v>
      </c>
      <c r="K1245" s="21" t="s">
        <v>42</v>
      </c>
    </row>
    <row r="1246" spans="1:11" ht="15.75" customHeight="1" x14ac:dyDescent="0.2">
      <c r="A1246" s="15">
        <v>46049</v>
      </c>
      <c r="B1246" s="3">
        <f>VLOOKUP(A1246,'[1]BADI SID DATA'!A:B,2,0)</f>
        <v>302</v>
      </c>
      <c r="C1246" s="4">
        <v>62400</v>
      </c>
      <c r="D1246" s="9">
        <v>0</v>
      </c>
      <c r="E1246" s="23">
        <v>100</v>
      </c>
      <c r="F1246" s="23">
        <v>100</v>
      </c>
      <c r="G1246" s="16">
        <f>VLOOKUP(A1246,'[1]DRDO Kolar Data'!$A:$E,5,0)*1000</f>
        <v>9610</v>
      </c>
      <c r="H1246" s="24">
        <f t="shared" si="60"/>
        <v>14060513.700000003</v>
      </c>
      <c r="I1246" s="25">
        <f t="shared" si="58"/>
        <v>26</v>
      </c>
      <c r="J1246" s="25">
        <f t="shared" si="59"/>
        <v>19.39916349337749</v>
      </c>
      <c r="K1246" s="20"/>
    </row>
    <row r="1247" spans="1:11" ht="15.75" customHeight="1" x14ac:dyDescent="0.2">
      <c r="A1247" s="15">
        <v>46050</v>
      </c>
      <c r="B1247" s="3">
        <f>VLOOKUP(A1247,'[1]BADI SID DATA'!A:B,2,0)</f>
        <v>303</v>
      </c>
      <c r="C1247" s="4">
        <v>61200</v>
      </c>
      <c r="D1247" s="9">
        <v>0</v>
      </c>
      <c r="E1247" s="23">
        <v>100</v>
      </c>
      <c r="F1247" s="23">
        <v>100</v>
      </c>
      <c r="G1247" s="16">
        <f>VLOOKUP(A1247,'[1]DRDO Kolar Data'!$A:$E,5,0)*1000</f>
        <v>9200</v>
      </c>
      <c r="H1247" s="24">
        <f t="shared" si="60"/>
        <v>14121713.700000003</v>
      </c>
      <c r="I1247" s="25">
        <f t="shared" si="58"/>
        <v>25.5</v>
      </c>
      <c r="J1247" s="25">
        <f t="shared" si="59"/>
        <v>19.419298267326738</v>
      </c>
      <c r="K1247" s="20"/>
    </row>
    <row r="1248" spans="1:11" ht="15.75" customHeight="1" x14ac:dyDescent="0.2">
      <c r="A1248" s="15">
        <v>46051</v>
      </c>
      <c r="B1248" s="3">
        <f>VLOOKUP(A1248,'[1]BADI SID DATA'!A:B,2,0)</f>
        <v>304</v>
      </c>
      <c r="C1248" s="4">
        <v>58200</v>
      </c>
      <c r="D1248" s="9">
        <v>0</v>
      </c>
      <c r="E1248" s="23">
        <v>100</v>
      </c>
      <c r="F1248" s="23">
        <v>100</v>
      </c>
      <c r="G1248" s="16">
        <f>VLOOKUP(A1248,'[1]DRDO Kolar Data'!$A:$E,5,0)*1000</f>
        <v>8710</v>
      </c>
      <c r="H1248" s="24">
        <f t="shared" si="60"/>
        <v>14179913.700000003</v>
      </c>
      <c r="I1248" s="25">
        <f t="shared" si="58"/>
        <v>24.25</v>
      </c>
      <c r="J1248" s="25">
        <f t="shared" si="59"/>
        <v>19.435188733552636</v>
      </c>
      <c r="K1248" s="20"/>
    </row>
    <row r="1249" spans="1:11" ht="15.75" customHeight="1" x14ac:dyDescent="0.15">
      <c r="A1249" s="15">
        <v>46052</v>
      </c>
      <c r="B1249" s="29">
        <v>305</v>
      </c>
      <c r="C1249">
        <v>66352</v>
      </c>
      <c r="D1249" s="9">
        <v>0</v>
      </c>
      <c r="E1249" s="30">
        <v>100</v>
      </c>
      <c r="F1249" s="30">
        <v>100</v>
      </c>
      <c r="G1249" s="30">
        <v>9600</v>
      </c>
      <c r="H1249" s="30">
        <v>14246265.700000003</v>
      </c>
      <c r="I1249" s="30">
        <v>27.646666666666668</v>
      </c>
      <c r="J1249" s="30">
        <v>19.462111612021861</v>
      </c>
      <c r="K1249" t="s">
        <v>38</v>
      </c>
    </row>
    <row r="1250" spans="1:11" ht="15.75" customHeight="1" x14ac:dyDescent="0.15">
      <c r="A1250" s="15">
        <v>46053</v>
      </c>
      <c r="B1250" s="29">
        <v>306</v>
      </c>
      <c r="C1250">
        <v>69973</v>
      </c>
      <c r="D1250" s="9">
        <v>0</v>
      </c>
      <c r="E1250" s="30">
        <v>100</v>
      </c>
      <c r="F1250" s="30">
        <v>100</v>
      </c>
      <c r="G1250" s="30">
        <v>9600</v>
      </c>
      <c r="H1250" s="30">
        <v>14316238.700000003</v>
      </c>
      <c r="I1250" s="30">
        <v>29.155416666666667</v>
      </c>
      <c r="J1250" s="30">
        <v>19.493789079520703</v>
      </c>
      <c r="K1250" t="s">
        <v>38</v>
      </c>
    </row>
    <row r="1251" spans="1:11" ht="15.75" customHeight="1" x14ac:dyDescent="0.15">
      <c r="A1251" s="15">
        <v>46054</v>
      </c>
      <c r="B1251" s="29">
        <v>307</v>
      </c>
      <c r="C1251">
        <v>63134</v>
      </c>
      <c r="D1251" s="9">
        <v>0</v>
      </c>
      <c r="E1251" s="30">
        <v>100</v>
      </c>
      <c r="F1251" s="30">
        <v>100</v>
      </c>
      <c r="G1251" s="30">
        <v>9400</v>
      </c>
      <c r="H1251" s="30">
        <v>14379372.700000003</v>
      </c>
      <c r="I1251" s="30">
        <v>26.305833333333332</v>
      </c>
      <c r="J1251" s="30">
        <v>19.515978148751362</v>
      </c>
      <c r="K1251" t="s">
        <v>38</v>
      </c>
    </row>
    <row r="1252" spans="1:11" ht="15.75" customHeight="1" x14ac:dyDescent="0.15">
      <c r="A1252" s="15">
        <v>46055</v>
      </c>
      <c r="B1252" s="29">
        <v>308</v>
      </c>
      <c r="C1252">
        <v>62797</v>
      </c>
      <c r="D1252" s="9">
        <v>0</v>
      </c>
      <c r="E1252" s="30">
        <v>100</v>
      </c>
      <c r="F1252" s="30">
        <v>100</v>
      </c>
      <c r="G1252" s="30">
        <v>9300</v>
      </c>
      <c r="H1252" s="30">
        <v>14442169.700000003</v>
      </c>
      <c r="I1252" s="30">
        <v>26.165416666666669</v>
      </c>
      <c r="J1252" s="30">
        <v>19.537567234848488</v>
      </c>
      <c r="K1252" t="s">
        <v>38</v>
      </c>
    </row>
    <row r="1253" spans="1:11" ht="15.75" customHeight="1" x14ac:dyDescent="0.15">
      <c r="A1253" s="15">
        <v>46056</v>
      </c>
      <c r="B1253" s="29">
        <v>309</v>
      </c>
      <c r="C1253">
        <v>56112</v>
      </c>
      <c r="D1253" s="9">
        <v>0</v>
      </c>
      <c r="E1253" s="30">
        <v>100</v>
      </c>
      <c r="F1253" s="30">
        <v>100</v>
      </c>
      <c r="G1253" s="30">
        <v>9600</v>
      </c>
      <c r="H1253" s="30">
        <v>14498281.700000003</v>
      </c>
      <c r="I1253" s="30">
        <v>23.380000000000003</v>
      </c>
      <c r="J1253" s="30">
        <v>19.550002292340888</v>
      </c>
      <c r="K1253" t="s">
        <v>38</v>
      </c>
    </row>
    <row r="1254" spans="1:11" ht="15.75" customHeight="1" x14ac:dyDescent="0.15">
      <c r="A1254" s="15">
        <v>46057</v>
      </c>
      <c r="B1254" s="29">
        <v>310</v>
      </c>
      <c r="C1254">
        <v>70636</v>
      </c>
      <c r="D1254" s="9">
        <v>0</v>
      </c>
      <c r="E1254" s="30">
        <v>100</v>
      </c>
      <c r="F1254" s="30">
        <v>100</v>
      </c>
      <c r="G1254" s="30">
        <v>9600</v>
      </c>
      <c r="H1254" s="30">
        <v>14568917.700000003</v>
      </c>
      <c r="I1254" s="30">
        <v>29.431666666666668</v>
      </c>
      <c r="J1254" s="30">
        <v>19.581878629032261</v>
      </c>
      <c r="K1254" t="s">
        <v>38</v>
      </c>
    </row>
    <row r="1255" spans="1:11" ht="15.75" customHeight="1" x14ac:dyDescent="0.15">
      <c r="A1255" s="15">
        <v>46058</v>
      </c>
      <c r="B1255" s="29">
        <v>311</v>
      </c>
      <c r="C1255">
        <v>69567</v>
      </c>
      <c r="D1255" s="9">
        <v>0</v>
      </c>
      <c r="E1255" s="30">
        <v>100</v>
      </c>
      <c r="F1255" s="30">
        <v>100</v>
      </c>
      <c r="G1255" s="30">
        <v>10200</v>
      </c>
      <c r="H1255" s="30">
        <v>14638484.700000003</v>
      </c>
      <c r="I1255" s="30">
        <v>28.986250000000002</v>
      </c>
      <c r="J1255" s="30">
        <v>19.612117765273315</v>
      </c>
      <c r="K1255" t="s">
        <v>38</v>
      </c>
    </row>
    <row r="1256" spans="1:11" ht="15.75" customHeight="1" x14ac:dyDescent="0.15">
      <c r="A1256" s="15">
        <v>46059</v>
      </c>
      <c r="B1256" s="29">
        <v>312</v>
      </c>
      <c r="C1256">
        <v>67363</v>
      </c>
      <c r="D1256" s="9">
        <v>0</v>
      </c>
      <c r="E1256" s="30">
        <v>100</v>
      </c>
      <c r="F1256" s="30">
        <v>100</v>
      </c>
      <c r="G1256" s="30">
        <v>10400</v>
      </c>
      <c r="H1256" s="30">
        <v>14705847.700000003</v>
      </c>
      <c r="I1256" s="30">
        <v>28.067916666666665</v>
      </c>
      <c r="J1256" s="30">
        <v>19.639219684829065</v>
      </c>
      <c r="K1256" t="s">
        <v>38</v>
      </c>
    </row>
    <row r="1257" spans="1:11" ht="15.75" customHeight="1" x14ac:dyDescent="0.15">
      <c r="A1257" s="15">
        <v>46060</v>
      </c>
      <c r="B1257" s="29">
        <v>313</v>
      </c>
      <c r="C1257">
        <v>68218</v>
      </c>
      <c r="D1257" s="9">
        <v>0</v>
      </c>
      <c r="E1257" s="30">
        <v>100</v>
      </c>
      <c r="F1257" s="30">
        <v>100</v>
      </c>
      <c r="G1257" s="30">
        <v>10100</v>
      </c>
      <c r="H1257" s="30">
        <v>14774065.700000003</v>
      </c>
      <c r="I1257" s="30">
        <v>28.424166666666668</v>
      </c>
      <c r="J1257" s="30">
        <v>19.667286608093722</v>
      </c>
      <c r="K1257" t="s">
        <v>38</v>
      </c>
    </row>
    <row r="1258" spans="1:11" ht="15.75" customHeight="1" x14ac:dyDescent="0.15">
      <c r="A1258" s="15">
        <v>46061</v>
      </c>
      <c r="B1258" s="29">
        <v>314</v>
      </c>
      <c r="C1258">
        <v>65192</v>
      </c>
      <c r="D1258" s="9">
        <v>0</v>
      </c>
      <c r="E1258" s="30">
        <v>100</v>
      </c>
      <c r="F1258" s="30">
        <v>100</v>
      </c>
      <c r="G1258" s="30">
        <v>10200</v>
      </c>
      <c r="H1258" s="30">
        <v>14839257.700000003</v>
      </c>
      <c r="I1258" s="30">
        <v>27.163333333333334</v>
      </c>
      <c r="J1258" s="30">
        <v>19.691159368365184</v>
      </c>
      <c r="K1258" t="s">
        <v>38</v>
      </c>
    </row>
    <row r="1259" spans="1:11" ht="15.75" customHeight="1" x14ac:dyDescent="0.15">
      <c r="A1259" s="15">
        <v>46062</v>
      </c>
      <c r="B1259" s="29">
        <v>315</v>
      </c>
      <c r="C1259">
        <v>62575</v>
      </c>
      <c r="D1259" s="9">
        <v>0</v>
      </c>
      <c r="E1259" s="30">
        <v>100</v>
      </c>
      <c r="F1259" s="30">
        <v>100</v>
      </c>
      <c r="G1259" s="30">
        <v>9500</v>
      </c>
      <c r="H1259" s="30">
        <v>14901832.700000003</v>
      </c>
      <c r="I1259" s="30">
        <v>26.072916666666668</v>
      </c>
      <c r="J1259" s="30">
        <v>19.71141891534392</v>
      </c>
      <c r="K1259" t="s">
        <v>38</v>
      </c>
    </row>
    <row r="1260" spans="1:11" ht="15.75" customHeight="1" x14ac:dyDescent="0.15">
      <c r="A1260" s="15">
        <v>46063</v>
      </c>
      <c r="B1260" s="29">
        <v>316</v>
      </c>
      <c r="C1260">
        <v>62286</v>
      </c>
      <c r="D1260" s="9">
        <v>0</v>
      </c>
      <c r="E1260" s="30">
        <v>100</v>
      </c>
      <c r="F1260" s="30">
        <v>100</v>
      </c>
      <c r="G1260" s="30">
        <v>9900</v>
      </c>
      <c r="H1260" s="30">
        <v>14964118.700000003</v>
      </c>
      <c r="I1260" s="30">
        <v>25.952500000000001</v>
      </c>
      <c r="J1260" s="30">
        <v>19.731169171940934</v>
      </c>
      <c r="K1260" t="s">
        <v>38</v>
      </c>
    </row>
    <row r="1261" spans="1:11" ht="15.75" customHeight="1" x14ac:dyDescent="0.15">
      <c r="A1261" s="15">
        <v>46064</v>
      </c>
      <c r="B1261" s="29">
        <v>317</v>
      </c>
      <c r="C1261">
        <v>70630</v>
      </c>
      <c r="D1261" s="9">
        <v>0</v>
      </c>
      <c r="E1261" s="30">
        <v>100</v>
      </c>
      <c r="F1261" s="30">
        <v>100</v>
      </c>
      <c r="G1261" s="30">
        <v>10200</v>
      </c>
      <c r="H1261" s="30">
        <v>15034748.700000003</v>
      </c>
      <c r="I1261" s="30">
        <v>29.429166666666667</v>
      </c>
      <c r="J1261" s="30">
        <v>19.76176222397477</v>
      </c>
      <c r="K1261" t="s">
        <v>38</v>
      </c>
    </row>
    <row r="1262" spans="1:11" ht="15.75" customHeight="1" x14ac:dyDescent="0.15">
      <c r="A1262" s="15">
        <v>46065</v>
      </c>
      <c r="B1262" s="29">
        <v>318</v>
      </c>
      <c r="C1262">
        <v>69466</v>
      </c>
      <c r="D1262" s="9">
        <v>0</v>
      </c>
      <c r="E1262" s="30">
        <v>100</v>
      </c>
      <c r="F1262" s="30">
        <v>100</v>
      </c>
      <c r="G1262" s="30">
        <v>10100</v>
      </c>
      <c r="H1262" s="30">
        <v>15104214.700000003</v>
      </c>
      <c r="I1262" s="30">
        <v>28.944166666666664</v>
      </c>
      <c r="J1262" s="30">
        <v>19.790637709643612</v>
      </c>
      <c r="K1262" t="s">
        <v>38</v>
      </c>
    </row>
    <row r="1263" spans="1:11" ht="15.75" customHeight="1" x14ac:dyDescent="0.15">
      <c r="A1263" s="15">
        <v>46066</v>
      </c>
      <c r="B1263" s="29">
        <v>319</v>
      </c>
      <c r="C1263">
        <v>71108</v>
      </c>
      <c r="D1263" s="9">
        <v>0</v>
      </c>
      <c r="E1263" s="30">
        <v>100</v>
      </c>
      <c r="F1263" s="30">
        <v>100</v>
      </c>
      <c r="G1263" s="30">
        <v>9900</v>
      </c>
      <c r="H1263" s="30">
        <v>15175322.700000003</v>
      </c>
      <c r="I1263" s="30">
        <v>29.628333333333334</v>
      </c>
      <c r="J1263" s="30">
        <v>19.821476880877746</v>
      </c>
      <c r="K1263" t="s">
        <v>38</v>
      </c>
    </row>
    <row r="1264" spans="1:11" ht="15.75" customHeight="1" x14ac:dyDescent="0.15">
      <c r="A1264" s="15">
        <v>46067</v>
      </c>
      <c r="B1264" s="29">
        <v>320</v>
      </c>
      <c r="C1264">
        <v>69718</v>
      </c>
      <c r="D1264" s="9">
        <v>0</v>
      </c>
      <c r="E1264" s="30">
        <v>100</v>
      </c>
      <c r="F1264" s="30">
        <v>100</v>
      </c>
      <c r="G1264" s="30">
        <v>9300</v>
      </c>
      <c r="H1264" s="30">
        <v>15245040.700000003</v>
      </c>
      <c r="I1264" s="30">
        <v>29.049166666666665</v>
      </c>
      <c r="J1264" s="30">
        <v>19.850313411458337</v>
      </c>
      <c r="K1264" t="s">
        <v>38</v>
      </c>
    </row>
    <row r="1265" spans="1:11" ht="15.75" customHeight="1" x14ac:dyDescent="0.15">
      <c r="A1265" s="15">
        <v>46068</v>
      </c>
      <c r="B1265" s="29">
        <v>321</v>
      </c>
      <c r="C1265">
        <v>66211</v>
      </c>
      <c r="D1265" s="9">
        <v>0</v>
      </c>
      <c r="E1265" s="30">
        <v>100</v>
      </c>
      <c r="F1265" s="30">
        <v>100</v>
      </c>
      <c r="G1265" s="30">
        <v>9100</v>
      </c>
      <c r="H1265" s="30">
        <v>15311251.700000003</v>
      </c>
      <c r="I1265" s="30">
        <v>27.587916666666668</v>
      </c>
      <c r="J1265" s="30">
        <v>19.874418094496367</v>
      </c>
      <c r="K1265" t="s">
        <v>38</v>
      </c>
    </row>
    <row r="1266" spans="1:11" ht="15.75" customHeight="1" x14ac:dyDescent="0.15">
      <c r="A1266" s="15">
        <v>46069</v>
      </c>
      <c r="B1266" s="29">
        <v>322</v>
      </c>
      <c r="C1266">
        <v>64299</v>
      </c>
      <c r="D1266" s="9">
        <v>0</v>
      </c>
      <c r="E1266" s="30">
        <v>100</v>
      </c>
      <c r="F1266" s="30">
        <v>100</v>
      </c>
      <c r="G1266" s="30">
        <v>9600</v>
      </c>
      <c r="H1266" s="30">
        <v>15375550.700000003</v>
      </c>
      <c r="I1266" s="30">
        <v>26.791249999999998</v>
      </c>
      <c r="J1266" s="30">
        <v>19.895898938923398</v>
      </c>
      <c r="K1266" t="s">
        <v>38</v>
      </c>
    </row>
    <row r="1267" spans="1:11" ht="15.75" customHeight="1" x14ac:dyDescent="0.15">
      <c r="A1267" s="15">
        <v>46070</v>
      </c>
      <c r="B1267" s="29">
        <v>323</v>
      </c>
      <c r="C1267">
        <v>68071</v>
      </c>
      <c r="D1267" s="9">
        <v>0</v>
      </c>
      <c r="E1267" s="30">
        <v>100</v>
      </c>
      <c r="F1267" s="30">
        <v>100</v>
      </c>
      <c r="G1267" s="30">
        <v>9600</v>
      </c>
      <c r="H1267" s="30">
        <v>15443621.700000003</v>
      </c>
      <c r="I1267" s="30">
        <v>28.362916666666667</v>
      </c>
      <c r="J1267" s="30">
        <v>19.922112616099074</v>
      </c>
      <c r="K1267" t="s">
        <v>38</v>
      </c>
    </row>
    <row r="1268" spans="1:11" ht="15.75" customHeight="1" x14ac:dyDescent="0.15">
      <c r="A1268" s="15">
        <v>46071</v>
      </c>
      <c r="B1268" s="29">
        <v>324</v>
      </c>
      <c r="C1268">
        <v>59929</v>
      </c>
      <c r="D1268" s="9">
        <v>0</v>
      </c>
      <c r="E1268" s="30">
        <v>100</v>
      </c>
      <c r="F1268" s="30">
        <v>100</v>
      </c>
      <c r="G1268" s="30">
        <v>9700</v>
      </c>
      <c r="H1268" s="30">
        <v>15503550.700000003</v>
      </c>
      <c r="I1268" s="30">
        <v>24.970416666666669</v>
      </c>
      <c r="J1268" s="30">
        <v>19.937693801440336</v>
      </c>
      <c r="K1268" t="s">
        <v>38</v>
      </c>
    </row>
    <row r="1269" spans="1:11" ht="15.75" customHeight="1" x14ac:dyDescent="0.15">
      <c r="A1269" s="15">
        <v>46072</v>
      </c>
      <c r="B1269" s="29">
        <v>325</v>
      </c>
      <c r="C1269">
        <v>64922</v>
      </c>
      <c r="D1269" s="9">
        <v>0</v>
      </c>
      <c r="E1269" s="30">
        <v>100</v>
      </c>
      <c r="F1269" s="30">
        <v>100</v>
      </c>
      <c r="G1269" s="30">
        <v>9700</v>
      </c>
      <c r="H1269" s="30">
        <v>15568472.700000003</v>
      </c>
      <c r="I1269" s="30">
        <v>27.050833333333337</v>
      </c>
      <c r="J1269" s="30">
        <v>19.959580384615389</v>
      </c>
      <c r="K1269" t="s">
        <v>38</v>
      </c>
    </row>
    <row r="1270" spans="1:11" ht="15.75" customHeight="1" x14ac:dyDescent="0.15">
      <c r="A1270" s="15">
        <v>46073</v>
      </c>
      <c r="B1270" s="29">
        <v>326</v>
      </c>
      <c r="C1270">
        <v>63346</v>
      </c>
      <c r="D1270" s="9">
        <v>0</v>
      </c>
      <c r="E1270" s="30">
        <v>100</v>
      </c>
      <c r="F1270" s="30">
        <v>100</v>
      </c>
      <c r="G1270" s="30">
        <v>9500</v>
      </c>
      <c r="H1270" s="30">
        <v>15631818.700000003</v>
      </c>
      <c r="I1270" s="30">
        <v>26.394166666666667</v>
      </c>
      <c r="J1270" s="30">
        <v>19.979318379345607</v>
      </c>
      <c r="K1270" t="s">
        <v>38</v>
      </c>
    </row>
    <row r="1271" spans="1:11" ht="15.75" customHeight="1" x14ac:dyDescent="0.15">
      <c r="A1271" s="15">
        <v>46074</v>
      </c>
      <c r="B1271" s="29">
        <v>327</v>
      </c>
      <c r="C1271">
        <v>55843</v>
      </c>
      <c r="D1271" s="9">
        <v>0</v>
      </c>
      <c r="E1271" s="30">
        <v>100</v>
      </c>
      <c r="F1271" s="30">
        <v>100</v>
      </c>
      <c r="G1271" s="30">
        <v>9200</v>
      </c>
      <c r="H1271" s="30">
        <v>15687661.700000003</v>
      </c>
      <c r="I1271" s="30">
        <v>23.267916666666665</v>
      </c>
      <c r="J1271" s="30">
        <v>19.989375254842003</v>
      </c>
      <c r="K1271" t="s">
        <v>38</v>
      </c>
    </row>
    <row r="1272" spans="1:11" ht="15.75" customHeight="1" x14ac:dyDescent="0.15">
      <c r="A1272" s="15">
        <v>46075</v>
      </c>
      <c r="B1272" s="29">
        <v>328</v>
      </c>
      <c r="C1272">
        <v>63123</v>
      </c>
      <c r="D1272" s="9">
        <v>0</v>
      </c>
      <c r="E1272" s="30">
        <v>100</v>
      </c>
      <c r="F1272" s="30">
        <v>100</v>
      </c>
      <c r="G1272" s="30">
        <v>10100</v>
      </c>
      <c r="H1272" s="30">
        <v>15750784.700000003</v>
      </c>
      <c r="I1272" s="30">
        <v>26.30125</v>
      </c>
      <c r="J1272" s="30">
        <v>20.008618775406507</v>
      </c>
      <c r="K1272" t="s">
        <v>38</v>
      </c>
    </row>
    <row r="1273" spans="1:11" ht="15.75" customHeight="1" x14ac:dyDescent="0.15">
      <c r="A1273" s="15">
        <v>46076</v>
      </c>
      <c r="B1273" s="29">
        <v>329</v>
      </c>
      <c r="C1273">
        <v>63936</v>
      </c>
      <c r="D1273" s="9">
        <v>0</v>
      </c>
      <c r="E1273" s="30">
        <v>100</v>
      </c>
      <c r="F1273" s="30">
        <v>100</v>
      </c>
      <c r="G1273" s="30">
        <v>9600</v>
      </c>
      <c r="H1273" s="30">
        <v>15814720.700000003</v>
      </c>
      <c r="I1273" s="30">
        <v>26.640000000000004</v>
      </c>
      <c r="J1273" s="30">
        <v>20.028774949341443</v>
      </c>
      <c r="K1273" t="s">
        <v>38</v>
      </c>
    </row>
    <row r="1274" spans="1:11" ht="15.75" customHeight="1" x14ac:dyDescent="0.15">
      <c r="A1274" s="15">
        <v>46077</v>
      </c>
      <c r="B1274" s="29">
        <v>330</v>
      </c>
      <c r="C1274">
        <v>59815</v>
      </c>
      <c r="D1274" s="9">
        <v>0</v>
      </c>
      <c r="E1274" s="30">
        <v>100</v>
      </c>
      <c r="F1274" s="30">
        <v>100</v>
      </c>
      <c r="G1274" s="30">
        <v>9800</v>
      </c>
      <c r="H1274" s="30">
        <v>15874535.700000003</v>
      </c>
      <c r="I1274" s="30">
        <v>24.922916666666666</v>
      </c>
      <c r="J1274" s="30">
        <v>20.043605681818185</v>
      </c>
      <c r="K1274" t="s">
        <v>38</v>
      </c>
    </row>
    <row r="1275" spans="1:11" ht="15.75" customHeight="1" x14ac:dyDescent="0.15">
      <c r="A1275" s="15">
        <v>46078</v>
      </c>
      <c r="B1275" s="29">
        <v>331</v>
      </c>
      <c r="C1275">
        <v>54375</v>
      </c>
      <c r="D1275" s="9">
        <v>0</v>
      </c>
      <c r="E1275" s="30">
        <v>100</v>
      </c>
      <c r="F1275" s="30">
        <v>100</v>
      </c>
      <c r="G1275" s="30">
        <v>9300</v>
      </c>
      <c r="H1275" s="30">
        <v>15928910.700000003</v>
      </c>
      <c r="I1275" s="30">
        <v>22.65625</v>
      </c>
      <c r="J1275" s="30">
        <v>20.05149886706949</v>
      </c>
      <c r="K1275" t="s">
        <v>38</v>
      </c>
    </row>
    <row r="1276" spans="1:11" ht="15.75" customHeight="1" x14ac:dyDescent="0.15">
      <c r="A1276" s="15">
        <v>46079</v>
      </c>
      <c r="B1276" s="29">
        <v>332</v>
      </c>
      <c r="C1276">
        <v>43660</v>
      </c>
      <c r="D1276" s="9">
        <v>0</v>
      </c>
      <c r="E1276" s="30">
        <v>100</v>
      </c>
      <c r="F1276" s="30">
        <v>100</v>
      </c>
      <c r="G1276" s="30">
        <v>9100</v>
      </c>
      <c r="H1276" s="30">
        <v>15972570.700000003</v>
      </c>
      <c r="I1276" s="30">
        <v>18.191666666666666</v>
      </c>
      <c r="J1276" s="30">
        <v>20.045896962851408</v>
      </c>
      <c r="K1276" t="s">
        <v>38</v>
      </c>
    </row>
    <row r="1277" spans="1:11" ht="15.75" customHeight="1" x14ac:dyDescent="0.15">
      <c r="A1277" s="15">
        <v>46080</v>
      </c>
      <c r="B1277" s="29">
        <v>333</v>
      </c>
      <c r="C1277">
        <v>55264</v>
      </c>
      <c r="D1277" s="9">
        <v>0</v>
      </c>
      <c r="E1277" s="30">
        <v>100</v>
      </c>
      <c r="F1277" s="30">
        <v>100</v>
      </c>
      <c r="G1277" s="30">
        <v>9600</v>
      </c>
      <c r="H1277" s="30">
        <v>16027834.700000003</v>
      </c>
      <c r="I1277" s="30">
        <v>23.026666666666667</v>
      </c>
      <c r="J1277" s="30">
        <v>20.054848223223225</v>
      </c>
      <c r="K1277" t="s">
        <v>38</v>
      </c>
    </row>
    <row r="1278" spans="1:11" ht="15.75" customHeight="1" x14ac:dyDescent="0.15">
      <c r="A1278" s="15">
        <v>46081</v>
      </c>
      <c r="B1278" s="29">
        <v>334</v>
      </c>
      <c r="C1278">
        <v>59855</v>
      </c>
      <c r="D1278" s="9">
        <v>0</v>
      </c>
      <c r="E1278" s="30">
        <v>100</v>
      </c>
      <c r="F1278" s="30">
        <v>100</v>
      </c>
      <c r="G1278" s="30">
        <v>9100</v>
      </c>
      <c r="H1278" s="30">
        <v>16087689.700000003</v>
      </c>
      <c r="I1278" s="30">
        <v>24.939583333333335</v>
      </c>
      <c r="J1278" s="30">
        <v>20.069473178642721</v>
      </c>
      <c r="K1278" t="s">
        <v>38</v>
      </c>
    </row>
    <row r="1279" spans="1:11" ht="15.75" customHeight="1" x14ac:dyDescent="0.15">
      <c r="A1279" s="15">
        <v>46082</v>
      </c>
      <c r="B1279" s="29">
        <v>335</v>
      </c>
      <c r="C1279">
        <v>61405</v>
      </c>
      <c r="D1279" s="9">
        <v>0</v>
      </c>
      <c r="E1279" s="30">
        <v>100</v>
      </c>
      <c r="F1279" s="30">
        <v>100</v>
      </c>
      <c r="G1279" s="30">
        <v>9300</v>
      </c>
      <c r="H1279" s="30">
        <v>16149094.700000003</v>
      </c>
      <c r="I1279" s="30">
        <v>25.585416666666667</v>
      </c>
      <c r="J1279" s="30">
        <v>20.085938681592044</v>
      </c>
      <c r="K1279" t="s">
        <v>38</v>
      </c>
    </row>
    <row r="1280" spans="1:11" ht="15.75" customHeight="1" x14ac:dyDescent="0.15">
      <c r="A1280" s="15">
        <v>46083</v>
      </c>
      <c r="B1280" s="29">
        <v>336</v>
      </c>
      <c r="C1280">
        <v>58873</v>
      </c>
      <c r="D1280" s="9">
        <v>0</v>
      </c>
      <c r="E1280" s="30">
        <v>100</v>
      </c>
      <c r="F1280" s="30">
        <v>100</v>
      </c>
      <c r="G1280" s="30">
        <v>9300</v>
      </c>
      <c r="H1280" s="30">
        <v>16207967.700000003</v>
      </c>
      <c r="I1280" s="30">
        <v>24.530416666666667</v>
      </c>
      <c r="J1280" s="30">
        <v>20.099166294642863</v>
      </c>
      <c r="K1280" t="s">
        <v>38</v>
      </c>
    </row>
    <row r="1281" spans="1:11" ht="15.75" customHeight="1" x14ac:dyDescent="0.15">
      <c r="A1281" s="15">
        <v>46084</v>
      </c>
      <c r="B1281" s="29">
        <v>337</v>
      </c>
      <c r="C1281">
        <v>64530</v>
      </c>
      <c r="D1281" s="9">
        <v>0</v>
      </c>
      <c r="E1281" s="30">
        <v>100</v>
      </c>
      <c r="F1281" s="30">
        <v>100</v>
      </c>
      <c r="G1281" s="30">
        <v>9600</v>
      </c>
      <c r="H1281" s="30">
        <v>16272497.700000003</v>
      </c>
      <c r="I1281" s="30">
        <v>26.887499999999996</v>
      </c>
      <c r="J1281" s="30">
        <v>20.119309718100894</v>
      </c>
      <c r="K1281" t="s">
        <v>38</v>
      </c>
    </row>
    <row r="1282" spans="1:11" ht="15.75" customHeight="1" x14ac:dyDescent="0.15">
      <c r="A1282" s="15">
        <v>46085</v>
      </c>
      <c r="B1282" s="29">
        <v>338</v>
      </c>
      <c r="C1282">
        <v>65550</v>
      </c>
      <c r="D1282" s="9">
        <v>0</v>
      </c>
      <c r="E1282" s="30">
        <v>100</v>
      </c>
      <c r="F1282" s="30">
        <v>100</v>
      </c>
      <c r="G1282" s="30">
        <v>9400</v>
      </c>
      <c r="H1282" s="30">
        <v>16338047.700000003</v>
      </c>
      <c r="I1282" s="30">
        <v>27.3125</v>
      </c>
      <c r="J1282" s="30">
        <v>20.140591346153851</v>
      </c>
      <c r="K1282" t="s">
        <v>38</v>
      </c>
    </row>
    <row r="1283" spans="1:11" ht="15.75" customHeight="1" x14ac:dyDescent="0.15">
      <c r="A1283" s="15">
        <v>46086</v>
      </c>
      <c r="B1283" s="29">
        <v>339</v>
      </c>
      <c r="C1283">
        <v>64687</v>
      </c>
      <c r="D1283" s="9">
        <v>0</v>
      </c>
      <c r="E1283" s="30">
        <v>100</v>
      </c>
      <c r="F1283" s="30">
        <v>100</v>
      </c>
      <c r="G1283" s="30">
        <v>10100</v>
      </c>
      <c r="H1283" s="30">
        <v>16402734.700000003</v>
      </c>
      <c r="I1283" s="30">
        <v>26.952916666666667</v>
      </c>
      <c r="J1283" s="30">
        <v>20.160686701081616</v>
      </c>
      <c r="K1283" t="s">
        <v>38</v>
      </c>
    </row>
    <row r="1284" spans="1:11" ht="15.75" customHeight="1" x14ac:dyDescent="0.15">
      <c r="A1284" s="15">
        <v>46087</v>
      </c>
      <c r="B1284" s="29">
        <v>340</v>
      </c>
      <c r="C1284">
        <v>63049</v>
      </c>
      <c r="D1284" s="9">
        <v>0</v>
      </c>
      <c r="E1284" s="30">
        <v>100</v>
      </c>
      <c r="F1284" s="30">
        <v>100</v>
      </c>
      <c r="G1284" s="30">
        <v>9300</v>
      </c>
      <c r="H1284" s="30">
        <v>16465783.700000003</v>
      </c>
      <c r="I1284" s="30">
        <v>26.270416666666669</v>
      </c>
      <c r="J1284" s="30">
        <v>20.178656495098043</v>
      </c>
      <c r="K1284" t="s">
        <v>38</v>
      </c>
    </row>
    <row r="1285" spans="1:11" ht="15.75" customHeight="1" x14ac:dyDescent="0.15">
      <c r="A1285" s="15">
        <v>46088</v>
      </c>
      <c r="B1285" s="29">
        <v>341</v>
      </c>
      <c r="C1285">
        <v>61029</v>
      </c>
      <c r="D1285" s="9">
        <v>0</v>
      </c>
      <c r="E1285" s="30">
        <v>100</v>
      </c>
      <c r="F1285" s="30">
        <v>100</v>
      </c>
      <c r="G1285" s="30">
        <v>9400</v>
      </c>
      <c r="H1285" s="30">
        <v>16526812.700000003</v>
      </c>
      <c r="I1285" s="30">
        <v>25.428750000000001</v>
      </c>
      <c r="J1285" s="30">
        <v>20.194052663734119</v>
      </c>
      <c r="K1285" t="s">
        <v>38</v>
      </c>
    </row>
    <row r="1286" spans="1:11" ht="15.75" customHeight="1" x14ac:dyDescent="0.15">
      <c r="A1286" s="15">
        <v>46089</v>
      </c>
      <c r="B1286" s="29">
        <v>342</v>
      </c>
      <c r="C1286">
        <v>61519</v>
      </c>
      <c r="D1286" s="9">
        <v>0</v>
      </c>
      <c r="E1286" s="30">
        <v>100</v>
      </c>
      <c r="F1286" s="30">
        <v>100</v>
      </c>
      <c r="G1286" s="30">
        <v>9500</v>
      </c>
      <c r="H1286" s="30">
        <v>16588331.700000003</v>
      </c>
      <c r="I1286" s="30">
        <v>25.632916666666667</v>
      </c>
      <c r="J1286" s="30">
        <v>20.209955774853803</v>
      </c>
      <c r="K1286" t="s">
        <v>38</v>
      </c>
    </row>
    <row r="1287" spans="1:11" ht="15.75" customHeight="1" x14ac:dyDescent="0.15">
      <c r="A1287" s="15">
        <v>46090</v>
      </c>
      <c r="B1287" s="29">
        <v>343</v>
      </c>
      <c r="C1287">
        <v>58011</v>
      </c>
      <c r="D1287" s="9">
        <v>0</v>
      </c>
      <c r="E1287" s="30">
        <v>100</v>
      </c>
      <c r="F1287" s="30">
        <v>100</v>
      </c>
      <c r="G1287" s="30">
        <v>9100</v>
      </c>
      <c r="H1287" s="30">
        <v>16646342.700000003</v>
      </c>
      <c r="I1287" s="30">
        <v>24.171250000000001</v>
      </c>
      <c r="J1287" s="30">
        <v>20.221504737609333</v>
      </c>
      <c r="K1287" t="s">
        <v>38</v>
      </c>
    </row>
    <row r="1288" spans="1:11" ht="15.75" customHeight="1" x14ac:dyDescent="0.15">
      <c r="A1288" s="15">
        <v>46091</v>
      </c>
      <c r="B1288" s="29">
        <v>344</v>
      </c>
      <c r="C1288">
        <v>68927</v>
      </c>
      <c r="D1288" s="9">
        <v>0</v>
      </c>
      <c r="E1288" s="30">
        <v>100</v>
      </c>
      <c r="F1288" s="30">
        <v>100</v>
      </c>
      <c r="G1288" s="30">
        <v>9600</v>
      </c>
      <c r="H1288" s="30">
        <v>16715269.700000003</v>
      </c>
      <c r="I1288" s="30">
        <v>28.719583333333333</v>
      </c>
      <c r="J1288" s="30">
        <v>20.246208454457367</v>
      </c>
      <c r="K1288" t="s">
        <v>38</v>
      </c>
    </row>
    <row r="1289" spans="1:11" ht="15.75" customHeight="1" x14ac:dyDescent="0.15">
      <c r="A1289" s="15">
        <v>46092</v>
      </c>
      <c r="B1289" s="29">
        <v>345</v>
      </c>
      <c r="C1289">
        <v>69979</v>
      </c>
      <c r="D1289" s="9">
        <v>0</v>
      </c>
      <c r="E1289" s="30">
        <v>100</v>
      </c>
      <c r="F1289" s="30">
        <v>100</v>
      </c>
      <c r="G1289" s="30">
        <v>9600</v>
      </c>
      <c r="H1289" s="30">
        <v>16785248.700000003</v>
      </c>
      <c r="I1289" s="30">
        <v>29.157916666666665</v>
      </c>
      <c r="J1289" s="30">
        <v>20.272039492753628</v>
      </c>
      <c r="K1289" t="s">
        <v>38</v>
      </c>
    </row>
    <row r="1290" spans="1:11" ht="15.75" customHeight="1" x14ac:dyDescent="0.15">
      <c r="A1290" s="15">
        <v>46093</v>
      </c>
      <c r="B1290" s="29">
        <v>346</v>
      </c>
      <c r="C1290">
        <v>61245</v>
      </c>
      <c r="D1290" s="9">
        <v>0</v>
      </c>
      <c r="E1290" s="30">
        <v>100</v>
      </c>
      <c r="F1290" s="30">
        <v>100</v>
      </c>
      <c r="G1290" s="30">
        <v>9700</v>
      </c>
      <c r="H1290" s="30">
        <v>16846493.700000003</v>
      </c>
      <c r="I1290" s="30">
        <v>25.518750000000001</v>
      </c>
      <c r="J1290" s="30">
        <v>20.28720339595376</v>
      </c>
      <c r="K1290" t="s">
        <v>38</v>
      </c>
    </row>
    <row r="1291" spans="1:11" ht="15.75" customHeight="1" x14ac:dyDescent="0.15">
      <c r="A1291" s="15">
        <v>46094</v>
      </c>
      <c r="B1291" s="29">
        <v>347</v>
      </c>
      <c r="C1291">
        <v>60004</v>
      </c>
      <c r="D1291" s="9">
        <v>0</v>
      </c>
      <c r="E1291" s="30">
        <v>100</v>
      </c>
      <c r="F1291" s="30">
        <v>100</v>
      </c>
      <c r="G1291" s="30">
        <v>9500</v>
      </c>
      <c r="H1291" s="30">
        <v>16906497.700000003</v>
      </c>
      <c r="I1291" s="30">
        <v>25.001666666666665</v>
      </c>
      <c r="J1291" s="30">
        <v>20.300789745437083</v>
      </c>
      <c r="K1291" t="s">
        <v>38</v>
      </c>
    </row>
    <row r="1292" spans="1:11" ht="15.75" customHeight="1" x14ac:dyDescent="0.15">
      <c r="A1292" s="15">
        <v>46095</v>
      </c>
      <c r="B1292" s="29">
        <v>348</v>
      </c>
      <c r="C1292">
        <v>62099</v>
      </c>
      <c r="D1292" s="9">
        <v>0</v>
      </c>
      <c r="E1292" s="30">
        <v>100</v>
      </c>
      <c r="F1292" s="30">
        <v>100</v>
      </c>
      <c r="G1292" s="30">
        <v>9800</v>
      </c>
      <c r="H1292" s="30">
        <v>16968596.700000003</v>
      </c>
      <c r="I1292" s="30">
        <v>25.874583333333334</v>
      </c>
      <c r="J1292" s="30">
        <v>20.316806393678164</v>
      </c>
      <c r="K1292" t="s">
        <v>38</v>
      </c>
    </row>
    <row r="1293" spans="1:11" ht="15.75" customHeight="1" x14ac:dyDescent="0.15">
      <c r="A1293" s="15">
        <v>46096</v>
      </c>
      <c r="B1293" s="29">
        <v>349</v>
      </c>
      <c r="C1293">
        <v>60931</v>
      </c>
      <c r="D1293" s="9">
        <v>0</v>
      </c>
      <c r="E1293" s="30">
        <v>100</v>
      </c>
      <c r="F1293" s="30">
        <v>100</v>
      </c>
      <c r="G1293" s="30">
        <v>9900</v>
      </c>
      <c r="H1293" s="30">
        <v>17029527.700000003</v>
      </c>
      <c r="I1293" s="30">
        <v>25.387916666666666</v>
      </c>
      <c r="J1293" s="30">
        <v>20.331336795606497</v>
      </c>
      <c r="K1293" t="s">
        <v>38</v>
      </c>
    </row>
    <row r="1294" spans="1:11" ht="15.75" customHeight="1" x14ac:dyDescent="0.15">
      <c r="A1294" s="15">
        <v>46097</v>
      </c>
      <c r="B1294" s="29">
        <v>350</v>
      </c>
      <c r="C1294">
        <v>59188</v>
      </c>
      <c r="D1294" s="9">
        <v>0</v>
      </c>
      <c r="E1294" s="30">
        <v>100</v>
      </c>
      <c r="F1294" s="30">
        <v>100</v>
      </c>
      <c r="G1294" s="30">
        <v>9300</v>
      </c>
      <c r="H1294" s="30">
        <v>17088715.700000003</v>
      </c>
      <c r="I1294" s="30">
        <v>24.661666666666669</v>
      </c>
      <c r="J1294" s="30">
        <v>20.34370916666667</v>
      </c>
      <c r="K1294" t="s">
        <v>38</v>
      </c>
    </row>
    <row r="1295" spans="1:11" ht="15.75" customHeight="1" x14ac:dyDescent="0.15">
      <c r="A1295" s="15">
        <v>46098</v>
      </c>
      <c r="B1295" s="29">
        <v>351</v>
      </c>
      <c r="C1295">
        <v>51944</v>
      </c>
      <c r="D1295" s="9">
        <v>0</v>
      </c>
      <c r="E1295" s="30">
        <v>100</v>
      </c>
      <c r="F1295" s="30">
        <v>100</v>
      </c>
      <c r="G1295" s="30">
        <v>9500</v>
      </c>
      <c r="H1295" s="30">
        <v>17140659.700000003</v>
      </c>
      <c r="I1295" s="30">
        <v>21.643333333333334</v>
      </c>
      <c r="J1295" s="30">
        <v>20.347411799620136</v>
      </c>
      <c r="K1295" t="s">
        <v>38</v>
      </c>
    </row>
    <row r="1296" spans="1:11" ht="15.75" customHeight="1" x14ac:dyDescent="0.15">
      <c r="A1296" s="15">
        <v>46099</v>
      </c>
      <c r="B1296" s="29">
        <v>352</v>
      </c>
      <c r="C1296">
        <v>53422</v>
      </c>
      <c r="D1296" s="9">
        <v>0</v>
      </c>
      <c r="E1296" s="30">
        <v>100</v>
      </c>
      <c r="F1296" s="30">
        <v>100</v>
      </c>
      <c r="G1296" s="30">
        <v>9700</v>
      </c>
      <c r="H1296" s="30">
        <v>17194081.700000003</v>
      </c>
      <c r="I1296" s="30">
        <v>22.259166666666665</v>
      </c>
      <c r="J1296" s="30">
        <v>20.352842921401518</v>
      </c>
      <c r="K1296" t="s">
        <v>38</v>
      </c>
    </row>
    <row r="1297" spans="1:11" ht="15.75" customHeight="1" x14ac:dyDescent="0.15">
      <c r="A1297" s="15">
        <v>46100</v>
      </c>
      <c r="B1297" s="29">
        <v>353</v>
      </c>
      <c r="C1297">
        <v>68148</v>
      </c>
      <c r="D1297" s="9">
        <v>0</v>
      </c>
      <c r="E1297" s="30">
        <v>100</v>
      </c>
      <c r="F1297" s="30">
        <v>100</v>
      </c>
      <c r="G1297" s="30">
        <v>9500</v>
      </c>
      <c r="H1297" s="30">
        <v>17262229.700000003</v>
      </c>
      <c r="I1297" s="30">
        <v>28.395</v>
      </c>
      <c r="J1297" s="30">
        <v>20.37562523607177</v>
      </c>
      <c r="K1297" t="s">
        <v>38</v>
      </c>
    </row>
    <row r="1298" spans="1:11" ht="15.75" customHeight="1" x14ac:dyDescent="0.15">
      <c r="A1298" s="15">
        <v>46101</v>
      </c>
      <c r="B1298" s="29">
        <v>354</v>
      </c>
      <c r="C1298">
        <v>56196</v>
      </c>
      <c r="D1298" s="9">
        <v>0</v>
      </c>
      <c r="E1298" s="30">
        <v>100</v>
      </c>
      <c r="F1298" s="30">
        <v>100</v>
      </c>
      <c r="G1298" s="30">
        <v>9100</v>
      </c>
      <c r="H1298" s="30">
        <v>17318425.700000003</v>
      </c>
      <c r="I1298" s="30">
        <v>23.414999999999999</v>
      </c>
      <c r="J1298" s="30">
        <v>20.384211040489646</v>
      </c>
      <c r="K1298" t="s">
        <v>38</v>
      </c>
    </row>
    <row r="1299" spans="1:11" ht="15.75" customHeight="1" x14ac:dyDescent="0.15">
      <c r="A1299" s="15">
        <v>46102</v>
      </c>
      <c r="B1299" s="29">
        <v>355</v>
      </c>
      <c r="C1299">
        <v>55795</v>
      </c>
      <c r="D1299" s="9">
        <v>0</v>
      </c>
      <c r="E1299" s="30">
        <v>100</v>
      </c>
      <c r="F1299" s="30">
        <v>100</v>
      </c>
      <c r="G1299" s="30">
        <v>9600</v>
      </c>
      <c r="H1299" s="30">
        <v>17374220.700000003</v>
      </c>
      <c r="I1299" s="30">
        <v>23.247916666666665</v>
      </c>
      <c r="J1299" s="30">
        <v>20.392277816901412</v>
      </c>
      <c r="K1299" t="s">
        <v>38</v>
      </c>
    </row>
    <row r="1300" spans="1:11" ht="15.75" customHeight="1" x14ac:dyDescent="0.15">
      <c r="A1300" s="15">
        <v>46103</v>
      </c>
      <c r="B1300" s="29">
        <v>356</v>
      </c>
      <c r="C1300">
        <v>60752</v>
      </c>
      <c r="D1300" s="9">
        <v>0</v>
      </c>
      <c r="E1300" s="30">
        <v>100</v>
      </c>
      <c r="F1300" s="30">
        <v>100</v>
      </c>
      <c r="G1300" s="30">
        <v>9200</v>
      </c>
      <c r="H1300" s="30">
        <v>17434972.700000003</v>
      </c>
      <c r="I1300" s="30">
        <v>25.313333333333333</v>
      </c>
      <c r="J1300" s="30">
        <v>20.406101006554312</v>
      </c>
      <c r="K1300" t="s">
        <v>38</v>
      </c>
    </row>
    <row r="1301" spans="1:11" ht="15.75" customHeight="1" x14ac:dyDescent="0.15">
      <c r="A1301" s="15">
        <v>46104</v>
      </c>
      <c r="B1301" s="29">
        <v>357</v>
      </c>
      <c r="C1301">
        <v>60746</v>
      </c>
      <c r="D1301" s="9">
        <v>0</v>
      </c>
      <c r="E1301" s="30">
        <v>100</v>
      </c>
      <c r="F1301" s="30">
        <v>100</v>
      </c>
      <c r="G1301" s="30">
        <v>9400</v>
      </c>
      <c r="H1301" s="30">
        <v>17495718.700000003</v>
      </c>
      <c r="I1301" s="30">
        <v>25.310833333333331</v>
      </c>
      <c r="J1301" s="30">
        <v>20.419839752567697</v>
      </c>
      <c r="K1301" t="s">
        <v>38</v>
      </c>
    </row>
    <row r="1302" spans="1:11" ht="15.75" customHeight="1" x14ac:dyDescent="0.15">
      <c r="A1302" s="15">
        <v>46105</v>
      </c>
      <c r="B1302" s="29">
        <v>358</v>
      </c>
      <c r="C1302">
        <v>58614</v>
      </c>
      <c r="D1302" s="9">
        <v>0</v>
      </c>
      <c r="E1302" s="30">
        <v>100</v>
      </c>
      <c r="F1302" s="30">
        <v>100</v>
      </c>
      <c r="G1302" s="30">
        <v>9700</v>
      </c>
      <c r="H1302" s="30">
        <v>17554332.700000003</v>
      </c>
      <c r="I1302" s="30">
        <v>24.422499999999999</v>
      </c>
      <c r="J1302" s="30">
        <v>20.43102036778399</v>
      </c>
      <c r="K1302" t="s">
        <v>38</v>
      </c>
    </row>
    <row r="1303" spans="1:11" ht="15.75" customHeight="1" x14ac:dyDescent="0.15">
      <c r="A1303" s="15">
        <v>46106</v>
      </c>
      <c r="B1303" s="29">
        <v>359</v>
      </c>
      <c r="C1303">
        <v>63186</v>
      </c>
      <c r="D1303" s="9">
        <v>0</v>
      </c>
      <c r="E1303" s="30">
        <v>100</v>
      </c>
      <c r="F1303" s="30">
        <v>100</v>
      </c>
      <c r="G1303" s="30">
        <v>9500</v>
      </c>
      <c r="H1303" s="30">
        <v>17617518.700000003</v>
      </c>
      <c r="I1303" s="30">
        <v>26.327499999999997</v>
      </c>
      <c r="J1303" s="30">
        <v>20.447445102135564</v>
      </c>
      <c r="K1303" t="s">
        <v>38</v>
      </c>
    </row>
    <row r="1304" spans="1:11" ht="15.75" customHeight="1" x14ac:dyDescent="0.15">
      <c r="A1304" s="15">
        <v>46107</v>
      </c>
      <c r="B1304" s="29">
        <v>360</v>
      </c>
      <c r="C1304">
        <v>66816</v>
      </c>
      <c r="D1304" s="9">
        <v>0</v>
      </c>
      <c r="E1304" s="30">
        <v>100</v>
      </c>
      <c r="F1304" s="30">
        <v>100</v>
      </c>
      <c r="G1304" s="30">
        <v>9400</v>
      </c>
      <c r="H1304" s="30">
        <v>17684334.700000003</v>
      </c>
      <c r="I1304" s="30">
        <v>27.839999999999996</v>
      </c>
      <c r="J1304" s="30">
        <v>20.467979976851854</v>
      </c>
      <c r="K1304" t="s">
        <v>38</v>
      </c>
    </row>
    <row r="1305" spans="1:11" ht="15.75" customHeight="1" x14ac:dyDescent="0.15">
      <c r="A1305" s="15">
        <v>46108</v>
      </c>
      <c r="B1305" s="29">
        <v>361</v>
      </c>
      <c r="C1305">
        <v>65329</v>
      </c>
      <c r="D1305" s="9">
        <v>0</v>
      </c>
      <c r="E1305" s="30">
        <v>100</v>
      </c>
      <c r="F1305" s="30">
        <v>100</v>
      </c>
      <c r="G1305" s="30">
        <v>9500</v>
      </c>
      <c r="H1305" s="30">
        <v>17749663.700000003</v>
      </c>
      <c r="I1305" s="30">
        <v>27.220416666666669</v>
      </c>
      <c r="J1305" s="30">
        <v>20.486684787626967</v>
      </c>
      <c r="K1305" t="s">
        <v>38</v>
      </c>
    </row>
    <row r="1306" spans="1:11" ht="15.75" customHeight="1" x14ac:dyDescent="0.15">
      <c r="A1306" s="15">
        <v>46109</v>
      </c>
      <c r="B1306" s="29">
        <v>362</v>
      </c>
      <c r="C1306">
        <v>51516</v>
      </c>
      <c r="D1306" s="9">
        <v>0</v>
      </c>
      <c r="E1306" s="30">
        <v>100</v>
      </c>
      <c r="F1306" s="30">
        <v>100</v>
      </c>
      <c r="G1306" s="30">
        <v>8900</v>
      </c>
      <c r="H1306" s="30">
        <v>17801179.700000003</v>
      </c>
      <c r="I1306" s="30">
        <v>21.465</v>
      </c>
      <c r="J1306" s="30">
        <v>20.489387315837941</v>
      </c>
      <c r="K1306" t="s">
        <v>46</v>
      </c>
    </row>
    <row r="1307" spans="1:11" ht="15.75" customHeight="1" x14ac:dyDescent="0.15">
      <c r="A1307" s="15">
        <v>46110</v>
      </c>
      <c r="B1307" s="29">
        <v>363</v>
      </c>
      <c r="C1307">
        <v>48291</v>
      </c>
      <c r="D1307" s="9">
        <v>0</v>
      </c>
      <c r="E1307" s="30">
        <v>100</v>
      </c>
      <c r="F1307" s="30">
        <v>100</v>
      </c>
      <c r="G1307" s="30">
        <v>9500</v>
      </c>
      <c r="H1307" s="30">
        <v>17849470.700000003</v>
      </c>
      <c r="I1307" s="30">
        <v>20.12125</v>
      </c>
      <c r="J1307" s="30">
        <v>20.48837316345271</v>
      </c>
      <c r="K1307" t="s">
        <v>47</v>
      </c>
    </row>
    <row r="1308" spans="1:11" ht="15.75" customHeight="1" x14ac:dyDescent="0.15">
      <c r="A1308" s="15">
        <v>46111</v>
      </c>
      <c r="B1308" s="29">
        <v>364</v>
      </c>
      <c r="C1308">
        <v>55258</v>
      </c>
      <c r="D1308" s="9">
        <v>0</v>
      </c>
      <c r="E1308" s="30">
        <v>100</v>
      </c>
      <c r="F1308" s="30">
        <v>100</v>
      </c>
      <c r="G1308" s="30">
        <v>9600</v>
      </c>
      <c r="H1308" s="30">
        <v>17904728.700000003</v>
      </c>
      <c r="I1308" s="30">
        <v>23.024166666666666</v>
      </c>
      <c r="J1308" s="30">
        <v>20.495339629120881</v>
      </c>
      <c r="K1308" t="s">
        <v>38</v>
      </c>
    </row>
    <row r="1309" spans="1:11" ht="15.75" customHeight="1" x14ac:dyDescent="0.15">
      <c r="A1309" s="15">
        <v>46112</v>
      </c>
      <c r="B1309" s="29">
        <v>365</v>
      </c>
      <c r="C1309">
        <v>50024</v>
      </c>
      <c r="D1309" s="9">
        <v>0</v>
      </c>
      <c r="E1309" s="30">
        <v>100</v>
      </c>
      <c r="F1309" s="30">
        <v>100</v>
      </c>
      <c r="G1309" s="30">
        <v>9300</v>
      </c>
      <c r="H1309" s="30">
        <v>17954752.700000003</v>
      </c>
      <c r="I1309" s="30">
        <v>20.843333333333334</v>
      </c>
      <c r="J1309" s="30">
        <v>20.496293036529682</v>
      </c>
      <c r="K1309" t="s">
        <v>46</v>
      </c>
    </row>
    <row r="1310" spans="1:11" ht="15.75" customHeight="1" x14ac:dyDescent="0.15">
      <c r="A1310" s="15">
        <v>46113</v>
      </c>
      <c r="B1310" s="29">
        <v>1</v>
      </c>
      <c r="C1310">
        <v>58682</v>
      </c>
      <c r="D1310" s="9">
        <v>0</v>
      </c>
      <c r="E1310" s="30">
        <v>100</v>
      </c>
      <c r="F1310" s="30">
        <v>100</v>
      </c>
      <c r="G1310" s="30">
        <v>9400</v>
      </c>
      <c r="H1310" s="30">
        <f>C1310</f>
        <v>58682</v>
      </c>
      <c r="I1310" s="30">
        <v>24.450833333333332</v>
      </c>
      <c r="J1310" s="31">
        <f>(H1310/(10000*B1310*24))*100</f>
        <v>24.450833333333332</v>
      </c>
      <c r="K1310" t="s">
        <v>38</v>
      </c>
    </row>
    <row r="1311" spans="1:11" ht="15.75" customHeight="1" x14ac:dyDescent="0.15">
      <c r="A1311" s="15">
        <v>46114</v>
      </c>
      <c r="B1311" s="29">
        <v>2</v>
      </c>
      <c r="C1311">
        <v>58946</v>
      </c>
      <c r="D1311" s="9">
        <v>0</v>
      </c>
      <c r="E1311" s="30">
        <v>100</v>
      </c>
      <c r="F1311" s="30">
        <v>100</v>
      </c>
      <c r="G1311" s="30">
        <v>9600</v>
      </c>
      <c r="H1311" s="30">
        <f>H1310+C1311</f>
        <v>117628</v>
      </c>
      <c r="I1311" s="30">
        <v>24.560833333333335</v>
      </c>
      <c r="J1311" s="31">
        <f t="shared" ref="J1311:J1343" si="61">(H1311/(10000*B1311*24))*100</f>
        <v>24.505833333333332</v>
      </c>
      <c r="K1311" t="s">
        <v>38</v>
      </c>
    </row>
    <row r="1312" spans="1:11" ht="15.75" customHeight="1" x14ac:dyDescent="0.15">
      <c r="A1312" s="15">
        <v>46115</v>
      </c>
      <c r="B1312" s="29">
        <v>3</v>
      </c>
      <c r="C1312">
        <v>56375</v>
      </c>
      <c r="D1312" s="9">
        <v>0</v>
      </c>
      <c r="E1312" s="30">
        <v>100</v>
      </c>
      <c r="F1312" s="30">
        <v>100</v>
      </c>
      <c r="G1312" s="30">
        <v>9600</v>
      </c>
      <c r="H1312" s="30">
        <f t="shared" ref="H1312:H1343" si="62">H1311+C1312</f>
        <v>174003</v>
      </c>
      <c r="I1312" s="30">
        <v>23.489583333333332</v>
      </c>
      <c r="J1312" s="31">
        <f t="shared" si="61"/>
        <v>24.167083333333334</v>
      </c>
      <c r="K1312" t="s">
        <v>38</v>
      </c>
    </row>
    <row r="1313" spans="1:11" ht="15.75" customHeight="1" x14ac:dyDescent="0.15">
      <c r="A1313" s="15">
        <v>46116</v>
      </c>
      <c r="B1313" s="29">
        <v>4</v>
      </c>
      <c r="C1313">
        <v>41297</v>
      </c>
      <c r="D1313" s="9">
        <v>0</v>
      </c>
      <c r="E1313" s="30">
        <v>100</v>
      </c>
      <c r="F1313" s="30">
        <v>100</v>
      </c>
      <c r="G1313" s="30">
        <v>9300</v>
      </c>
      <c r="H1313" s="30">
        <f t="shared" si="62"/>
        <v>215300</v>
      </c>
      <c r="I1313" s="30">
        <v>17.207083333333333</v>
      </c>
      <c r="J1313" s="31">
        <f t="shared" si="61"/>
        <v>22.427083333333332</v>
      </c>
      <c r="K1313" t="s">
        <v>48</v>
      </c>
    </row>
    <row r="1314" spans="1:11" ht="15.75" customHeight="1" x14ac:dyDescent="0.15">
      <c r="A1314" s="15">
        <v>46117</v>
      </c>
      <c r="B1314" s="29">
        <v>5</v>
      </c>
      <c r="C1314">
        <v>58260</v>
      </c>
      <c r="D1314" s="9">
        <v>0</v>
      </c>
      <c r="E1314" s="30">
        <v>100</v>
      </c>
      <c r="F1314" s="30">
        <v>100</v>
      </c>
      <c r="G1314" s="30">
        <v>10100</v>
      </c>
      <c r="H1314" s="30">
        <f t="shared" si="62"/>
        <v>273560</v>
      </c>
      <c r="I1314" s="30">
        <v>24.274999999999999</v>
      </c>
      <c r="J1314" s="31">
        <f t="shared" si="61"/>
        <v>22.796666666666667</v>
      </c>
      <c r="K1314" t="s">
        <v>38</v>
      </c>
    </row>
    <row r="1315" spans="1:11" ht="15.75" customHeight="1" x14ac:dyDescent="0.15">
      <c r="A1315" s="15">
        <v>46118</v>
      </c>
      <c r="B1315" s="29">
        <v>6</v>
      </c>
      <c r="C1315">
        <v>50015</v>
      </c>
      <c r="D1315" s="9">
        <v>0</v>
      </c>
      <c r="E1315" s="30">
        <v>100</v>
      </c>
      <c r="F1315" s="30">
        <v>100</v>
      </c>
      <c r="G1315" s="30">
        <v>9100</v>
      </c>
      <c r="H1315" s="30">
        <f t="shared" si="62"/>
        <v>323575</v>
      </c>
      <c r="I1315" s="30">
        <v>20.839583333333334</v>
      </c>
      <c r="J1315" s="31">
        <f t="shared" si="61"/>
        <v>22.470486111111111</v>
      </c>
      <c r="K1315" t="s">
        <v>38</v>
      </c>
    </row>
    <row r="1316" spans="1:11" ht="15.75" customHeight="1" x14ac:dyDescent="0.15">
      <c r="A1316" s="15">
        <v>46119</v>
      </c>
      <c r="B1316" s="29">
        <v>7</v>
      </c>
      <c r="C1316">
        <v>65778</v>
      </c>
      <c r="D1316" s="9">
        <v>0</v>
      </c>
      <c r="E1316" s="30">
        <v>100</v>
      </c>
      <c r="F1316" s="30">
        <v>100</v>
      </c>
      <c r="G1316" s="30">
        <v>9300</v>
      </c>
      <c r="H1316" s="30">
        <f t="shared" si="62"/>
        <v>389353</v>
      </c>
      <c r="I1316" s="30">
        <v>27.407500000000002</v>
      </c>
      <c r="J1316" s="31">
        <f t="shared" si="61"/>
        <v>23.175773809523808</v>
      </c>
      <c r="K1316" t="s">
        <v>38</v>
      </c>
    </row>
    <row r="1317" spans="1:11" ht="15.75" customHeight="1" x14ac:dyDescent="0.15">
      <c r="A1317" s="15">
        <v>46120</v>
      </c>
      <c r="B1317" s="29">
        <v>8</v>
      </c>
      <c r="C1317">
        <v>63537</v>
      </c>
      <c r="D1317" s="9">
        <v>0</v>
      </c>
      <c r="E1317" s="30">
        <v>100</v>
      </c>
      <c r="F1317" s="30">
        <v>100</v>
      </c>
      <c r="G1317" s="30">
        <v>9100</v>
      </c>
      <c r="H1317" s="30">
        <f t="shared" si="62"/>
        <v>452890</v>
      </c>
      <c r="I1317" s="30">
        <v>26.473750000000003</v>
      </c>
      <c r="J1317" s="31">
        <f t="shared" si="61"/>
        <v>23.588020833333335</v>
      </c>
      <c r="K1317" t="s">
        <v>38</v>
      </c>
    </row>
    <row r="1318" spans="1:11" ht="15.75" customHeight="1" x14ac:dyDescent="0.15">
      <c r="A1318" s="15">
        <v>46121</v>
      </c>
      <c r="B1318" s="29">
        <v>9</v>
      </c>
      <c r="C1318">
        <v>60642</v>
      </c>
      <c r="D1318" s="9">
        <v>0</v>
      </c>
      <c r="E1318" s="30">
        <v>100</v>
      </c>
      <c r="F1318" s="30">
        <v>100</v>
      </c>
      <c r="G1318" s="30">
        <v>9200</v>
      </c>
      <c r="H1318" s="30">
        <f t="shared" si="62"/>
        <v>513532</v>
      </c>
      <c r="I1318" s="30">
        <v>25.267499999999998</v>
      </c>
      <c r="J1318" s="31">
        <f t="shared" si="61"/>
        <v>23.774629629629629</v>
      </c>
      <c r="K1318" t="s">
        <v>38</v>
      </c>
    </row>
    <row r="1319" spans="1:11" ht="15.75" customHeight="1" x14ac:dyDescent="0.15">
      <c r="A1319" s="15">
        <v>46122</v>
      </c>
      <c r="B1319" s="29">
        <v>10</v>
      </c>
      <c r="C1319">
        <v>48707</v>
      </c>
      <c r="D1319" s="9">
        <v>0</v>
      </c>
      <c r="E1319" s="30">
        <v>100</v>
      </c>
      <c r="F1319" s="30">
        <v>100</v>
      </c>
      <c r="G1319" s="30">
        <v>8600</v>
      </c>
      <c r="H1319" s="30">
        <f t="shared" si="62"/>
        <v>562239</v>
      </c>
      <c r="I1319" s="30">
        <v>20.294583333333332</v>
      </c>
      <c r="J1319" s="31">
        <f t="shared" si="61"/>
        <v>23.426625000000001</v>
      </c>
      <c r="K1319" t="s">
        <v>18</v>
      </c>
    </row>
    <row r="1320" spans="1:11" ht="15.75" customHeight="1" x14ac:dyDescent="0.15">
      <c r="A1320" s="15">
        <v>46123</v>
      </c>
      <c r="B1320" s="29">
        <v>11</v>
      </c>
      <c r="C1320">
        <v>53249</v>
      </c>
      <c r="D1320" s="9">
        <v>0</v>
      </c>
      <c r="E1320" s="30">
        <v>100</v>
      </c>
      <c r="F1320" s="30">
        <v>100</v>
      </c>
      <c r="G1320" s="30">
        <v>9200</v>
      </c>
      <c r="H1320" s="30">
        <f t="shared" si="62"/>
        <v>615488</v>
      </c>
      <c r="I1320" s="30">
        <v>22.187083333333334</v>
      </c>
      <c r="J1320" s="31">
        <f t="shared" si="61"/>
        <v>23.313939393939396</v>
      </c>
      <c r="K1320" t="s">
        <v>18</v>
      </c>
    </row>
    <row r="1321" spans="1:11" ht="15.75" customHeight="1" x14ac:dyDescent="0.15">
      <c r="A1321" s="15">
        <v>46124</v>
      </c>
      <c r="B1321" s="29">
        <v>12</v>
      </c>
      <c r="C1321">
        <v>58787</v>
      </c>
      <c r="D1321" s="9">
        <v>0</v>
      </c>
      <c r="E1321" s="30">
        <v>100</v>
      </c>
      <c r="F1321" s="30">
        <v>100</v>
      </c>
      <c r="G1321" s="30">
        <v>9000</v>
      </c>
      <c r="H1321" s="30">
        <f t="shared" si="62"/>
        <v>674275</v>
      </c>
      <c r="I1321" s="30">
        <v>24.494583333333335</v>
      </c>
      <c r="J1321" s="31">
        <f t="shared" si="61"/>
        <v>23.412326388888889</v>
      </c>
      <c r="K1321" t="s">
        <v>38</v>
      </c>
    </row>
    <row r="1322" spans="1:11" ht="15.75" customHeight="1" x14ac:dyDescent="0.15">
      <c r="A1322" s="15">
        <v>46125</v>
      </c>
      <c r="B1322" s="29">
        <v>13</v>
      </c>
      <c r="C1322">
        <v>60652</v>
      </c>
      <c r="D1322" s="9">
        <v>0</v>
      </c>
      <c r="E1322" s="30">
        <v>100</v>
      </c>
      <c r="F1322" s="30">
        <v>100</v>
      </c>
      <c r="G1322" s="30">
        <v>9200</v>
      </c>
      <c r="H1322" s="30">
        <f t="shared" si="62"/>
        <v>734927</v>
      </c>
      <c r="I1322" s="30">
        <v>25.271666666666665</v>
      </c>
      <c r="J1322" s="31">
        <f t="shared" si="61"/>
        <v>23.555352564102563</v>
      </c>
      <c r="K1322" t="s">
        <v>38</v>
      </c>
    </row>
    <row r="1323" spans="1:11" ht="15.75" customHeight="1" x14ac:dyDescent="0.15">
      <c r="A1323" s="15">
        <v>46126</v>
      </c>
      <c r="B1323" s="29">
        <v>14</v>
      </c>
      <c r="C1323">
        <v>61830</v>
      </c>
      <c r="D1323" s="9">
        <v>0</v>
      </c>
      <c r="E1323" s="30">
        <v>100</v>
      </c>
      <c r="F1323" s="30">
        <v>100</v>
      </c>
      <c r="G1323" s="30">
        <v>9200</v>
      </c>
      <c r="H1323" s="30">
        <f t="shared" si="62"/>
        <v>796757</v>
      </c>
      <c r="I1323" s="30">
        <v>25.762499999999999</v>
      </c>
      <c r="J1323" s="31">
        <f t="shared" si="61"/>
        <v>23.713005952380954</v>
      </c>
      <c r="K1323" t="s">
        <v>38</v>
      </c>
    </row>
    <row r="1324" spans="1:11" ht="15.75" customHeight="1" x14ac:dyDescent="0.15">
      <c r="A1324" s="15">
        <v>46127</v>
      </c>
      <c r="B1324" s="29">
        <v>15</v>
      </c>
      <c r="C1324">
        <v>59277</v>
      </c>
      <c r="D1324" s="9">
        <v>0</v>
      </c>
      <c r="E1324" s="30">
        <v>100</v>
      </c>
      <c r="F1324" s="30">
        <v>100</v>
      </c>
      <c r="G1324" s="30">
        <v>9000</v>
      </c>
      <c r="H1324" s="30">
        <f t="shared" si="62"/>
        <v>856034</v>
      </c>
      <c r="I1324" s="30">
        <v>24.69875</v>
      </c>
      <c r="J1324" s="31">
        <f t="shared" si="61"/>
        <v>23.778722222222225</v>
      </c>
      <c r="K1324" t="s">
        <v>38</v>
      </c>
    </row>
    <row r="1325" spans="1:11" ht="15.75" customHeight="1" x14ac:dyDescent="0.15">
      <c r="A1325" s="15">
        <v>46128</v>
      </c>
      <c r="B1325" s="29">
        <v>16</v>
      </c>
      <c r="C1325">
        <v>56744</v>
      </c>
      <c r="D1325" s="9">
        <v>0</v>
      </c>
      <c r="E1325" s="30">
        <v>100</v>
      </c>
      <c r="F1325" s="30">
        <v>100</v>
      </c>
      <c r="G1325" s="30">
        <v>9200</v>
      </c>
      <c r="H1325" s="30">
        <f t="shared" si="62"/>
        <v>912778</v>
      </c>
      <c r="I1325" s="30">
        <v>23.643333333333334</v>
      </c>
      <c r="J1325" s="31">
        <f t="shared" si="61"/>
        <v>23.770260416666666</v>
      </c>
      <c r="K1325" t="s">
        <v>38</v>
      </c>
    </row>
    <row r="1326" spans="1:11" ht="15.75" customHeight="1" x14ac:dyDescent="0.15">
      <c r="A1326" s="15">
        <v>46129</v>
      </c>
      <c r="B1326" s="29">
        <v>17</v>
      </c>
      <c r="C1326">
        <v>59355</v>
      </c>
      <c r="D1326" s="9">
        <v>0</v>
      </c>
      <c r="E1326" s="30">
        <v>100</v>
      </c>
      <c r="F1326" s="30">
        <v>100</v>
      </c>
      <c r="G1326" s="30">
        <v>9000</v>
      </c>
      <c r="H1326" s="30">
        <f t="shared" si="62"/>
        <v>972133</v>
      </c>
      <c r="I1326" s="30">
        <v>24.731249999999999</v>
      </c>
      <c r="J1326" s="31">
        <f t="shared" si="61"/>
        <v>23.826789215686276</v>
      </c>
      <c r="K1326" t="s">
        <v>38</v>
      </c>
    </row>
    <row r="1327" spans="1:11" ht="15.75" customHeight="1" x14ac:dyDescent="0.15">
      <c r="A1327" s="15">
        <v>46130</v>
      </c>
      <c r="B1327" s="29">
        <v>18</v>
      </c>
      <c r="C1327">
        <v>53174</v>
      </c>
      <c r="D1327" s="9">
        <v>0</v>
      </c>
      <c r="E1327" s="30">
        <v>100</v>
      </c>
      <c r="F1327" s="30">
        <v>100</v>
      </c>
      <c r="G1327" s="30">
        <v>8700</v>
      </c>
      <c r="H1327" s="30">
        <f t="shared" si="62"/>
        <v>1025307</v>
      </c>
      <c r="I1327" s="30">
        <v>22.155833333333334</v>
      </c>
      <c r="J1327" s="31">
        <f t="shared" si="61"/>
        <v>23.733958333333334</v>
      </c>
      <c r="K1327" t="s">
        <v>38</v>
      </c>
    </row>
    <row r="1328" spans="1:11" ht="15.75" customHeight="1" x14ac:dyDescent="0.15">
      <c r="A1328" s="15">
        <v>46131</v>
      </c>
      <c r="B1328" s="29">
        <v>19</v>
      </c>
      <c r="C1328">
        <v>57303</v>
      </c>
      <c r="D1328" s="9">
        <v>0</v>
      </c>
      <c r="E1328" s="30">
        <v>100</v>
      </c>
      <c r="F1328" s="30">
        <v>100</v>
      </c>
      <c r="G1328" s="30">
        <v>8900</v>
      </c>
      <c r="H1328" s="30">
        <f t="shared" si="62"/>
        <v>1082610</v>
      </c>
      <c r="I1328" s="30">
        <v>23.876249999999999</v>
      </c>
      <c r="J1328" s="31">
        <f t="shared" si="61"/>
        <v>23.741447368421053</v>
      </c>
      <c r="K1328" t="s">
        <v>38</v>
      </c>
    </row>
    <row r="1329" spans="1:11" ht="15.75" customHeight="1" x14ac:dyDescent="0.15">
      <c r="A1329" s="15">
        <v>46132</v>
      </c>
      <c r="B1329" s="29">
        <v>20</v>
      </c>
      <c r="C1329">
        <v>55917</v>
      </c>
      <c r="D1329" s="9">
        <v>0</v>
      </c>
      <c r="E1329" s="30">
        <v>100</v>
      </c>
      <c r="F1329" s="30">
        <v>100</v>
      </c>
      <c r="G1329" s="30">
        <v>9000</v>
      </c>
      <c r="H1329" s="30">
        <f t="shared" si="62"/>
        <v>1138527</v>
      </c>
      <c r="I1329" s="30">
        <v>23.298749999999998</v>
      </c>
      <c r="J1329" s="31">
        <f t="shared" si="61"/>
        <v>23.719312500000001</v>
      </c>
      <c r="K1329" t="s">
        <v>38</v>
      </c>
    </row>
    <row r="1330" spans="1:11" ht="15.75" customHeight="1" x14ac:dyDescent="0.15">
      <c r="A1330" s="15">
        <v>46133</v>
      </c>
      <c r="B1330" s="29">
        <v>21</v>
      </c>
      <c r="C1330">
        <v>60857</v>
      </c>
      <c r="D1330" s="9">
        <v>0</v>
      </c>
      <c r="E1330" s="30">
        <v>100</v>
      </c>
      <c r="F1330" s="30">
        <v>100</v>
      </c>
      <c r="G1330" s="30">
        <v>8800</v>
      </c>
      <c r="H1330" s="30">
        <f t="shared" si="62"/>
        <v>1199384</v>
      </c>
      <c r="I1330" s="30">
        <v>25.357083333333335</v>
      </c>
      <c r="J1330" s="31">
        <f t="shared" si="61"/>
        <v>23.797301587301586</v>
      </c>
      <c r="K1330" t="s">
        <v>38</v>
      </c>
    </row>
    <row r="1331" spans="1:11" ht="15.75" customHeight="1" x14ac:dyDescent="0.15">
      <c r="A1331" s="15">
        <v>46134</v>
      </c>
      <c r="B1331" s="29">
        <v>22</v>
      </c>
      <c r="C1331">
        <v>60100</v>
      </c>
      <c r="D1331" s="9">
        <v>0</v>
      </c>
      <c r="E1331" s="30">
        <v>100</v>
      </c>
      <c r="F1331" s="30">
        <v>100</v>
      </c>
      <c r="G1331" s="30">
        <v>9000</v>
      </c>
      <c r="H1331" s="30">
        <f t="shared" si="62"/>
        <v>1259484</v>
      </c>
      <c r="I1331" s="30">
        <v>25.041666666666668</v>
      </c>
      <c r="J1331" s="31">
        <f t="shared" si="61"/>
        <v>23.853863636363638</v>
      </c>
      <c r="K1331" t="s">
        <v>38</v>
      </c>
    </row>
    <row r="1332" spans="1:11" ht="15.75" customHeight="1" x14ac:dyDescent="0.15">
      <c r="A1332" s="15">
        <v>46135</v>
      </c>
      <c r="B1332" s="29">
        <v>23</v>
      </c>
      <c r="C1332">
        <v>58490</v>
      </c>
      <c r="D1332" s="9">
        <v>0</v>
      </c>
      <c r="E1332" s="30">
        <v>100</v>
      </c>
      <c r="F1332" s="30">
        <v>100</v>
      </c>
      <c r="G1332" s="30">
        <v>8800</v>
      </c>
      <c r="H1332" s="30">
        <f t="shared" si="62"/>
        <v>1317974</v>
      </c>
      <c r="I1332" s="30">
        <v>24.370833333333334</v>
      </c>
      <c r="J1332" s="31">
        <f t="shared" si="61"/>
        <v>23.876340579710146</v>
      </c>
      <c r="K1332" t="s">
        <v>38</v>
      </c>
    </row>
    <row r="1333" spans="1:11" ht="15.75" customHeight="1" x14ac:dyDescent="0.15">
      <c r="A1333" s="15">
        <v>46136</v>
      </c>
      <c r="B1333" s="29">
        <v>24</v>
      </c>
      <c r="C1333">
        <v>56311</v>
      </c>
      <c r="D1333" s="9">
        <v>0</v>
      </c>
      <c r="E1333" s="30">
        <v>100</v>
      </c>
      <c r="F1333" s="30">
        <v>100</v>
      </c>
      <c r="G1333" s="30">
        <v>8500</v>
      </c>
      <c r="H1333" s="30">
        <f t="shared" si="62"/>
        <v>1374285</v>
      </c>
      <c r="I1333" s="30">
        <v>23.462916666666665</v>
      </c>
      <c r="J1333" s="31">
        <f t="shared" si="61"/>
        <v>23.859114583333334</v>
      </c>
      <c r="K1333" t="s">
        <v>38</v>
      </c>
    </row>
    <row r="1334" spans="1:11" ht="15.75" customHeight="1" x14ac:dyDescent="0.15">
      <c r="A1334" s="15">
        <v>46137</v>
      </c>
      <c r="B1334" s="29">
        <v>25</v>
      </c>
      <c r="C1334">
        <v>56309</v>
      </c>
      <c r="D1334" s="9">
        <v>0</v>
      </c>
      <c r="E1334" s="30">
        <v>100</v>
      </c>
      <c r="F1334" s="30">
        <v>100</v>
      </c>
      <c r="G1334" s="30">
        <v>8900</v>
      </c>
      <c r="H1334" s="30">
        <f t="shared" si="62"/>
        <v>1430594</v>
      </c>
      <c r="I1334" s="30">
        <v>23.462083333333332</v>
      </c>
      <c r="J1334" s="31">
        <f t="shared" si="61"/>
        <v>23.843233333333334</v>
      </c>
      <c r="K1334" t="s">
        <v>38</v>
      </c>
    </row>
    <row r="1335" spans="1:11" ht="15.75" customHeight="1" x14ac:dyDescent="0.15">
      <c r="A1335" s="15">
        <v>46138</v>
      </c>
      <c r="B1335" s="29">
        <v>26</v>
      </c>
      <c r="C1335">
        <v>56998</v>
      </c>
      <c r="D1335" s="9">
        <v>0</v>
      </c>
      <c r="E1335" s="30">
        <v>100</v>
      </c>
      <c r="F1335" s="30">
        <v>100</v>
      </c>
      <c r="G1335" s="30">
        <v>9200</v>
      </c>
      <c r="H1335" s="30">
        <f t="shared" si="62"/>
        <v>1487592</v>
      </c>
      <c r="I1335" s="30">
        <v>23.749166666666667</v>
      </c>
      <c r="J1335" s="31">
        <f t="shared" si="61"/>
        <v>23.839615384615385</v>
      </c>
      <c r="K1335" t="s">
        <v>38</v>
      </c>
    </row>
    <row r="1336" spans="1:11" ht="15.75" customHeight="1" x14ac:dyDescent="0.15">
      <c r="A1336" s="15">
        <v>46139</v>
      </c>
      <c r="B1336" s="29">
        <v>27</v>
      </c>
      <c r="C1336">
        <v>53504</v>
      </c>
      <c r="D1336" s="9">
        <v>0</v>
      </c>
      <c r="E1336" s="30">
        <v>100</v>
      </c>
      <c r="F1336" s="30">
        <v>100</v>
      </c>
      <c r="G1336" s="30">
        <v>8700</v>
      </c>
      <c r="H1336" s="30">
        <f t="shared" si="62"/>
        <v>1541096</v>
      </c>
      <c r="I1336" s="30">
        <v>22.293333333333333</v>
      </c>
      <c r="J1336" s="31">
        <f t="shared" si="61"/>
        <v>23.782345679012344</v>
      </c>
      <c r="K1336" t="s">
        <v>38</v>
      </c>
    </row>
    <row r="1337" spans="1:11" ht="15.75" customHeight="1" x14ac:dyDescent="0.15">
      <c r="A1337" s="15">
        <v>46140</v>
      </c>
      <c r="B1337" s="29">
        <v>28</v>
      </c>
      <c r="C1337">
        <v>48362</v>
      </c>
      <c r="D1337" s="9">
        <v>0</v>
      </c>
      <c r="E1337" s="30">
        <v>100</v>
      </c>
      <c r="F1337" s="30">
        <v>100</v>
      </c>
      <c r="G1337" s="30">
        <v>8400</v>
      </c>
      <c r="H1337" s="30">
        <f t="shared" si="62"/>
        <v>1589458</v>
      </c>
      <c r="I1337" s="30">
        <v>20.150833333333335</v>
      </c>
      <c r="J1337" s="31">
        <f t="shared" si="61"/>
        <v>23.652648809523811</v>
      </c>
      <c r="K1337" t="s">
        <v>18</v>
      </c>
    </row>
    <row r="1338" spans="1:11" ht="15.75" customHeight="1" x14ac:dyDescent="0.15">
      <c r="A1338" s="15">
        <v>46141</v>
      </c>
      <c r="B1338" s="29">
        <v>29</v>
      </c>
      <c r="C1338">
        <v>48458</v>
      </c>
      <c r="D1338" s="9">
        <v>0</v>
      </c>
      <c r="E1338" s="30">
        <v>100</v>
      </c>
      <c r="F1338" s="30">
        <v>100</v>
      </c>
      <c r="G1338" s="30">
        <v>8500</v>
      </c>
      <c r="H1338" s="30">
        <f t="shared" si="62"/>
        <v>1637916</v>
      </c>
      <c r="I1338" s="30">
        <v>20.190833333333334</v>
      </c>
      <c r="J1338" s="31">
        <f t="shared" si="61"/>
        <v>23.533275862068965</v>
      </c>
      <c r="K1338" t="s">
        <v>18</v>
      </c>
    </row>
    <row r="1339" spans="1:11" ht="15.75" customHeight="1" x14ac:dyDescent="0.15">
      <c r="A1339" s="15">
        <v>46142</v>
      </c>
      <c r="B1339" s="29">
        <v>30</v>
      </c>
      <c r="C1339">
        <v>58069</v>
      </c>
      <c r="D1339" s="9">
        <v>0</v>
      </c>
      <c r="E1339" s="30">
        <v>100</v>
      </c>
      <c r="F1339" s="30">
        <v>100</v>
      </c>
      <c r="G1339">
        <v>9000</v>
      </c>
      <c r="H1339" s="30">
        <f t="shared" si="62"/>
        <v>1695985</v>
      </c>
      <c r="I1339" s="30">
        <v>24.195416666666667</v>
      </c>
      <c r="J1339" s="31">
        <f t="shared" si="61"/>
        <v>23.555347222222224</v>
      </c>
      <c r="K1339" t="s">
        <v>38</v>
      </c>
    </row>
    <row r="1340" spans="1:11" ht="15.75" customHeight="1" x14ac:dyDescent="0.15">
      <c r="A1340" s="15">
        <v>46143</v>
      </c>
      <c r="B1340" s="29">
        <v>31</v>
      </c>
      <c r="C1340">
        <v>53537</v>
      </c>
      <c r="D1340" s="9">
        <v>0</v>
      </c>
      <c r="E1340" s="30">
        <v>100</v>
      </c>
      <c r="F1340" s="30">
        <v>100</v>
      </c>
      <c r="G1340">
        <v>8800</v>
      </c>
      <c r="H1340" s="30">
        <f t="shared" si="62"/>
        <v>1749522</v>
      </c>
      <c r="I1340" s="30">
        <v>22.307083333333331</v>
      </c>
      <c r="J1340" s="31">
        <f t="shared" si="61"/>
        <v>23.515080645161291</v>
      </c>
      <c r="K1340" t="s">
        <v>38</v>
      </c>
    </row>
    <row r="1341" spans="1:11" ht="15.75" customHeight="1" x14ac:dyDescent="0.15">
      <c r="A1341" s="15">
        <v>46144</v>
      </c>
      <c r="B1341" s="29">
        <v>32</v>
      </c>
      <c r="C1341">
        <v>59967</v>
      </c>
      <c r="D1341" s="9">
        <v>0</v>
      </c>
      <c r="E1341" s="30">
        <v>100</v>
      </c>
      <c r="F1341" s="30">
        <v>100</v>
      </c>
      <c r="G1341">
        <v>9100</v>
      </c>
      <c r="H1341" s="30">
        <f t="shared" si="62"/>
        <v>1809489</v>
      </c>
      <c r="I1341" s="30">
        <v>24.986249999999998</v>
      </c>
      <c r="J1341" s="31">
        <f t="shared" si="61"/>
        <v>23.5610546875</v>
      </c>
      <c r="K1341" t="s">
        <v>38</v>
      </c>
    </row>
    <row r="1342" spans="1:11" ht="15.75" customHeight="1" x14ac:dyDescent="0.15">
      <c r="A1342" s="15">
        <v>46145</v>
      </c>
      <c r="B1342" s="29">
        <v>33</v>
      </c>
      <c r="C1342">
        <v>56235</v>
      </c>
      <c r="D1342" s="9">
        <v>0</v>
      </c>
      <c r="E1342" s="30">
        <v>100</v>
      </c>
      <c r="F1342" s="30">
        <v>100</v>
      </c>
      <c r="G1342">
        <v>9000</v>
      </c>
      <c r="H1342" s="30">
        <f t="shared" si="62"/>
        <v>1865724</v>
      </c>
      <c r="I1342" s="30">
        <v>23.431250000000002</v>
      </c>
      <c r="J1342" s="31">
        <f t="shared" si="61"/>
        <v>23.557121212121213</v>
      </c>
      <c r="K1342" t="s">
        <v>38</v>
      </c>
    </row>
    <row r="1343" spans="1:11" ht="15.75" customHeight="1" x14ac:dyDescent="0.15">
      <c r="A1343" s="15">
        <v>46146</v>
      </c>
      <c r="B1343" s="29">
        <v>34</v>
      </c>
      <c r="C1343">
        <v>55000</v>
      </c>
      <c r="D1343" s="9">
        <v>0</v>
      </c>
      <c r="E1343" s="30">
        <v>100</v>
      </c>
      <c r="F1343" s="30">
        <v>100</v>
      </c>
      <c r="G1343">
        <v>8500</v>
      </c>
      <c r="H1343" s="30">
        <f t="shared" si="62"/>
        <v>1920724</v>
      </c>
      <c r="I1343" s="30">
        <f>(C1343/(10000*24))*100</f>
        <v>22.916666666666664</v>
      </c>
      <c r="J1343" s="31">
        <f t="shared" si="61"/>
        <v>23.538284313725491</v>
      </c>
    </row>
    <row r="1344" spans="1:11" ht="15.75" customHeight="1" x14ac:dyDescent="0.15">
      <c r="A1344" s="2"/>
    </row>
    <row r="1345" spans="1:1" ht="15.75" customHeight="1" x14ac:dyDescent="0.15">
      <c r="A1345" s="2"/>
    </row>
    <row r="1346" spans="1:1" ht="15.75" customHeight="1" x14ac:dyDescent="0.15">
      <c r="A1346" s="2"/>
    </row>
    <row r="1347" spans="1:1" ht="15.75" customHeight="1" x14ac:dyDescent="0.15">
      <c r="A1347" s="2"/>
    </row>
    <row r="1348" spans="1:1" ht="15.75" customHeight="1" x14ac:dyDescent="0.15">
      <c r="A1348" s="2"/>
    </row>
    <row r="1349" spans="1:1" ht="15.75" customHeight="1" x14ac:dyDescent="0.15">
      <c r="A1349" s="2"/>
    </row>
    <row r="1350" spans="1:1" ht="15.75" customHeight="1" x14ac:dyDescent="0.15">
      <c r="A1350" s="2"/>
    </row>
    <row r="1351" spans="1:1" ht="15.75" customHeight="1" x14ac:dyDescent="0.15">
      <c r="A1351" s="2"/>
    </row>
    <row r="1352" spans="1:1" ht="15.75" customHeight="1" x14ac:dyDescent="0.15">
      <c r="A1352" s="2"/>
    </row>
    <row r="1353" spans="1:1" ht="15.75" customHeight="1" x14ac:dyDescent="0.15">
      <c r="A1353" s="2"/>
    </row>
    <row r="1354" spans="1:1" ht="15.75" customHeight="1" x14ac:dyDescent="0.15">
      <c r="A1354" s="2"/>
    </row>
    <row r="1355" spans="1:1" ht="15.75" customHeight="1" x14ac:dyDescent="0.15">
      <c r="A1355" s="2"/>
    </row>
    <row r="1356" spans="1:1" ht="15.75" customHeight="1" x14ac:dyDescent="0.15">
      <c r="A1356" s="2"/>
    </row>
    <row r="1357" spans="1:1" ht="15.75" customHeight="1" x14ac:dyDescent="0.15">
      <c r="A1357" s="2"/>
    </row>
    <row r="1358" spans="1:1" ht="15.75" customHeight="1" x14ac:dyDescent="0.15">
      <c r="A1358" s="2"/>
    </row>
    <row r="1359" spans="1:1" ht="15.75" customHeight="1" x14ac:dyDescent="0.15">
      <c r="A1359" s="2"/>
    </row>
    <row r="1360" spans="1:1" ht="15.75" customHeight="1" x14ac:dyDescent="0.15">
      <c r="A1360" s="2"/>
    </row>
    <row r="1361" spans="1:1" ht="15.75" customHeight="1" x14ac:dyDescent="0.15">
      <c r="A1361" s="2"/>
    </row>
    <row r="1362" spans="1:1" ht="15.75" customHeight="1" x14ac:dyDescent="0.15">
      <c r="A1362" s="2"/>
    </row>
    <row r="1363" spans="1:1" ht="15.75" customHeight="1" x14ac:dyDescent="0.15">
      <c r="A1363" s="2"/>
    </row>
    <row r="1364" spans="1:1" ht="15.75" customHeight="1" x14ac:dyDescent="0.15">
      <c r="A1364" s="2"/>
    </row>
    <row r="1365" spans="1:1" ht="15.75" customHeight="1" x14ac:dyDescent="0.15">
      <c r="A1365" s="2"/>
    </row>
    <row r="1366" spans="1:1" ht="15.75" customHeight="1" x14ac:dyDescent="0.15">
      <c r="A1366" s="2"/>
    </row>
    <row r="1367" spans="1:1" ht="15.75" customHeight="1" x14ac:dyDescent="0.15">
      <c r="A1367" s="2"/>
    </row>
    <row r="1368" spans="1:1" ht="15.75" customHeight="1" x14ac:dyDescent="0.15">
      <c r="A1368" s="2"/>
    </row>
    <row r="1369" spans="1:1" ht="15.75" customHeight="1" x14ac:dyDescent="0.15">
      <c r="A1369" s="2"/>
    </row>
    <row r="1370" spans="1:1" ht="15.75" customHeight="1" x14ac:dyDescent="0.15">
      <c r="A1370" s="2"/>
    </row>
    <row r="1371" spans="1:1" ht="15.75" customHeight="1" x14ac:dyDescent="0.15">
      <c r="A1371" s="2"/>
    </row>
    <row r="1372" spans="1:1" ht="15.75" customHeight="1" x14ac:dyDescent="0.15">
      <c r="A1372" s="2"/>
    </row>
    <row r="1373" spans="1:1" ht="15.75" customHeight="1" x14ac:dyDescent="0.15">
      <c r="A1373" s="2"/>
    </row>
    <row r="1374" spans="1:1" ht="15.75" customHeight="1" x14ac:dyDescent="0.15">
      <c r="A1374" s="2"/>
    </row>
    <row r="1375" spans="1:1" ht="15.75" customHeight="1" x14ac:dyDescent="0.15">
      <c r="A1375" s="2"/>
    </row>
    <row r="1376" spans="1:1" ht="15.75" customHeight="1" x14ac:dyDescent="0.15">
      <c r="A1376" s="2"/>
    </row>
    <row r="1377" spans="1:1" ht="15.75" customHeight="1" x14ac:dyDescent="0.15">
      <c r="A1377" s="2"/>
    </row>
    <row r="1378" spans="1:1" ht="15.75" customHeight="1" x14ac:dyDescent="0.15">
      <c r="A1378" s="2"/>
    </row>
    <row r="1379" spans="1:1" ht="15.75" customHeight="1" x14ac:dyDescent="0.15">
      <c r="A1379" s="2"/>
    </row>
    <row r="1380" spans="1:1" ht="15.75" customHeight="1" x14ac:dyDescent="0.15">
      <c r="A1380" s="2"/>
    </row>
    <row r="1381" spans="1:1" ht="15.75" customHeight="1" x14ac:dyDescent="0.15">
      <c r="A1381" s="2"/>
    </row>
    <row r="1382" spans="1:1" ht="15.75" customHeight="1" x14ac:dyDescent="0.15">
      <c r="A1382" s="2"/>
    </row>
    <row r="1383" spans="1:1" ht="15.75" customHeight="1" x14ac:dyDescent="0.15">
      <c r="A1383" s="2"/>
    </row>
    <row r="1384" spans="1:1" ht="15.75" customHeight="1" x14ac:dyDescent="0.15">
      <c r="A1384" s="2"/>
    </row>
    <row r="1385" spans="1:1" ht="15.75" customHeight="1" x14ac:dyDescent="0.15">
      <c r="A1385" s="2"/>
    </row>
    <row r="1386" spans="1:1" ht="15.75" customHeight="1" x14ac:dyDescent="0.15">
      <c r="A1386" s="2"/>
    </row>
    <row r="1387" spans="1:1" ht="15.75" customHeight="1" x14ac:dyDescent="0.15">
      <c r="A1387" s="2"/>
    </row>
    <row r="1388" spans="1:1" ht="15.75" customHeight="1" x14ac:dyDescent="0.15">
      <c r="A1388" s="2"/>
    </row>
    <row r="1389" spans="1:1" ht="15.75" customHeight="1" x14ac:dyDescent="0.15">
      <c r="A1389" s="2"/>
    </row>
    <row r="1390" spans="1:1" ht="15.75" customHeight="1" x14ac:dyDescent="0.15">
      <c r="A1390" s="2"/>
    </row>
    <row r="1391" spans="1:1" ht="15.75" customHeight="1" x14ac:dyDescent="0.15">
      <c r="A1391" s="2"/>
    </row>
    <row r="1392" spans="1:1" ht="15.75" customHeight="1" x14ac:dyDescent="0.15">
      <c r="A1392" s="2"/>
    </row>
    <row r="1393" spans="1:1" ht="15.75" customHeight="1" x14ac:dyDescent="0.15">
      <c r="A1393" s="2"/>
    </row>
    <row r="1394" spans="1:1" ht="15.75" customHeight="1" x14ac:dyDescent="0.15">
      <c r="A1394" s="2"/>
    </row>
    <row r="1395" spans="1:1" ht="15.75" customHeight="1" x14ac:dyDescent="0.15">
      <c r="A1395" s="2"/>
    </row>
    <row r="1396" spans="1:1" ht="15.75" customHeight="1" x14ac:dyDescent="0.15">
      <c r="A1396" s="2"/>
    </row>
    <row r="1397" spans="1:1" ht="15.75" customHeight="1" x14ac:dyDescent="0.15">
      <c r="A1397" s="2"/>
    </row>
    <row r="1398" spans="1:1" ht="15.75" customHeight="1" x14ac:dyDescent="0.15">
      <c r="A1398" s="2"/>
    </row>
    <row r="1399" spans="1:1" ht="15.75" customHeight="1" x14ac:dyDescent="0.15">
      <c r="A1399" s="2"/>
    </row>
    <row r="1400" spans="1:1" ht="15.75" customHeight="1" x14ac:dyDescent="0.15">
      <c r="A1400" s="2"/>
    </row>
    <row r="1401" spans="1:1" ht="15.75" customHeight="1" x14ac:dyDescent="0.15">
      <c r="A1401" s="2"/>
    </row>
    <row r="1402" spans="1:1" ht="15.75" customHeight="1" x14ac:dyDescent="0.15">
      <c r="A1402" s="2"/>
    </row>
    <row r="1403" spans="1:1" ht="15.75" customHeight="1" x14ac:dyDescent="0.15">
      <c r="A1403" s="2"/>
    </row>
    <row r="1404" spans="1:1" ht="15.75" customHeight="1" x14ac:dyDescent="0.15">
      <c r="A1404" s="2"/>
    </row>
    <row r="1405" spans="1:1" ht="15.75" customHeight="1" x14ac:dyDescent="0.15">
      <c r="A1405" s="2"/>
    </row>
    <row r="1406" spans="1:1" ht="15.75" customHeight="1" x14ac:dyDescent="0.15">
      <c r="A1406" s="2"/>
    </row>
    <row r="1407" spans="1:1" ht="15.75" customHeight="1" x14ac:dyDescent="0.15">
      <c r="A1407" s="2"/>
    </row>
    <row r="1408" spans="1:1" ht="15.75" customHeight="1" x14ac:dyDescent="0.15">
      <c r="A1408" s="2"/>
    </row>
    <row r="1409" spans="1:1" ht="15.75" customHeight="1" x14ac:dyDescent="0.15">
      <c r="A1409" s="2"/>
    </row>
    <row r="1410" spans="1:1" ht="15.75" customHeight="1" x14ac:dyDescent="0.15">
      <c r="A1410" s="2"/>
    </row>
    <row r="1411" spans="1:1" ht="15.75" customHeight="1" x14ac:dyDescent="0.15">
      <c r="A1411" s="2"/>
    </row>
    <row r="1412" spans="1:1" ht="15.75" customHeight="1" x14ac:dyDescent="0.15">
      <c r="A1412" s="2"/>
    </row>
    <row r="1413" spans="1:1" ht="15.75" customHeight="1" x14ac:dyDescent="0.15">
      <c r="A1413" s="2"/>
    </row>
    <row r="1414" spans="1:1" ht="15.75" customHeight="1" x14ac:dyDescent="0.15">
      <c r="A1414" s="2"/>
    </row>
    <row r="1415" spans="1:1" ht="15.75" customHeight="1" x14ac:dyDescent="0.15">
      <c r="A1415" s="2"/>
    </row>
    <row r="1416" spans="1:1" ht="15.75" customHeight="1" x14ac:dyDescent="0.15">
      <c r="A1416" s="2"/>
    </row>
    <row r="1417" spans="1:1" ht="15.75" customHeight="1" x14ac:dyDescent="0.15">
      <c r="A1417" s="2"/>
    </row>
    <row r="1418" spans="1:1" ht="15.75" customHeight="1" x14ac:dyDescent="0.15">
      <c r="A1418" s="2"/>
    </row>
    <row r="1419" spans="1:1" ht="15.75" customHeight="1" x14ac:dyDescent="0.15">
      <c r="A1419" s="2"/>
    </row>
    <row r="1420" spans="1:1" ht="15.75" customHeight="1" x14ac:dyDescent="0.15">
      <c r="A1420" s="2"/>
    </row>
    <row r="1421" spans="1:1" ht="15.75" customHeight="1" x14ac:dyDescent="0.15">
      <c r="A1421" s="2"/>
    </row>
    <row r="1422" spans="1:1" ht="15.75" customHeight="1" x14ac:dyDescent="0.15">
      <c r="A1422" s="2"/>
    </row>
    <row r="1423" spans="1:1" ht="15.75" customHeight="1" x14ac:dyDescent="0.15">
      <c r="A1423" s="2"/>
    </row>
    <row r="1424" spans="1:1" ht="15.75" customHeight="1" x14ac:dyDescent="0.15">
      <c r="A1424" s="2"/>
    </row>
    <row r="1425" spans="1:1" ht="15.75" customHeight="1" x14ac:dyDescent="0.15">
      <c r="A1425" s="2"/>
    </row>
    <row r="1426" spans="1:1" ht="15.75" customHeight="1" x14ac:dyDescent="0.15">
      <c r="A1426" s="2"/>
    </row>
    <row r="1427" spans="1:1" ht="15.75" customHeight="1" x14ac:dyDescent="0.15">
      <c r="A1427" s="2"/>
    </row>
    <row r="1428" spans="1:1" ht="15.75" customHeight="1" x14ac:dyDescent="0.15">
      <c r="A1428" s="2"/>
    </row>
    <row r="1429" spans="1:1" ht="15.75" customHeight="1" x14ac:dyDescent="0.15">
      <c r="A1429" s="2"/>
    </row>
    <row r="1430" spans="1:1" ht="15.75" customHeight="1" x14ac:dyDescent="0.15">
      <c r="A1430" s="2"/>
    </row>
    <row r="1431" spans="1:1" ht="15.75" customHeight="1" x14ac:dyDescent="0.15">
      <c r="A1431" s="2"/>
    </row>
    <row r="1432" spans="1:1" ht="15.75" customHeight="1" x14ac:dyDescent="0.15">
      <c r="A1432" s="2"/>
    </row>
    <row r="1433" spans="1:1" ht="15.75" customHeight="1" x14ac:dyDescent="0.15">
      <c r="A1433" s="2"/>
    </row>
    <row r="1434" spans="1:1" ht="15.75" customHeight="1" x14ac:dyDescent="0.15">
      <c r="A1434" s="2"/>
    </row>
    <row r="1435" spans="1:1" ht="15.75" customHeight="1" x14ac:dyDescent="0.15">
      <c r="A1435" s="2"/>
    </row>
    <row r="1436" spans="1:1" ht="15.75" customHeight="1" x14ac:dyDescent="0.15">
      <c r="A1436" s="2"/>
    </row>
    <row r="1437" spans="1:1" ht="15.75" customHeight="1" x14ac:dyDescent="0.15">
      <c r="A1437" s="2"/>
    </row>
    <row r="1438" spans="1:1" ht="15.75" customHeight="1" x14ac:dyDescent="0.15">
      <c r="A1438" s="2"/>
    </row>
    <row r="1439" spans="1:1" ht="15.75" customHeight="1" x14ac:dyDescent="0.15">
      <c r="A1439" s="2"/>
    </row>
    <row r="1440" spans="1:1" ht="15.75" customHeight="1" x14ac:dyDescent="0.15">
      <c r="A1440" s="2"/>
    </row>
    <row r="1441" spans="1:1" ht="15.75" customHeight="1" x14ac:dyDescent="0.15">
      <c r="A1441" s="2"/>
    </row>
    <row r="1442" spans="1:1" ht="15.75" customHeight="1" x14ac:dyDescent="0.15">
      <c r="A1442" s="2"/>
    </row>
    <row r="1443" spans="1:1" ht="15.75" customHeight="1" x14ac:dyDescent="0.15">
      <c r="A1443" s="2"/>
    </row>
    <row r="1444" spans="1:1" ht="15.75" customHeight="1" x14ac:dyDescent="0.15">
      <c r="A1444" s="2"/>
    </row>
    <row r="1445" spans="1:1" ht="15.75" customHeight="1" x14ac:dyDescent="0.15">
      <c r="A1445" s="2"/>
    </row>
    <row r="1446" spans="1:1" ht="15.75" customHeight="1" x14ac:dyDescent="0.15">
      <c r="A1446" s="2"/>
    </row>
    <row r="1447" spans="1:1" ht="15.75" customHeight="1" x14ac:dyDescent="0.15">
      <c r="A1447" s="2"/>
    </row>
    <row r="1448" spans="1:1" ht="15.75" customHeight="1" x14ac:dyDescent="0.15">
      <c r="A1448" s="2"/>
    </row>
    <row r="1449" spans="1:1" ht="15.75" customHeight="1" x14ac:dyDescent="0.15">
      <c r="A1449" s="2"/>
    </row>
    <row r="1450" spans="1:1" ht="15.75" customHeight="1" x14ac:dyDescent="0.15">
      <c r="A1450" s="2"/>
    </row>
    <row r="1451" spans="1:1" ht="15.75" customHeight="1" x14ac:dyDescent="0.15">
      <c r="A1451" s="2"/>
    </row>
    <row r="1452" spans="1:1" ht="15.75" customHeight="1" x14ac:dyDescent="0.15">
      <c r="A1452" s="2"/>
    </row>
    <row r="1453" spans="1:1" ht="15.75" customHeight="1" x14ac:dyDescent="0.15">
      <c r="A1453" s="2"/>
    </row>
    <row r="1454" spans="1:1" ht="15.75" customHeight="1" x14ac:dyDescent="0.15">
      <c r="A1454" s="2"/>
    </row>
    <row r="1455" spans="1:1" ht="15.75" customHeight="1" x14ac:dyDescent="0.15">
      <c r="A1455" s="2"/>
    </row>
    <row r="1456" spans="1:1" ht="15.75" customHeight="1" x14ac:dyDescent="0.15">
      <c r="A1456" s="2"/>
    </row>
    <row r="1457" spans="1:1" ht="15.75" customHeight="1" x14ac:dyDescent="0.15">
      <c r="A1457" s="2"/>
    </row>
    <row r="1458" spans="1:1" ht="15.75" customHeight="1" x14ac:dyDescent="0.15">
      <c r="A1458" s="2"/>
    </row>
    <row r="1459" spans="1:1" ht="15.75" customHeight="1" x14ac:dyDescent="0.15">
      <c r="A1459" s="2"/>
    </row>
    <row r="1460" spans="1:1" ht="15.75" customHeight="1" x14ac:dyDescent="0.15">
      <c r="A1460" s="2"/>
    </row>
    <row r="1461" spans="1:1" ht="15.75" customHeight="1" x14ac:dyDescent="0.15">
      <c r="A1461" s="2"/>
    </row>
    <row r="1462" spans="1:1" ht="15.75" customHeight="1" x14ac:dyDescent="0.15">
      <c r="A1462" s="2"/>
    </row>
    <row r="1463" spans="1:1" ht="15.75" customHeight="1" x14ac:dyDescent="0.15">
      <c r="A1463" s="2"/>
    </row>
    <row r="1464" spans="1:1" ht="15.75" customHeight="1" x14ac:dyDescent="0.15">
      <c r="A1464" s="2"/>
    </row>
    <row r="1465" spans="1:1" ht="15.75" customHeight="1" x14ac:dyDescent="0.15">
      <c r="A1465" s="2"/>
    </row>
    <row r="1466" spans="1:1" ht="15.75" customHeight="1" x14ac:dyDescent="0.15">
      <c r="A1466" s="2"/>
    </row>
    <row r="1467" spans="1:1" ht="15.75" customHeight="1" x14ac:dyDescent="0.15">
      <c r="A1467" s="2"/>
    </row>
    <row r="1468" spans="1:1" ht="15.75" customHeight="1" x14ac:dyDescent="0.15">
      <c r="A1468" s="2"/>
    </row>
    <row r="1469" spans="1:1" ht="15.75" customHeight="1" x14ac:dyDescent="0.15">
      <c r="A1469" s="2"/>
    </row>
    <row r="1470" spans="1:1" ht="15.75" customHeight="1" x14ac:dyDescent="0.15">
      <c r="A1470" s="2"/>
    </row>
    <row r="1471" spans="1:1" ht="15.75" customHeight="1" x14ac:dyDescent="0.15">
      <c r="A1471" s="2"/>
    </row>
    <row r="1472" spans="1:1" ht="15.75" customHeight="1" x14ac:dyDescent="0.15">
      <c r="A1472" s="2"/>
    </row>
    <row r="1473" spans="1:1" ht="15.75" customHeight="1" x14ac:dyDescent="0.15">
      <c r="A1473" s="2"/>
    </row>
    <row r="1474" spans="1:1" ht="15.75" customHeight="1" x14ac:dyDescent="0.15">
      <c r="A1474" s="2"/>
    </row>
    <row r="1475" spans="1:1" ht="15.75" customHeight="1" x14ac:dyDescent="0.15">
      <c r="A1475" s="2"/>
    </row>
    <row r="1476" spans="1:1" ht="15.75" customHeight="1" x14ac:dyDescent="0.15">
      <c r="A1476" s="2"/>
    </row>
    <row r="1477" spans="1:1" ht="15.75" customHeight="1" x14ac:dyDescent="0.15">
      <c r="A1477" s="2"/>
    </row>
    <row r="1478" spans="1:1" ht="15.75" customHeight="1" x14ac:dyDescent="0.15">
      <c r="A1478" s="2"/>
    </row>
    <row r="1479" spans="1:1" ht="15.75" customHeight="1" x14ac:dyDescent="0.15">
      <c r="A1479" s="2"/>
    </row>
    <row r="1480" spans="1:1" ht="15.75" customHeight="1" x14ac:dyDescent="0.15">
      <c r="A1480" s="2"/>
    </row>
    <row r="1481" spans="1:1" ht="15.75" customHeight="1" x14ac:dyDescent="0.15">
      <c r="A1481" s="2"/>
    </row>
    <row r="1482" spans="1:1" ht="15.75" customHeight="1" x14ac:dyDescent="0.15">
      <c r="A1482" s="2"/>
    </row>
    <row r="1483" spans="1:1" ht="15.75" customHeight="1" x14ac:dyDescent="0.15">
      <c r="A1483" s="2"/>
    </row>
    <row r="1484" spans="1:1" ht="15.75" customHeight="1" x14ac:dyDescent="0.15">
      <c r="A1484" s="2"/>
    </row>
    <row r="1485" spans="1:1" ht="15.75" customHeight="1" x14ac:dyDescent="0.15">
      <c r="A1485" s="2"/>
    </row>
    <row r="1486" spans="1:1" ht="15.75" customHeight="1" x14ac:dyDescent="0.15">
      <c r="A1486" s="2"/>
    </row>
    <row r="1487" spans="1:1" ht="15.75" customHeight="1" x14ac:dyDescent="0.15">
      <c r="A1487" s="2"/>
    </row>
    <row r="1488" spans="1:1" ht="15.75" customHeight="1" x14ac:dyDescent="0.15">
      <c r="A1488" s="2"/>
    </row>
    <row r="1489" spans="1:1" ht="15.75" customHeight="1" x14ac:dyDescent="0.15">
      <c r="A1489" s="2"/>
    </row>
    <row r="1490" spans="1:1" ht="15.75" customHeight="1" x14ac:dyDescent="0.15">
      <c r="A1490" s="2"/>
    </row>
    <row r="1491" spans="1:1" ht="15.75" customHeight="1" x14ac:dyDescent="0.15">
      <c r="A1491" s="2"/>
    </row>
    <row r="1492" spans="1:1" ht="15.75" customHeight="1" x14ac:dyDescent="0.15">
      <c r="A1492" s="2"/>
    </row>
    <row r="1493" spans="1:1" ht="15.75" customHeight="1" x14ac:dyDescent="0.15">
      <c r="A1493" s="2"/>
    </row>
    <row r="1494" spans="1:1" ht="15.75" customHeight="1" x14ac:dyDescent="0.15">
      <c r="A1494" s="2"/>
    </row>
    <row r="1495" spans="1:1" ht="15.75" customHeight="1" x14ac:dyDescent="0.15">
      <c r="A1495" s="2"/>
    </row>
    <row r="1496" spans="1:1" ht="15.75" customHeight="1" x14ac:dyDescent="0.15">
      <c r="A1496" s="2"/>
    </row>
    <row r="1497" spans="1:1" ht="15.75" customHeight="1" x14ac:dyDescent="0.15">
      <c r="A1497" s="2"/>
    </row>
    <row r="1498" spans="1:1" ht="15.75" customHeight="1" x14ac:dyDescent="0.15">
      <c r="A1498" s="2"/>
    </row>
    <row r="1499" spans="1:1" ht="15.75" customHeight="1" x14ac:dyDescent="0.15">
      <c r="A1499" s="2"/>
    </row>
    <row r="1500" spans="1:1" ht="15.75" customHeight="1" x14ac:dyDescent="0.15">
      <c r="A1500" s="2"/>
    </row>
    <row r="1501" spans="1:1" ht="15.75" customHeight="1" x14ac:dyDescent="0.15">
      <c r="A1501" s="2"/>
    </row>
    <row r="1502" spans="1:1" ht="15.75" customHeight="1" x14ac:dyDescent="0.15">
      <c r="A1502" s="2"/>
    </row>
    <row r="1503" spans="1:1" ht="15.75" customHeight="1" x14ac:dyDescent="0.15">
      <c r="A1503" s="2"/>
    </row>
    <row r="1504" spans="1:1" ht="15.75" customHeight="1" x14ac:dyDescent="0.15">
      <c r="A1504" s="2"/>
    </row>
    <row r="1505" spans="1:1" ht="15.75" customHeight="1" x14ac:dyDescent="0.15">
      <c r="A1505" s="2"/>
    </row>
    <row r="1506" spans="1:1" ht="15.75" customHeight="1" x14ac:dyDescent="0.15">
      <c r="A1506" s="2"/>
    </row>
    <row r="1507" spans="1:1" ht="15.75" customHeight="1" x14ac:dyDescent="0.15">
      <c r="A1507" s="2"/>
    </row>
    <row r="1508" spans="1:1" ht="15.75" customHeight="1" x14ac:dyDescent="0.15">
      <c r="A1508" s="2"/>
    </row>
    <row r="1509" spans="1:1" ht="15.75" customHeight="1" x14ac:dyDescent="0.15">
      <c r="A1509" s="2"/>
    </row>
    <row r="1510" spans="1:1" ht="15.75" customHeight="1" x14ac:dyDescent="0.15">
      <c r="A1510" s="2"/>
    </row>
    <row r="1511" spans="1:1" ht="15.75" customHeight="1" x14ac:dyDescent="0.15">
      <c r="A1511" s="2"/>
    </row>
    <row r="1512" spans="1:1" ht="15.75" customHeight="1" x14ac:dyDescent="0.15">
      <c r="A1512" s="2"/>
    </row>
    <row r="1513" spans="1:1" ht="15.75" customHeight="1" x14ac:dyDescent="0.15">
      <c r="A1513" s="2"/>
    </row>
    <row r="1514" spans="1:1" ht="15.75" customHeight="1" x14ac:dyDescent="0.15">
      <c r="A1514" s="2"/>
    </row>
    <row r="1515" spans="1:1" ht="15.75" customHeight="1" x14ac:dyDescent="0.15">
      <c r="A1515" s="2"/>
    </row>
    <row r="1516" spans="1:1" ht="15.75" customHeight="1" x14ac:dyDescent="0.15">
      <c r="A1516" s="2"/>
    </row>
    <row r="1517" spans="1:1" ht="15.75" customHeight="1" x14ac:dyDescent="0.15">
      <c r="A1517" s="2"/>
    </row>
    <row r="1518" spans="1:1" ht="15.75" customHeight="1" x14ac:dyDescent="0.15">
      <c r="A1518" s="2"/>
    </row>
    <row r="1519" spans="1:1" ht="15.75" customHeight="1" x14ac:dyDescent="0.15">
      <c r="A1519" s="2"/>
    </row>
    <row r="1520" spans="1:1" ht="15.75" customHeight="1" x14ac:dyDescent="0.15">
      <c r="A1520" s="2"/>
    </row>
    <row r="1521" spans="1:1" ht="15.75" customHeight="1" x14ac:dyDescent="0.15">
      <c r="A1521" s="2"/>
    </row>
    <row r="1522" spans="1:1" ht="15.75" customHeight="1" x14ac:dyDescent="0.15">
      <c r="A1522" s="2"/>
    </row>
    <row r="1523" spans="1:1" ht="15.75" customHeight="1" x14ac:dyDescent="0.15">
      <c r="A1523" s="2"/>
    </row>
    <row r="1524" spans="1:1" ht="15.75" customHeight="1" x14ac:dyDescent="0.15">
      <c r="A1524" s="2"/>
    </row>
    <row r="1525" spans="1:1" ht="15.75" customHeight="1" x14ac:dyDescent="0.15">
      <c r="A1525" s="2"/>
    </row>
    <row r="1526" spans="1:1" ht="15.75" customHeight="1" x14ac:dyDescent="0.15">
      <c r="A1526" s="2"/>
    </row>
    <row r="1527" spans="1:1" ht="15.75" customHeight="1" x14ac:dyDescent="0.15">
      <c r="A1527" s="2"/>
    </row>
    <row r="1528" spans="1:1" ht="15.75" customHeight="1" x14ac:dyDescent="0.15">
      <c r="A1528" s="2"/>
    </row>
    <row r="1529" spans="1:1" ht="15.75" customHeight="1" x14ac:dyDescent="0.15">
      <c r="A1529" s="2"/>
    </row>
    <row r="1530" spans="1:1" ht="15.75" customHeight="1" x14ac:dyDescent="0.15">
      <c r="A1530" s="2"/>
    </row>
    <row r="1531" spans="1:1" ht="15.75" customHeight="1" x14ac:dyDescent="0.15">
      <c r="A1531" s="2"/>
    </row>
    <row r="1532" spans="1:1" ht="15.75" customHeight="1" x14ac:dyDescent="0.15">
      <c r="A1532" s="2"/>
    </row>
    <row r="1533" spans="1:1" ht="15.75" customHeight="1" x14ac:dyDescent="0.15">
      <c r="A1533" s="2"/>
    </row>
    <row r="1534" spans="1:1" ht="15.75" customHeight="1" x14ac:dyDescent="0.15">
      <c r="A1534" s="2"/>
    </row>
    <row r="1535" spans="1:1" ht="15.75" customHeight="1" x14ac:dyDescent="0.15">
      <c r="A1535" s="2"/>
    </row>
    <row r="1536" spans="1:1" ht="15.75" customHeight="1" x14ac:dyDescent="0.15">
      <c r="A1536" s="2"/>
    </row>
    <row r="1537" spans="1:1" ht="15.75" customHeight="1" x14ac:dyDescent="0.15">
      <c r="A1537" s="2"/>
    </row>
    <row r="1538" spans="1:1" ht="15.75" customHeight="1" x14ac:dyDescent="0.15">
      <c r="A1538" s="2"/>
    </row>
    <row r="1539" spans="1:1" ht="15.75" customHeight="1" x14ac:dyDescent="0.15">
      <c r="A1539" s="2"/>
    </row>
    <row r="1540" spans="1:1" ht="15.75" customHeight="1" x14ac:dyDescent="0.15">
      <c r="A1540" s="2"/>
    </row>
    <row r="1541" spans="1:1" ht="15.75" customHeight="1" x14ac:dyDescent="0.15">
      <c r="A1541" s="2"/>
    </row>
    <row r="1542" spans="1:1" ht="15.75" customHeight="1" x14ac:dyDescent="0.15">
      <c r="A1542" s="2"/>
    </row>
    <row r="1543" spans="1:1" ht="15.75" customHeight="1" x14ac:dyDescent="0.15">
      <c r="A1543" s="2"/>
    </row>
    <row r="1544" spans="1:1" ht="15.75" customHeight="1" x14ac:dyDescent="0.15">
      <c r="A1544" s="2"/>
    </row>
    <row r="1545" spans="1:1" ht="15.75" customHeight="1" x14ac:dyDescent="0.15">
      <c r="A1545" s="2"/>
    </row>
    <row r="1546" spans="1:1" ht="15.75" customHeight="1" x14ac:dyDescent="0.15">
      <c r="A1546" s="2"/>
    </row>
    <row r="1547" spans="1:1" ht="15.75" customHeight="1" x14ac:dyDescent="0.15">
      <c r="A1547" s="2"/>
    </row>
    <row r="1548" spans="1:1" ht="15.75" customHeight="1" x14ac:dyDescent="0.15">
      <c r="A1548" s="2"/>
    </row>
    <row r="1549" spans="1:1" ht="15.75" customHeight="1" x14ac:dyDescent="0.15">
      <c r="A1549" s="2"/>
    </row>
    <row r="1550" spans="1:1" ht="15.75" customHeight="1" x14ac:dyDescent="0.15">
      <c r="A1550" s="2"/>
    </row>
    <row r="1551" spans="1:1" ht="15.75" customHeight="1" x14ac:dyDescent="0.15">
      <c r="A1551" s="2"/>
    </row>
    <row r="1552" spans="1:1" ht="15.75" customHeight="1" x14ac:dyDescent="0.15">
      <c r="A1552" s="2"/>
    </row>
    <row r="1553" spans="1:1" ht="15.75" customHeight="1" x14ac:dyDescent="0.15">
      <c r="A1553" s="2"/>
    </row>
    <row r="1554" spans="1:1" ht="15.75" customHeight="1" x14ac:dyDescent="0.15">
      <c r="A1554" s="2"/>
    </row>
    <row r="1555" spans="1:1" ht="15.75" customHeight="1" x14ac:dyDescent="0.15">
      <c r="A1555" s="2"/>
    </row>
    <row r="1556" spans="1:1" ht="15.75" customHeight="1" x14ac:dyDescent="0.15">
      <c r="A1556" s="2"/>
    </row>
    <row r="1557" spans="1:1" ht="15.75" customHeight="1" x14ac:dyDescent="0.15">
      <c r="A1557" s="2"/>
    </row>
    <row r="1558" spans="1:1" ht="15.75" customHeight="1" x14ac:dyDescent="0.15">
      <c r="A1558" s="2"/>
    </row>
    <row r="1559" spans="1:1" ht="15.75" customHeight="1" x14ac:dyDescent="0.15">
      <c r="A1559" s="2"/>
    </row>
    <row r="1560" spans="1:1" ht="15.75" customHeight="1" x14ac:dyDescent="0.15">
      <c r="A1560" s="2"/>
    </row>
    <row r="1561" spans="1:1" ht="15.75" customHeight="1" x14ac:dyDescent="0.15">
      <c r="A1561" s="2"/>
    </row>
    <row r="1562" spans="1:1" ht="15.75" customHeight="1" x14ac:dyDescent="0.15">
      <c r="A1562" s="2"/>
    </row>
    <row r="1563" spans="1:1" ht="15.75" customHeight="1" x14ac:dyDescent="0.15">
      <c r="A1563" s="2"/>
    </row>
    <row r="1564" spans="1:1" ht="15.75" customHeight="1" x14ac:dyDescent="0.15">
      <c r="A1564" s="2"/>
    </row>
    <row r="1565" spans="1:1" ht="15.75" customHeight="1" x14ac:dyDescent="0.15">
      <c r="A1565" s="2"/>
    </row>
    <row r="1566" spans="1:1" ht="15.75" customHeight="1" x14ac:dyDescent="0.15">
      <c r="A1566" s="2"/>
    </row>
    <row r="1567" spans="1:1" ht="15.75" customHeight="1" x14ac:dyDescent="0.15">
      <c r="A1567" s="2"/>
    </row>
    <row r="1568" spans="1:1" ht="15.75" customHeight="1" x14ac:dyDescent="0.15">
      <c r="A1568" s="2"/>
    </row>
    <row r="1569" spans="1:1" ht="15.75" customHeight="1" x14ac:dyDescent="0.15">
      <c r="A1569" s="2"/>
    </row>
    <row r="1570" spans="1:1" ht="15.75" customHeight="1" x14ac:dyDescent="0.15">
      <c r="A1570" s="2"/>
    </row>
    <row r="1571" spans="1:1" ht="15.75" customHeight="1" x14ac:dyDescent="0.15">
      <c r="A1571" s="2"/>
    </row>
    <row r="1572" spans="1:1" ht="15.75" customHeight="1" x14ac:dyDescent="0.15">
      <c r="A1572" s="2"/>
    </row>
    <row r="1573" spans="1:1" ht="15.75" customHeight="1" x14ac:dyDescent="0.15">
      <c r="A1573" s="2"/>
    </row>
    <row r="1574" spans="1:1" ht="15.75" customHeight="1" x14ac:dyDescent="0.15">
      <c r="A1574" s="2"/>
    </row>
    <row r="1575" spans="1:1" ht="15.75" customHeight="1" x14ac:dyDescent="0.15">
      <c r="A1575" s="2"/>
    </row>
    <row r="1576" spans="1:1" ht="15.75" customHeight="1" x14ac:dyDescent="0.15">
      <c r="A1576" s="2"/>
    </row>
    <row r="1577" spans="1:1" ht="15.75" customHeight="1" x14ac:dyDescent="0.15">
      <c r="A1577" s="2"/>
    </row>
    <row r="1578" spans="1:1" ht="15.75" customHeight="1" x14ac:dyDescent="0.15">
      <c r="A1578" s="2"/>
    </row>
    <row r="1579" spans="1:1" ht="15.75" customHeight="1" x14ac:dyDescent="0.15">
      <c r="A1579" s="2"/>
    </row>
    <row r="1580" spans="1:1" ht="15.75" customHeight="1" x14ac:dyDescent="0.15">
      <c r="A1580" s="2"/>
    </row>
    <row r="1581" spans="1:1" ht="15.75" customHeight="1" x14ac:dyDescent="0.15">
      <c r="A1581" s="2"/>
    </row>
    <row r="1582" spans="1:1" ht="15.75" customHeight="1" x14ac:dyDescent="0.15">
      <c r="A1582" s="2"/>
    </row>
    <row r="1583" spans="1:1" ht="15.75" customHeight="1" x14ac:dyDescent="0.15">
      <c r="A1583" s="2"/>
    </row>
    <row r="1584" spans="1:1" ht="15.75" customHeight="1" x14ac:dyDescent="0.15">
      <c r="A1584" s="2"/>
    </row>
    <row r="1585" spans="1:1" ht="15.75" customHeight="1" x14ac:dyDescent="0.15">
      <c r="A1585" s="2"/>
    </row>
    <row r="1586" spans="1:1" ht="15.75" customHeight="1" x14ac:dyDescent="0.15">
      <c r="A1586" s="2"/>
    </row>
    <row r="1587" spans="1:1" ht="15.75" customHeight="1" x14ac:dyDescent="0.15">
      <c r="A1587" s="2"/>
    </row>
    <row r="1588" spans="1:1" ht="15.75" customHeight="1" x14ac:dyDescent="0.15">
      <c r="A1588" s="2"/>
    </row>
    <row r="1589" spans="1:1" ht="15.75" customHeight="1" x14ac:dyDescent="0.15">
      <c r="A1589" s="2"/>
    </row>
    <row r="1590" spans="1:1" ht="15.75" customHeight="1" x14ac:dyDescent="0.15">
      <c r="A1590" s="2"/>
    </row>
    <row r="1591" spans="1:1" ht="15.75" customHeight="1" x14ac:dyDescent="0.15">
      <c r="A1591" s="2"/>
    </row>
    <row r="1592" spans="1:1" ht="15.75" customHeight="1" x14ac:dyDescent="0.15">
      <c r="A1592" s="2"/>
    </row>
    <row r="1593" spans="1:1" ht="15.75" customHeight="1" x14ac:dyDescent="0.15">
      <c r="A1593" s="2"/>
    </row>
    <row r="1594" spans="1:1" ht="15.75" customHeight="1" x14ac:dyDescent="0.15">
      <c r="A1594" s="2"/>
    </row>
    <row r="1595" spans="1:1" ht="15.75" customHeight="1" x14ac:dyDescent="0.15">
      <c r="A1595" s="2"/>
    </row>
    <row r="1596" spans="1:1" ht="15.75" customHeight="1" x14ac:dyDescent="0.15">
      <c r="A1596" s="2"/>
    </row>
    <row r="1597" spans="1:1" ht="15.75" customHeight="1" x14ac:dyDescent="0.15">
      <c r="A1597" s="2"/>
    </row>
    <row r="1598" spans="1:1" ht="15.75" customHeight="1" x14ac:dyDescent="0.15">
      <c r="A1598" s="2"/>
    </row>
    <row r="1599" spans="1:1" ht="15.75" customHeight="1" x14ac:dyDescent="0.15">
      <c r="A1599" s="2"/>
    </row>
    <row r="1600" spans="1:1" ht="15.75" customHeight="1" x14ac:dyDescent="0.15">
      <c r="A1600" s="2"/>
    </row>
    <row r="1601" spans="1:1" ht="15.75" customHeight="1" x14ac:dyDescent="0.15">
      <c r="A1601" s="2"/>
    </row>
    <row r="1602" spans="1:1" ht="15.75" customHeight="1" x14ac:dyDescent="0.15">
      <c r="A1602" s="2"/>
    </row>
    <row r="1603" spans="1:1" ht="15.75" customHeight="1" x14ac:dyDescent="0.15">
      <c r="A1603" s="2"/>
    </row>
    <row r="1604" spans="1:1" ht="15.75" customHeight="1" x14ac:dyDescent="0.15">
      <c r="A1604" s="2"/>
    </row>
    <row r="1605" spans="1:1" ht="15.75" customHeight="1" x14ac:dyDescent="0.15">
      <c r="A1605" s="2"/>
    </row>
    <row r="1606" spans="1:1" ht="15.75" customHeight="1" x14ac:dyDescent="0.15">
      <c r="A1606" s="2"/>
    </row>
    <row r="1607" spans="1:1" ht="15.75" customHeight="1" x14ac:dyDescent="0.15">
      <c r="A1607" s="2"/>
    </row>
    <row r="1608" spans="1:1" ht="15.75" customHeight="1" x14ac:dyDescent="0.15">
      <c r="A1608" s="2"/>
    </row>
    <row r="1609" spans="1:1" ht="15.75" customHeight="1" x14ac:dyDescent="0.15">
      <c r="A1609" s="2"/>
    </row>
    <row r="1610" spans="1:1" ht="15.75" customHeight="1" x14ac:dyDescent="0.15">
      <c r="A1610" s="2"/>
    </row>
    <row r="1611" spans="1:1" ht="15.75" customHeight="1" x14ac:dyDescent="0.15">
      <c r="A1611" s="2"/>
    </row>
    <row r="1612" spans="1:1" ht="15.75" customHeight="1" x14ac:dyDescent="0.15">
      <c r="A1612" s="2"/>
    </row>
    <row r="1613" spans="1:1" ht="15.75" customHeight="1" x14ac:dyDescent="0.15">
      <c r="A1613" s="2"/>
    </row>
    <row r="1614" spans="1:1" ht="15.75" customHeight="1" x14ac:dyDescent="0.15">
      <c r="A1614" s="2"/>
    </row>
    <row r="1615" spans="1:1" ht="15.75" customHeight="1" x14ac:dyDescent="0.15">
      <c r="A1615" s="2"/>
    </row>
    <row r="1616" spans="1:1" ht="15.75" customHeight="1" x14ac:dyDescent="0.15">
      <c r="A1616" s="2"/>
    </row>
    <row r="1617" spans="1:1" ht="15.75" customHeight="1" x14ac:dyDescent="0.15">
      <c r="A1617" s="2"/>
    </row>
    <row r="1618" spans="1:1" ht="15.75" customHeight="1" x14ac:dyDescent="0.15">
      <c r="A1618" s="2"/>
    </row>
    <row r="1619" spans="1:1" ht="15.75" customHeight="1" x14ac:dyDescent="0.15">
      <c r="A1619" s="2"/>
    </row>
    <row r="1620" spans="1:1" ht="15.75" customHeight="1" x14ac:dyDescent="0.15">
      <c r="A1620" s="2"/>
    </row>
    <row r="1621" spans="1:1" ht="15.75" customHeight="1" x14ac:dyDescent="0.15">
      <c r="A1621" s="2"/>
    </row>
    <row r="1622" spans="1:1" ht="15.75" customHeight="1" x14ac:dyDescent="0.15">
      <c r="A1622" s="2"/>
    </row>
    <row r="1623" spans="1:1" ht="15.75" customHeight="1" x14ac:dyDescent="0.15">
      <c r="A1623" s="2"/>
    </row>
    <row r="1624" spans="1:1" ht="15.75" customHeight="1" x14ac:dyDescent="0.15">
      <c r="A1624" s="2"/>
    </row>
    <row r="1625" spans="1:1" ht="15.75" customHeight="1" x14ac:dyDescent="0.15">
      <c r="A1625" s="2"/>
    </row>
    <row r="1626" spans="1:1" ht="15.75" customHeight="1" x14ac:dyDescent="0.15">
      <c r="A1626" s="2"/>
    </row>
    <row r="1627" spans="1:1" ht="15.75" customHeight="1" x14ac:dyDescent="0.15">
      <c r="A1627" s="2"/>
    </row>
    <row r="1628" spans="1:1" ht="15.75" customHeight="1" x14ac:dyDescent="0.15">
      <c r="A1628" s="2"/>
    </row>
    <row r="1629" spans="1:1" ht="15.75" customHeight="1" x14ac:dyDescent="0.15">
      <c r="A1629" s="2"/>
    </row>
    <row r="1630" spans="1:1" ht="15.75" customHeight="1" x14ac:dyDescent="0.15">
      <c r="A1630" s="2"/>
    </row>
    <row r="1631" spans="1:1" ht="15.75" customHeight="1" x14ac:dyDescent="0.15">
      <c r="A1631" s="2"/>
    </row>
    <row r="1632" spans="1:1" ht="15.75" customHeight="1" x14ac:dyDescent="0.15">
      <c r="A1632" s="2"/>
    </row>
    <row r="1633" spans="1:1" ht="15.75" customHeight="1" x14ac:dyDescent="0.15">
      <c r="A1633" s="2"/>
    </row>
    <row r="1634" spans="1:1" ht="15.75" customHeight="1" x14ac:dyDescent="0.15">
      <c r="A1634" s="2"/>
    </row>
    <row r="1635" spans="1:1" ht="15.75" customHeight="1" x14ac:dyDescent="0.15">
      <c r="A1635" s="2"/>
    </row>
    <row r="1636" spans="1:1" ht="15.75" customHeight="1" x14ac:dyDescent="0.15">
      <c r="A1636" s="2"/>
    </row>
    <row r="1637" spans="1:1" ht="15.75" customHeight="1" x14ac:dyDescent="0.15">
      <c r="A1637" s="2"/>
    </row>
    <row r="1638" spans="1:1" ht="15.75" customHeight="1" x14ac:dyDescent="0.15">
      <c r="A1638" s="2"/>
    </row>
    <row r="1639" spans="1:1" ht="15.75" customHeight="1" x14ac:dyDescent="0.15">
      <c r="A1639" s="2"/>
    </row>
    <row r="1640" spans="1:1" ht="15.75" customHeight="1" x14ac:dyDescent="0.15">
      <c r="A1640" s="2"/>
    </row>
    <row r="1641" spans="1:1" ht="15.75" customHeight="1" x14ac:dyDescent="0.15">
      <c r="A1641" s="2"/>
    </row>
    <row r="1642" spans="1:1" ht="15.75" customHeight="1" x14ac:dyDescent="0.15">
      <c r="A1642" s="2"/>
    </row>
    <row r="1643" spans="1:1" ht="15.75" customHeight="1" x14ac:dyDescent="0.15">
      <c r="A1643" s="2"/>
    </row>
    <row r="1644" spans="1:1" ht="15.75" customHeight="1" x14ac:dyDescent="0.15">
      <c r="A1644" s="2"/>
    </row>
    <row r="1645" spans="1:1" ht="15.75" customHeight="1" x14ac:dyDescent="0.15">
      <c r="A1645" s="2"/>
    </row>
    <row r="1646" spans="1:1" ht="15.75" customHeight="1" x14ac:dyDescent="0.15">
      <c r="A1646" s="2"/>
    </row>
    <row r="1647" spans="1:1" ht="15.75" customHeight="1" x14ac:dyDescent="0.15">
      <c r="A1647" s="2"/>
    </row>
    <row r="1648" spans="1:1" ht="15.75" customHeight="1" x14ac:dyDescent="0.15">
      <c r="A1648" s="2"/>
    </row>
    <row r="1649" spans="1:1" ht="15.75" customHeight="1" x14ac:dyDescent="0.15">
      <c r="A1649" s="2"/>
    </row>
    <row r="1650" spans="1:1" ht="15.75" customHeight="1" x14ac:dyDescent="0.15">
      <c r="A1650" s="2"/>
    </row>
    <row r="1651" spans="1:1" ht="15.75" customHeight="1" x14ac:dyDescent="0.15">
      <c r="A1651" s="2"/>
    </row>
    <row r="1652" spans="1:1" ht="15.75" customHeight="1" x14ac:dyDescent="0.15">
      <c r="A1652" s="2"/>
    </row>
    <row r="1653" spans="1:1" ht="15.75" customHeight="1" x14ac:dyDescent="0.15">
      <c r="A1653" s="2"/>
    </row>
    <row r="1654" spans="1:1" ht="15.75" customHeight="1" x14ac:dyDescent="0.15">
      <c r="A1654" s="2"/>
    </row>
    <row r="1655" spans="1:1" ht="15.75" customHeight="1" x14ac:dyDescent="0.15">
      <c r="A1655" s="2"/>
    </row>
    <row r="1656" spans="1:1" ht="15.75" customHeight="1" x14ac:dyDescent="0.15">
      <c r="A1656" s="2"/>
    </row>
    <row r="1657" spans="1:1" ht="15.75" customHeight="1" x14ac:dyDescent="0.15">
      <c r="A1657" s="2"/>
    </row>
    <row r="1658" spans="1:1" ht="15.75" customHeight="1" x14ac:dyDescent="0.15">
      <c r="A1658" s="2"/>
    </row>
    <row r="1659" spans="1:1" ht="15.75" customHeight="1" x14ac:dyDescent="0.15">
      <c r="A1659" s="2"/>
    </row>
    <row r="1660" spans="1:1" ht="15.75" customHeight="1" x14ac:dyDescent="0.15">
      <c r="A1660" s="2"/>
    </row>
    <row r="1661" spans="1:1" ht="15.75" customHeight="1" x14ac:dyDescent="0.15">
      <c r="A1661" s="2"/>
    </row>
    <row r="1662" spans="1:1" ht="15.75" customHeight="1" x14ac:dyDescent="0.15">
      <c r="A1662" s="2"/>
    </row>
    <row r="1663" spans="1:1" ht="15.75" customHeight="1" x14ac:dyDescent="0.15">
      <c r="A1663" s="2"/>
    </row>
    <row r="1664" spans="1:1" ht="15.75" customHeight="1" x14ac:dyDescent="0.15">
      <c r="A1664" s="2"/>
    </row>
    <row r="1665" spans="1:1" ht="15.75" customHeight="1" x14ac:dyDescent="0.15">
      <c r="A1665" s="2"/>
    </row>
    <row r="1666" spans="1:1" ht="15.75" customHeight="1" x14ac:dyDescent="0.15">
      <c r="A1666" s="2"/>
    </row>
    <row r="1667" spans="1:1" ht="15.75" customHeight="1" x14ac:dyDescent="0.15">
      <c r="A1667" s="2"/>
    </row>
    <row r="1668" spans="1:1" ht="15.75" customHeight="1" x14ac:dyDescent="0.15">
      <c r="A1668" s="2"/>
    </row>
    <row r="1669" spans="1:1" ht="15.75" customHeight="1" x14ac:dyDescent="0.15">
      <c r="A1669" s="2"/>
    </row>
    <row r="1670" spans="1:1" ht="15.75" customHeight="1" x14ac:dyDescent="0.15">
      <c r="A1670" s="2"/>
    </row>
    <row r="1671" spans="1:1" ht="15.75" customHeight="1" x14ac:dyDescent="0.15">
      <c r="A1671" s="2"/>
    </row>
    <row r="1672" spans="1:1" ht="15.75" customHeight="1" x14ac:dyDescent="0.15">
      <c r="A1672" s="2"/>
    </row>
    <row r="1673" spans="1:1" ht="15.75" customHeight="1" x14ac:dyDescent="0.15">
      <c r="A1673" s="2"/>
    </row>
    <row r="1674" spans="1:1" ht="15.75" customHeight="1" x14ac:dyDescent="0.15">
      <c r="A1674" s="2"/>
    </row>
    <row r="1675" spans="1:1" ht="15.75" customHeight="1" x14ac:dyDescent="0.15">
      <c r="A1675" s="2"/>
    </row>
    <row r="1676" spans="1:1" ht="15.75" customHeight="1" x14ac:dyDescent="0.15">
      <c r="A1676" s="2"/>
    </row>
    <row r="1677" spans="1:1" ht="15.75" customHeight="1" x14ac:dyDescent="0.15">
      <c r="A1677" s="2"/>
    </row>
    <row r="1678" spans="1:1" ht="15.75" customHeight="1" x14ac:dyDescent="0.15">
      <c r="A1678" s="2"/>
    </row>
    <row r="1679" spans="1:1" ht="15.75" customHeight="1" x14ac:dyDescent="0.15">
      <c r="A1679" s="2"/>
    </row>
    <row r="1680" spans="1:1" ht="15.75" customHeight="1" x14ac:dyDescent="0.15">
      <c r="A1680" s="2"/>
    </row>
    <row r="1681" spans="1:1" ht="15.75" customHeight="1" x14ac:dyDescent="0.15">
      <c r="A1681" s="2"/>
    </row>
    <row r="1682" spans="1:1" ht="15.75" customHeight="1" x14ac:dyDescent="0.15">
      <c r="A1682" s="2"/>
    </row>
    <row r="1683" spans="1:1" ht="15.75" customHeight="1" x14ac:dyDescent="0.15">
      <c r="A1683" s="2"/>
    </row>
    <row r="1684" spans="1:1" ht="15.75" customHeight="1" x14ac:dyDescent="0.15">
      <c r="A1684" s="2"/>
    </row>
    <row r="1685" spans="1:1" ht="15.75" customHeight="1" x14ac:dyDescent="0.15">
      <c r="A1685" s="2"/>
    </row>
    <row r="1686" spans="1:1" ht="15.75" customHeight="1" x14ac:dyDescent="0.15">
      <c r="A1686" s="2"/>
    </row>
    <row r="1687" spans="1:1" ht="15.75" customHeight="1" x14ac:dyDescent="0.15">
      <c r="A1687" s="2"/>
    </row>
    <row r="1688" spans="1:1" ht="15.75" customHeight="1" x14ac:dyDescent="0.15">
      <c r="A1688" s="2"/>
    </row>
    <row r="1689" spans="1:1" ht="15.75" customHeight="1" x14ac:dyDescent="0.15">
      <c r="A1689" s="2"/>
    </row>
    <row r="1690" spans="1:1" ht="15.75" customHeight="1" x14ac:dyDescent="0.15">
      <c r="A1690" s="2"/>
    </row>
    <row r="1691" spans="1:1" ht="15.75" customHeight="1" x14ac:dyDescent="0.15">
      <c r="A1691" s="2"/>
    </row>
    <row r="1692" spans="1:1" ht="15.75" customHeight="1" x14ac:dyDescent="0.15">
      <c r="A1692" s="2"/>
    </row>
    <row r="1693" spans="1:1" ht="15.75" customHeight="1" x14ac:dyDescent="0.15">
      <c r="A1693" s="2"/>
    </row>
    <row r="1694" spans="1:1" ht="15.75" customHeight="1" x14ac:dyDescent="0.15">
      <c r="A1694" s="2"/>
    </row>
    <row r="1695" spans="1:1" ht="15.75" customHeight="1" x14ac:dyDescent="0.15">
      <c r="A1695" s="2"/>
    </row>
    <row r="1696" spans="1:1" ht="15.75" customHeight="1" x14ac:dyDescent="0.15">
      <c r="A1696" s="2"/>
    </row>
    <row r="1697" spans="1:1" ht="15.75" customHeight="1" x14ac:dyDescent="0.15">
      <c r="A1697" s="2"/>
    </row>
    <row r="1698" spans="1:1" ht="15.75" customHeight="1" x14ac:dyDescent="0.15">
      <c r="A1698" s="2"/>
    </row>
    <row r="1699" spans="1:1" ht="15.75" customHeight="1" x14ac:dyDescent="0.15">
      <c r="A1699" s="2"/>
    </row>
    <row r="1700" spans="1:1" ht="15.75" customHeight="1" x14ac:dyDescent="0.15">
      <c r="A1700" s="2"/>
    </row>
    <row r="1701" spans="1:1" ht="15.75" customHeight="1" x14ac:dyDescent="0.15">
      <c r="A1701" s="2"/>
    </row>
    <row r="1702" spans="1:1" ht="15.75" customHeight="1" x14ac:dyDescent="0.15">
      <c r="A1702" s="2"/>
    </row>
    <row r="1703" spans="1:1" ht="15.75" customHeight="1" x14ac:dyDescent="0.15">
      <c r="A1703" s="2"/>
    </row>
    <row r="1704" spans="1:1" ht="15.75" customHeight="1" x14ac:dyDescent="0.15">
      <c r="A1704" s="2"/>
    </row>
    <row r="1705" spans="1:1" ht="15.75" customHeight="1" x14ac:dyDescent="0.15">
      <c r="A1705" s="2"/>
    </row>
    <row r="1706" spans="1:1" ht="15.75" customHeight="1" x14ac:dyDescent="0.15">
      <c r="A1706" s="2"/>
    </row>
    <row r="1707" spans="1:1" ht="15.75" customHeight="1" x14ac:dyDescent="0.15">
      <c r="A1707" s="2"/>
    </row>
    <row r="1708" spans="1:1" ht="15.75" customHeight="1" x14ac:dyDescent="0.15">
      <c r="A1708" s="2"/>
    </row>
    <row r="1709" spans="1:1" ht="15.75" customHeight="1" x14ac:dyDescent="0.15">
      <c r="A1709" s="2"/>
    </row>
    <row r="1710" spans="1:1" ht="15.75" customHeight="1" x14ac:dyDescent="0.15">
      <c r="A1710" s="2"/>
    </row>
    <row r="1711" spans="1:1" ht="15.75" customHeight="1" x14ac:dyDescent="0.15">
      <c r="A1711" s="2"/>
    </row>
    <row r="1712" spans="1:1" ht="15.75" customHeight="1" x14ac:dyDescent="0.15">
      <c r="A1712" s="2"/>
    </row>
    <row r="1713" spans="1:1" ht="15.75" customHeight="1" x14ac:dyDescent="0.15">
      <c r="A1713" s="2"/>
    </row>
    <row r="1714" spans="1:1" ht="15.75" customHeight="1" x14ac:dyDescent="0.15">
      <c r="A1714" s="2"/>
    </row>
    <row r="1715" spans="1:1" ht="15.75" customHeight="1" x14ac:dyDescent="0.15">
      <c r="A1715" s="2"/>
    </row>
    <row r="1716" spans="1:1" ht="15.75" customHeight="1" x14ac:dyDescent="0.15">
      <c r="A1716" s="2"/>
    </row>
    <row r="1717" spans="1:1" ht="15.75" customHeight="1" x14ac:dyDescent="0.15">
      <c r="A1717" s="2"/>
    </row>
    <row r="1718" spans="1:1" ht="15.75" customHeight="1" x14ac:dyDescent="0.15">
      <c r="A1718" s="2"/>
    </row>
    <row r="1719" spans="1:1" ht="15.75" customHeight="1" x14ac:dyDescent="0.15">
      <c r="A1719" s="2"/>
    </row>
    <row r="1720" spans="1:1" ht="15.75" customHeight="1" x14ac:dyDescent="0.15">
      <c r="A1720" s="2"/>
    </row>
    <row r="1721" spans="1:1" ht="15.75" customHeight="1" x14ac:dyDescent="0.15">
      <c r="A1721" s="2"/>
    </row>
    <row r="1722" spans="1:1" ht="15.75" customHeight="1" x14ac:dyDescent="0.15">
      <c r="A1722" s="2"/>
    </row>
    <row r="1723" spans="1:1" ht="15.75" customHeight="1" x14ac:dyDescent="0.15">
      <c r="A1723" s="2"/>
    </row>
    <row r="1724" spans="1:1" ht="15.75" customHeight="1" x14ac:dyDescent="0.15">
      <c r="A1724" s="2"/>
    </row>
    <row r="1725" spans="1:1" ht="15.75" customHeight="1" x14ac:dyDescent="0.15">
      <c r="A1725" s="2"/>
    </row>
    <row r="1726" spans="1:1" ht="15.75" customHeight="1" x14ac:dyDescent="0.15">
      <c r="A1726" s="2"/>
    </row>
    <row r="1727" spans="1:1" ht="15.75" customHeight="1" x14ac:dyDescent="0.15">
      <c r="A1727" s="2"/>
    </row>
    <row r="1728" spans="1:1" ht="15.75" customHeight="1" x14ac:dyDescent="0.15">
      <c r="A1728" s="2"/>
    </row>
    <row r="1729" spans="1:1" ht="15.75" customHeight="1" x14ac:dyDescent="0.15">
      <c r="A1729" s="2"/>
    </row>
    <row r="1730" spans="1:1" ht="15.75" customHeight="1" x14ac:dyDescent="0.15">
      <c r="A1730" s="2"/>
    </row>
    <row r="1731" spans="1:1" ht="15.75" customHeight="1" x14ac:dyDescent="0.15">
      <c r="A1731" s="2"/>
    </row>
    <row r="1732" spans="1:1" ht="15.75" customHeight="1" x14ac:dyDescent="0.15">
      <c r="A1732" s="2"/>
    </row>
    <row r="1733" spans="1:1" ht="15.75" customHeight="1" x14ac:dyDescent="0.15">
      <c r="A1733" s="2"/>
    </row>
    <row r="1734" spans="1:1" ht="15.75" customHeight="1" x14ac:dyDescent="0.15">
      <c r="A1734" s="2"/>
    </row>
    <row r="1735" spans="1:1" ht="15.75" customHeight="1" x14ac:dyDescent="0.15">
      <c r="A1735" s="2"/>
    </row>
    <row r="1736" spans="1:1" ht="15.75" customHeight="1" x14ac:dyDescent="0.15">
      <c r="A1736" s="2"/>
    </row>
    <row r="1737" spans="1:1" ht="15.75" customHeight="1" x14ac:dyDescent="0.15">
      <c r="A1737" s="2"/>
    </row>
    <row r="1738" spans="1:1" ht="15.75" customHeight="1" x14ac:dyDescent="0.15">
      <c r="A1738" s="2"/>
    </row>
    <row r="1739" spans="1:1" ht="15.75" customHeight="1" x14ac:dyDescent="0.15">
      <c r="A1739" s="2"/>
    </row>
    <row r="1740" spans="1:1" ht="15.75" customHeight="1" x14ac:dyDescent="0.15">
      <c r="A1740" s="2"/>
    </row>
    <row r="1741" spans="1:1" ht="15.75" customHeight="1" x14ac:dyDescent="0.15">
      <c r="A1741" s="2"/>
    </row>
    <row r="1742" spans="1:1" ht="15.75" customHeight="1" x14ac:dyDescent="0.15">
      <c r="A1742" s="2"/>
    </row>
    <row r="1743" spans="1:1" ht="15.75" customHeight="1" x14ac:dyDescent="0.15">
      <c r="A1743" s="2"/>
    </row>
    <row r="1744" spans="1:1" ht="15.75" customHeight="1" x14ac:dyDescent="0.15">
      <c r="A1744" s="2"/>
    </row>
    <row r="1745" spans="1:1" ht="15.75" customHeight="1" x14ac:dyDescent="0.15">
      <c r="A1745" s="2"/>
    </row>
    <row r="1746" spans="1:1" ht="15.75" customHeight="1" x14ac:dyDescent="0.15">
      <c r="A1746" s="2"/>
    </row>
    <row r="1747" spans="1:1" ht="15.75" customHeight="1" x14ac:dyDescent="0.15">
      <c r="A1747" s="2"/>
    </row>
    <row r="1748" spans="1:1" ht="15.75" customHeight="1" x14ac:dyDescent="0.15">
      <c r="A1748" s="2"/>
    </row>
    <row r="1749" spans="1:1" ht="15.75" customHeight="1" x14ac:dyDescent="0.15">
      <c r="A1749" s="2"/>
    </row>
    <row r="1750" spans="1:1" ht="15.75" customHeight="1" x14ac:dyDescent="0.15">
      <c r="A1750" s="2"/>
    </row>
    <row r="1751" spans="1:1" ht="15.75" customHeight="1" x14ac:dyDescent="0.15">
      <c r="A1751" s="2"/>
    </row>
    <row r="1752" spans="1:1" ht="15.75" customHeight="1" x14ac:dyDescent="0.15">
      <c r="A1752" s="2"/>
    </row>
    <row r="1753" spans="1:1" ht="15.75" customHeight="1" x14ac:dyDescent="0.15">
      <c r="A1753" s="2"/>
    </row>
    <row r="1754" spans="1:1" ht="15.75" customHeight="1" x14ac:dyDescent="0.15">
      <c r="A1754" s="2"/>
    </row>
    <row r="1755" spans="1:1" ht="15.75" customHeight="1" x14ac:dyDescent="0.15">
      <c r="A1755" s="2"/>
    </row>
    <row r="1756" spans="1:1" ht="15.75" customHeight="1" x14ac:dyDescent="0.15">
      <c r="A1756" s="2"/>
    </row>
    <row r="1757" spans="1:1" ht="15.75" customHeight="1" x14ac:dyDescent="0.15">
      <c r="A1757" s="2"/>
    </row>
    <row r="1758" spans="1:1" ht="15.75" customHeight="1" x14ac:dyDescent="0.15">
      <c r="A1758" s="2"/>
    </row>
    <row r="1759" spans="1:1" ht="15.75" customHeight="1" x14ac:dyDescent="0.15">
      <c r="A1759" s="2"/>
    </row>
    <row r="1760" spans="1:1" ht="15.75" customHeight="1" x14ac:dyDescent="0.15">
      <c r="A1760" s="2"/>
    </row>
    <row r="1761" spans="1:1" ht="15.75" customHeight="1" x14ac:dyDescent="0.15">
      <c r="A1761" s="2"/>
    </row>
    <row r="1762" spans="1:1" ht="15.75" customHeight="1" x14ac:dyDescent="0.15">
      <c r="A1762" s="2"/>
    </row>
    <row r="1763" spans="1:1" ht="15.75" customHeight="1" x14ac:dyDescent="0.15">
      <c r="A1763" s="2"/>
    </row>
    <row r="1764" spans="1:1" ht="15.75" customHeight="1" x14ac:dyDescent="0.15">
      <c r="A1764" s="2"/>
    </row>
    <row r="1765" spans="1:1" ht="15.75" customHeight="1" x14ac:dyDescent="0.15">
      <c r="A1765" s="2"/>
    </row>
    <row r="1766" spans="1:1" ht="15.75" customHeight="1" x14ac:dyDescent="0.15">
      <c r="A1766" s="2"/>
    </row>
    <row r="1767" spans="1:1" ht="15.75" customHeight="1" x14ac:dyDescent="0.15">
      <c r="A1767" s="2"/>
    </row>
    <row r="1768" spans="1:1" ht="15.75" customHeight="1" x14ac:dyDescent="0.15">
      <c r="A1768" s="2"/>
    </row>
    <row r="1769" spans="1:1" ht="15.75" customHeight="1" x14ac:dyDescent="0.15">
      <c r="A1769" s="2"/>
    </row>
    <row r="1770" spans="1:1" ht="15.75" customHeight="1" x14ac:dyDescent="0.15">
      <c r="A1770" s="2"/>
    </row>
    <row r="1771" spans="1:1" ht="15.75" customHeight="1" x14ac:dyDescent="0.15">
      <c r="A1771" s="2"/>
    </row>
    <row r="1772" spans="1:1" ht="15.75" customHeight="1" x14ac:dyDescent="0.15">
      <c r="A1772" s="2"/>
    </row>
    <row r="1773" spans="1:1" ht="15.75" customHeight="1" x14ac:dyDescent="0.15">
      <c r="A1773" s="2"/>
    </row>
    <row r="1774" spans="1:1" ht="15.75" customHeight="1" x14ac:dyDescent="0.15">
      <c r="A1774" s="2"/>
    </row>
    <row r="1775" spans="1:1" ht="15.75" customHeight="1" x14ac:dyDescent="0.15">
      <c r="A1775" s="2"/>
    </row>
    <row r="1776" spans="1:1" ht="15.75" customHeight="1" x14ac:dyDescent="0.15">
      <c r="A1776" s="2"/>
    </row>
    <row r="1777" spans="1:1" ht="15.75" customHeight="1" x14ac:dyDescent="0.15">
      <c r="A1777" s="2"/>
    </row>
    <row r="1778" spans="1:1" ht="15.75" customHeight="1" x14ac:dyDescent="0.15">
      <c r="A1778" s="2"/>
    </row>
    <row r="1779" spans="1:1" ht="15.75" customHeight="1" x14ac:dyDescent="0.15">
      <c r="A1779" s="2"/>
    </row>
    <row r="1780" spans="1:1" ht="15.75" customHeight="1" x14ac:dyDescent="0.15">
      <c r="A1780" s="2"/>
    </row>
    <row r="1781" spans="1:1" ht="15.75" customHeight="1" x14ac:dyDescent="0.15">
      <c r="A1781" s="2"/>
    </row>
    <row r="1782" spans="1:1" ht="15.75" customHeight="1" x14ac:dyDescent="0.15">
      <c r="A1782" s="2"/>
    </row>
    <row r="1783" spans="1:1" ht="15.75" customHeight="1" x14ac:dyDescent="0.15">
      <c r="A1783" s="2"/>
    </row>
    <row r="1784" spans="1:1" ht="15.75" customHeight="1" x14ac:dyDescent="0.15">
      <c r="A1784" s="2"/>
    </row>
    <row r="1785" spans="1:1" ht="15.75" customHeight="1" x14ac:dyDescent="0.15">
      <c r="A1785" s="2"/>
    </row>
    <row r="1786" spans="1:1" ht="15.75" customHeight="1" x14ac:dyDescent="0.15">
      <c r="A1786" s="2"/>
    </row>
    <row r="1787" spans="1:1" ht="15.75" customHeight="1" x14ac:dyDescent="0.15">
      <c r="A1787" s="2"/>
    </row>
    <row r="1788" spans="1:1" ht="15.75" customHeight="1" x14ac:dyDescent="0.15">
      <c r="A1788" s="2"/>
    </row>
    <row r="1789" spans="1:1" ht="15.75" customHeight="1" x14ac:dyDescent="0.15">
      <c r="A1789" s="2"/>
    </row>
    <row r="1790" spans="1:1" ht="15.75" customHeight="1" x14ac:dyDescent="0.15">
      <c r="A1790" s="2"/>
    </row>
    <row r="1791" spans="1:1" ht="15.75" customHeight="1" x14ac:dyDescent="0.15">
      <c r="A1791" s="2"/>
    </row>
    <row r="1792" spans="1:1" ht="15.75" customHeight="1" x14ac:dyDescent="0.15">
      <c r="A1792" s="2"/>
    </row>
    <row r="1793" spans="1:1" ht="15.75" customHeight="1" x14ac:dyDescent="0.15">
      <c r="A1793" s="2"/>
    </row>
    <row r="1794" spans="1:1" ht="15.75" customHeight="1" x14ac:dyDescent="0.15">
      <c r="A1794" s="2"/>
    </row>
    <row r="1795" spans="1:1" ht="15.75" customHeight="1" x14ac:dyDescent="0.15">
      <c r="A1795" s="2"/>
    </row>
    <row r="1796" spans="1:1" ht="15.75" customHeight="1" x14ac:dyDescent="0.15">
      <c r="A1796" s="2"/>
    </row>
    <row r="1797" spans="1:1" ht="15.75" customHeight="1" x14ac:dyDescent="0.15">
      <c r="A1797" s="2"/>
    </row>
    <row r="1798" spans="1:1" ht="15.75" customHeight="1" x14ac:dyDescent="0.15">
      <c r="A1798" s="2"/>
    </row>
    <row r="1799" spans="1:1" ht="15.75" customHeight="1" x14ac:dyDescent="0.15">
      <c r="A1799" s="2"/>
    </row>
    <row r="1800" spans="1:1" ht="15.75" customHeight="1" x14ac:dyDescent="0.15">
      <c r="A1800" s="2"/>
    </row>
    <row r="1801" spans="1:1" ht="15.75" customHeight="1" x14ac:dyDescent="0.15">
      <c r="A1801" s="2"/>
    </row>
    <row r="1802" spans="1:1" ht="15.75" customHeight="1" x14ac:dyDescent="0.15">
      <c r="A1802" s="2"/>
    </row>
    <row r="1803" spans="1:1" ht="15.75" customHeight="1" x14ac:dyDescent="0.15">
      <c r="A1803" s="2"/>
    </row>
    <row r="1804" spans="1:1" ht="15.75" customHeight="1" x14ac:dyDescent="0.15">
      <c r="A1804" s="2"/>
    </row>
    <row r="1805" spans="1:1" ht="15.75" customHeight="1" x14ac:dyDescent="0.15">
      <c r="A1805" s="2"/>
    </row>
    <row r="1806" spans="1:1" ht="15.75" customHeight="1" x14ac:dyDescent="0.15">
      <c r="A1806" s="2"/>
    </row>
    <row r="1807" spans="1:1" ht="15.75" customHeight="1" x14ac:dyDescent="0.15">
      <c r="A1807" s="2"/>
    </row>
    <row r="1808" spans="1:1" ht="15.75" customHeight="1" x14ac:dyDescent="0.15">
      <c r="A1808" s="2"/>
    </row>
    <row r="1809" spans="1:1" ht="15.75" customHeight="1" x14ac:dyDescent="0.15">
      <c r="A1809" s="2"/>
    </row>
    <row r="1810" spans="1:1" ht="15.75" customHeight="1" x14ac:dyDescent="0.15">
      <c r="A1810" s="2"/>
    </row>
    <row r="1811" spans="1:1" ht="15.75" customHeight="1" x14ac:dyDescent="0.15">
      <c r="A1811" s="2"/>
    </row>
    <row r="1812" spans="1:1" ht="15.75" customHeight="1" x14ac:dyDescent="0.15">
      <c r="A1812" s="2"/>
    </row>
    <row r="1813" spans="1:1" ht="15.75" customHeight="1" x14ac:dyDescent="0.15">
      <c r="A1813" s="2"/>
    </row>
    <row r="1814" spans="1:1" ht="15.75" customHeight="1" x14ac:dyDescent="0.15">
      <c r="A1814" s="2"/>
    </row>
    <row r="1815" spans="1:1" ht="15.75" customHeight="1" x14ac:dyDescent="0.15">
      <c r="A1815" s="2"/>
    </row>
    <row r="1816" spans="1:1" ht="15.75" customHeight="1" x14ac:dyDescent="0.15">
      <c r="A1816" s="2"/>
    </row>
    <row r="1817" spans="1:1" ht="15.75" customHeight="1" x14ac:dyDescent="0.15">
      <c r="A1817" s="2"/>
    </row>
    <row r="1818" spans="1:1" ht="15.75" customHeight="1" x14ac:dyDescent="0.15">
      <c r="A1818" s="2"/>
    </row>
    <row r="1819" spans="1:1" ht="15.75" customHeight="1" x14ac:dyDescent="0.15">
      <c r="A1819" s="2"/>
    </row>
    <row r="1820" spans="1:1" ht="15.75" customHeight="1" x14ac:dyDescent="0.15">
      <c r="A1820" s="2"/>
    </row>
    <row r="1821" spans="1:1" ht="15.75" customHeight="1" x14ac:dyDescent="0.15">
      <c r="A1821" s="2"/>
    </row>
    <row r="1822" spans="1:1" ht="15.75" customHeight="1" x14ac:dyDescent="0.15">
      <c r="A1822" s="2"/>
    </row>
    <row r="1823" spans="1:1" ht="15.75" customHeight="1" x14ac:dyDescent="0.15">
      <c r="A1823" s="2"/>
    </row>
    <row r="1824" spans="1:1" ht="15.75" customHeight="1" x14ac:dyDescent="0.15">
      <c r="A1824" s="2"/>
    </row>
    <row r="1825" spans="1:1" ht="15.75" customHeight="1" x14ac:dyDescent="0.15">
      <c r="A1825" s="2"/>
    </row>
    <row r="1826" spans="1:1" ht="15.75" customHeight="1" x14ac:dyDescent="0.15">
      <c r="A1826" s="2"/>
    </row>
    <row r="1827" spans="1:1" ht="15.75" customHeight="1" x14ac:dyDescent="0.15">
      <c r="A1827" s="2"/>
    </row>
    <row r="1828" spans="1:1" ht="15.75" customHeight="1" x14ac:dyDescent="0.15">
      <c r="A1828" s="2"/>
    </row>
    <row r="1829" spans="1:1" ht="15.75" customHeight="1" x14ac:dyDescent="0.15">
      <c r="A1829" s="2"/>
    </row>
    <row r="1830" spans="1:1" ht="15.75" customHeight="1" x14ac:dyDescent="0.15">
      <c r="A1830" s="2"/>
    </row>
    <row r="1831" spans="1:1" ht="15.75" customHeight="1" x14ac:dyDescent="0.15">
      <c r="A1831" s="2"/>
    </row>
    <row r="1832" spans="1:1" ht="15.75" customHeight="1" x14ac:dyDescent="0.15">
      <c r="A1832" s="2"/>
    </row>
    <row r="1833" spans="1:1" ht="15.75" customHeight="1" x14ac:dyDescent="0.15">
      <c r="A1833" s="2"/>
    </row>
    <row r="1834" spans="1:1" ht="15.75" customHeight="1" x14ac:dyDescent="0.15">
      <c r="A1834" s="2"/>
    </row>
    <row r="1835" spans="1:1" ht="15.75" customHeight="1" x14ac:dyDescent="0.15">
      <c r="A1835" s="2"/>
    </row>
    <row r="1836" spans="1:1" ht="15.75" customHeight="1" x14ac:dyDescent="0.15">
      <c r="A1836" s="2"/>
    </row>
    <row r="1837" spans="1:1" ht="15.75" customHeight="1" x14ac:dyDescent="0.15">
      <c r="A1837" s="2"/>
    </row>
    <row r="1838" spans="1:1" ht="15.75" customHeight="1" x14ac:dyDescent="0.15">
      <c r="A1838" s="2"/>
    </row>
    <row r="1839" spans="1:1" ht="15.75" customHeight="1" x14ac:dyDescent="0.15">
      <c r="A1839" s="2"/>
    </row>
    <row r="1840" spans="1:1" ht="15.75" customHeight="1" x14ac:dyDescent="0.15">
      <c r="A1840" s="2"/>
    </row>
    <row r="1841" spans="1:1" ht="15.75" customHeight="1" x14ac:dyDescent="0.15">
      <c r="A1841" s="2"/>
    </row>
    <row r="1842" spans="1:1" ht="15.75" customHeight="1" x14ac:dyDescent="0.15">
      <c r="A1842" s="2"/>
    </row>
    <row r="1843" spans="1:1" ht="15.75" customHeight="1" x14ac:dyDescent="0.15">
      <c r="A1843" s="2"/>
    </row>
    <row r="1844" spans="1:1" ht="15.75" customHeight="1" x14ac:dyDescent="0.15">
      <c r="A1844" s="2"/>
    </row>
    <row r="1845" spans="1:1" ht="15.75" customHeight="1" x14ac:dyDescent="0.15">
      <c r="A1845" s="2"/>
    </row>
    <row r="1846" spans="1:1" ht="15.75" customHeight="1" x14ac:dyDescent="0.15">
      <c r="A1846" s="2"/>
    </row>
    <row r="1847" spans="1:1" ht="15.75" customHeight="1" x14ac:dyDescent="0.15">
      <c r="A1847" s="2"/>
    </row>
    <row r="1848" spans="1:1" ht="15.75" customHeight="1" x14ac:dyDescent="0.15">
      <c r="A1848" s="2"/>
    </row>
    <row r="1849" spans="1:1" ht="15.75" customHeight="1" x14ac:dyDescent="0.15">
      <c r="A1849" s="2"/>
    </row>
    <row r="1850" spans="1:1" ht="15.75" customHeight="1" x14ac:dyDescent="0.15">
      <c r="A1850" s="2"/>
    </row>
    <row r="1851" spans="1:1" ht="15.75" customHeight="1" x14ac:dyDescent="0.15">
      <c r="A1851" s="2"/>
    </row>
    <row r="1852" spans="1:1" ht="15.75" customHeight="1" x14ac:dyDescent="0.15">
      <c r="A1852" s="2"/>
    </row>
    <row r="1853" spans="1:1" ht="15.75" customHeight="1" x14ac:dyDescent="0.15">
      <c r="A1853" s="2"/>
    </row>
    <row r="1854" spans="1:1" ht="15.75" customHeight="1" x14ac:dyDescent="0.15">
      <c r="A1854" s="2"/>
    </row>
    <row r="1855" spans="1:1" ht="15.75" customHeight="1" x14ac:dyDescent="0.15">
      <c r="A1855" s="2"/>
    </row>
    <row r="1856" spans="1:1" ht="15.75" customHeight="1" x14ac:dyDescent="0.15">
      <c r="A1856" s="2"/>
    </row>
    <row r="1857" spans="1:1" ht="15.75" customHeight="1" x14ac:dyDescent="0.15">
      <c r="A1857" s="2"/>
    </row>
    <row r="1858" spans="1:1" ht="15.75" customHeight="1" x14ac:dyDescent="0.15">
      <c r="A1858" s="2"/>
    </row>
    <row r="1859" spans="1:1" ht="15.75" customHeight="1" x14ac:dyDescent="0.15">
      <c r="A1859" s="2"/>
    </row>
    <row r="1860" spans="1:1" ht="15.75" customHeight="1" x14ac:dyDescent="0.15">
      <c r="A1860" s="2"/>
    </row>
    <row r="1861" spans="1:1" ht="15.75" customHeight="1" x14ac:dyDescent="0.15">
      <c r="A1861" s="2"/>
    </row>
    <row r="1862" spans="1:1" ht="15.75" customHeight="1" x14ac:dyDescent="0.15">
      <c r="A1862" s="2"/>
    </row>
    <row r="1863" spans="1:1" ht="15.75" customHeight="1" x14ac:dyDescent="0.15">
      <c r="A1863" s="2"/>
    </row>
    <row r="1864" spans="1:1" ht="15.75" customHeight="1" x14ac:dyDescent="0.15">
      <c r="A1864" s="2"/>
    </row>
    <row r="1865" spans="1:1" ht="15.75" customHeight="1" x14ac:dyDescent="0.15">
      <c r="A1865" s="2"/>
    </row>
    <row r="1866" spans="1:1" ht="15.75" customHeight="1" x14ac:dyDescent="0.15">
      <c r="A1866" s="2"/>
    </row>
    <row r="1867" spans="1:1" ht="15.75" customHeight="1" x14ac:dyDescent="0.15">
      <c r="A1867" s="2"/>
    </row>
    <row r="1868" spans="1:1" ht="15.75" customHeight="1" x14ac:dyDescent="0.15">
      <c r="A1868" s="2"/>
    </row>
    <row r="1869" spans="1:1" ht="15.75" customHeight="1" x14ac:dyDescent="0.15">
      <c r="A1869" s="2"/>
    </row>
    <row r="1870" spans="1:1" ht="15.75" customHeight="1" x14ac:dyDescent="0.15">
      <c r="A1870" s="2"/>
    </row>
    <row r="1871" spans="1:1" ht="15.75" customHeight="1" x14ac:dyDescent="0.15">
      <c r="A1871" s="2"/>
    </row>
    <row r="1872" spans="1:1" ht="15.75" customHeight="1" x14ac:dyDescent="0.15">
      <c r="A1872" s="2"/>
    </row>
    <row r="1873" spans="1:1" ht="15.75" customHeight="1" x14ac:dyDescent="0.15">
      <c r="A1873" s="2"/>
    </row>
    <row r="1874" spans="1:1" ht="15.75" customHeight="1" x14ac:dyDescent="0.15">
      <c r="A1874" s="2"/>
    </row>
    <row r="1875" spans="1:1" ht="15.75" customHeight="1" x14ac:dyDescent="0.15">
      <c r="A1875" s="2"/>
    </row>
    <row r="1876" spans="1:1" ht="15.75" customHeight="1" x14ac:dyDescent="0.15">
      <c r="A1876" s="2"/>
    </row>
    <row r="1877" spans="1:1" ht="15.75" customHeight="1" x14ac:dyDescent="0.15">
      <c r="A1877" s="2"/>
    </row>
    <row r="1878" spans="1:1" ht="15.75" customHeight="1" x14ac:dyDescent="0.15">
      <c r="A1878" s="2"/>
    </row>
    <row r="1879" spans="1:1" ht="15.75" customHeight="1" x14ac:dyDescent="0.15">
      <c r="A1879" s="2"/>
    </row>
    <row r="1880" spans="1:1" ht="15.75" customHeight="1" x14ac:dyDescent="0.15">
      <c r="A1880" s="2"/>
    </row>
    <row r="1881" spans="1:1" ht="15.75" customHeight="1" x14ac:dyDescent="0.15">
      <c r="A1881" s="2"/>
    </row>
    <row r="1882" spans="1:1" ht="15.75" customHeight="1" x14ac:dyDescent="0.15">
      <c r="A1882" s="2"/>
    </row>
    <row r="1883" spans="1:1" ht="15.75" customHeight="1" x14ac:dyDescent="0.15">
      <c r="A1883" s="2"/>
    </row>
    <row r="1884" spans="1:1" ht="15.75" customHeight="1" x14ac:dyDescent="0.15">
      <c r="A1884" s="2"/>
    </row>
    <row r="1885" spans="1:1" ht="15.75" customHeight="1" x14ac:dyDescent="0.15">
      <c r="A1885" s="2"/>
    </row>
    <row r="1886" spans="1:1" ht="15.75" customHeight="1" x14ac:dyDescent="0.15">
      <c r="A1886" s="2"/>
    </row>
    <row r="1887" spans="1:1" ht="15.75" customHeight="1" x14ac:dyDescent="0.15">
      <c r="A1887" s="2"/>
    </row>
    <row r="1888" spans="1:1" ht="15.75" customHeight="1" x14ac:dyDescent="0.15">
      <c r="A1888" s="2"/>
    </row>
    <row r="1889" spans="1:1" ht="15.75" customHeight="1" x14ac:dyDescent="0.15">
      <c r="A1889" s="2"/>
    </row>
    <row r="1890" spans="1:1" ht="15.75" customHeight="1" x14ac:dyDescent="0.15">
      <c r="A1890" s="2"/>
    </row>
    <row r="1891" spans="1:1" ht="15.75" customHeight="1" x14ac:dyDescent="0.15">
      <c r="A1891" s="2"/>
    </row>
    <row r="1892" spans="1:1" ht="15.75" customHeight="1" x14ac:dyDescent="0.15">
      <c r="A1892" s="2"/>
    </row>
    <row r="1893" spans="1:1" ht="15.75" customHeight="1" x14ac:dyDescent="0.15">
      <c r="A1893" s="2"/>
    </row>
    <row r="1894" spans="1:1" ht="15.75" customHeight="1" x14ac:dyDescent="0.15">
      <c r="A1894" s="2"/>
    </row>
    <row r="1895" spans="1:1" ht="15.75" customHeight="1" x14ac:dyDescent="0.15">
      <c r="A1895" s="2"/>
    </row>
    <row r="1896" spans="1:1" ht="15.75" customHeight="1" x14ac:dyDescent="0.15">
      <c r="A1896" s="2"/>
    </row>
    <row r="1897" spans="1:1" ht="15.75" customHeight="1" x14ac:dyDescent="0.15">
      <c r="A1897" s="2"/>
    </row>
    <row r="1898" spans="1:1" ht="15.75" customHeight="1" x14ac:dyDescent="0.15">
      <c r="A1898" s="2"/>
    </row>
    <row r="1899" spans="1:1" ht="15.75" customHeight="1" x14ac:dyDescent="0.15">
      <c r="A1899" s="2"/>
    </row>
    <row r="1900" spans="1:1" ht="15.75" customHeight="1" x14ac:dyDescent="0.15">
      <c r="A1900" s="2"/>
    </row>
    <row r="1901" spans="1:1" ht="15.75" customHeight="1" x14ac:dyDescent="0.15">
      <c r="A1901" s="2"/>
    </row>
    <row r="1902" spans="1:1" ht="15.75" customHeight="1" x14ac:dyDescent="0.15">
      <c r="A1902" s="2"/>
    </row>
    <row r="1903" spans="1:1" ht="15.75" customHeight="1" x14ac:dyDescent="0.15">
      <c r="A1903" s="2"/>
    </row>
    <row r="1904" spans="1:1" ht="15.75" customHeight="1" x14ac:dyDescent="0.15">
      <c r="A1904" s="2"/>
    </row>
    <row r="1905" spans="1:1" ht="15.75" customHeight="1" x14ac:dyDescent="0.15">
      <c r="A1905" s="2"/>
    </row>
    <row r="1906" spans="1:1" ht="15.75" customHeight="1" x14ac:dyDescent="0.15">
      <c r="A1906" s="2"/>
    </row>
    <row r="1907" spans="1:1" ht="15.75" customHeight="1" x14ac:dyDescent="0.15">
      <c r="A1907" s="2"/>
    </row>
    <row r="1908" spans="1:1" ht="15.75" customHeight="1" x14ac:dyDescent="0.15">
      <c r="A1908" s="2"/>
    </row>
    <row r="1909" spans="1:1" ht="15.75" customHeight="1" x14ac:dyDescent="0.15">
      <c r="A1909" s="2"/>
    </row>
    <row r="1910" spans="1:1" ht="15.75" customHeight="1" x14ac:dyDescent="0.15">
      <c r="A1910" s="2"/>
    </row>
    <row r="1911" spans="1:1" ht="15.75" customHeight="1" x14ac:dyDescent="0.15">
      <c r="A1911" s="2"/>
    </row>
    <row r="1912" spans="1:1" ht="15.75" customHeight="1" x14ac:dyDescent="0.15">
      <c r="A1912" s="2"/>
    </row>
    <row r="1913" spans="1:1" ht="15.75" customHeight="1" x14ac:dyDescent="0.15">
      <c r="A1913" s="2"/>
    </row>
    <row r="1914" spans="1:1" ht="15.75" customHeight="1" x14ac:dyDescent="0.15">
      <c r="A1914" s="2"/>
    </row>
    <row r="1915" spans="1:1" ht="15.75" customHeight="1" x14ac:dyDescent="0.15">
      <c r="A1915" s="2"/>
    </row>
    <row r="1916" spans="1:1" ht="15.75" customHeight="1" x14ac:dyDescent="0.15">
      <c r="A1916" s="2"/>
    </row>
    <row r="1917" spans="1:1" ht="15.75" customHeight="1" x14ac:dyDescent="0.15">
      <c r="A1917" s="2"/>
    </row>
    <row r="1918" spans="1:1" ht="15.75" customHeight="1" x14ac:dyDescent="0.15">
      <c r="A1918" s="2"/>
    </row>
    <row r="1919" spans="1:1" ht="15.75" customHeight="1" x14ac:dyDescent="0.15">
      <c r="A1919" s="2"/>
    </row>
    <row r="1920" spans="1:1" ht="15.75" customHeight="1" x14ac:dyDescent="0.15">
      <c r="A1920" s="2"/>
    </row>
    <row r="1921" spans="1:1" ht="15.75" customHeight="1" x14ac:dyDescent="0.15">
      <c r="A1921" s="2"/>
    </row>
    <row r="1922" spans="1:1" ht="15.75" customHeight="1" x14ac:dyDescent="0.15">
      <c r="A1922" s="2"/>
    </row>
    <row r="1923" spans="1:1" ht="15.75" customHeight="1" x14ac:dyDescent="0.15">
      <c r="A1923" s="2"/>
    </row>
    <row r="1924" spans="1:1" ht="15.75" customHeight="1" x14ac:dyDescent="0.15">
      <c r="A1924" s="2"/>
    </row>
    <row r="1925" spans="1:1" ht="15.75" customHeight="1" x14ac:dyDescent="0.15">
      <c r="A1925" s="2"/>
    </row>
    <row r="1926" spans="1:1" ht="15.75" customHeight="1" x14ac:dyDescent="0.15">
      <c r="A1926" s="2"/>
    </row>
    <row r="1927" spans="1:1" ht="15.75" customHeight="1" x14ac:dyDescent="0.15">
      <c r="A1927" s="2"/>
    </row>
    <row r="1928" spans="1:1" ht="15.75" customHeight="1" x14ac:dyDescent="0.15">
      <c r="A1928" s="2"/>
    </row>
    <row r="1929" spans="1:1" ht="15.75" customHeight="1" x14ac:dyDescent="0.15">
      <c r="A1929" s="2"/>
    </row>
    <row r="1930" spans="1:1" ht="15.75" customHeight="1" x14ac:dyDescent="0.15">
      <c r="A1930" s="2"/>
    </row>
    <row r="1931" spans="1:1" ht="15.75" customHeight="1" x14ac:dyDescent="0.15">
      <c r="A1931" s="2"/>
    </row>
    <row r="1932" spans="1:1" ht="15.75" customHeight="1" x14ac:dyDescent="0.15">
      <c r="A1932" s="2"/>
    </row>
    <row r="1933" spans="1:1" ht="15.75" customHeight="1" x14ac:dyDescent="0.15">
      <c r="A1933" s="2"/>
    </row>
    <row r="1934" spans="1:1" ht="15.75" customHeight="1" x14ac:dyDescent="0.15">
      <c r="A1934" s="2"/>
    </row>
    <row r="1935" spans="1:1" ht="15.75" customHeight="1" x14ac:dyDescent="0.15">
      <c r="A1935" s="2"/>
    </row>
    <row r="1936" spans="1:1" ht="15.75" customHeight="1" x14ac:dyDescent="0.15">
      <c r="A1936" s="2"/>
    </row>
    <row r="1937" spans="1:1" ht="15.75" customHeight="1" x14ac:dyDescent="0.15">
      <c r="A1937" s="2"/>
    </row>
    <row r="1938" spans="1:1" ht="15.75" customHeight="1" x14ac:dyDescent="0.15">
      <c r="A1938" s="2"/>
    </row>
    <row r="1939" spans="1:1" ht="15.75" customHeight="1" x14ac:dyDescent="0.15">
      <c r="A1939" s="2"/>
    </row>
    <row r="1940" spans="1:1" ht="15.75" customHeight="1" x14ac:dyDescent="0.15">
      <c r="A1940" s="2"/>
    </row>
    <row r="1941" spans="1:1" ht="15.75" customHeight="1" x14ac:dyDescent="0.15">
      <c r="A1941" s="2"/>
    </row>
    <row r="1942" spans="1:1" ht="15.75" customHeight="1" x14ac:dyDescent="0.15">
      <c r="A1942" s="2"/>
    </row>
    <row r="1943" spans="1:1" ht="15.75" customHeight="1" x14ac:dyDescent="0.15">
      <c r="A1943" s="2"/>
    </row>
    <row r="1944" spans="1:1" ht="15.75" customHeight="1" x14ac:dyDescent="0.15">
      <c r="A1944" s="2"/>
    </row>
    <row r="1945" spans="1:1" ht="15.75" customHeight="1" x14ac:dyDescent="0.15">
      <c r="A1945" s="2"/>
    </row>
    <row r="1946" spans="1:1" ht="15.75" customHeight="1" x14ac:dyDescent="0.15">
      <c r="A1946" s="2"/>
    </row>
    <row r="1947" spans="1:1" ht="15.75" customHeight="1" x14ac:dyDescent="0.15">
      <c r="A1947" s="2"/>
    </row>
    <row r="1948" spans="1:1" ht="15.75" customHeight="1" x14ac:dyDescent="0.15">
      <c r="A1948" s="2"/>
    </row>
    <row r="1949" spans="1:1" ht="15.75" customHeight="1" x14ac:dyDescent="0.15">
      <c r="A1949" s="2"/>
    </row>
    <row r="1950" spans="1:1" ht="15.75" customHeight="1" x14ac:dyDescent="0.15">
      <c r="A1950" s="2"/>
    </row>
    <row r="1951" spans="1:1" ht="15.75" customHeight="1" x14ac:dyDescent="0.15">
      <c r="A1951" s="2"/>
    </row>
    <row r="1952" spans="1:1" ht="15.75" customHeight="1" x14ac:dyDescent="0.15">
      <c r="A1952" s="2"/>
    </row>
    <row r="1953" spans="1:1" ht="15.75" customHeight="1" x14ac:dyDescent="0.15">
      <c r="A1953" s="2"/>
    </row>
    <row r="1954" spans="1:1" ht="15.75" customHeight="1" x14ac:dyDescent="0.15">
      <c r="A1954" s="2"/>
    </row>
    <row r="1955" spans="1:1" ht="15.75" customHeight="1" x14ac:dyDescent="0.15">
      <c r="A1955" s="2"/>
    </row>
    <row r="1956" spans="1:1" ht="15.75" customHeight="1" x14ac:dyDescent="0.15">
      <c r="A1956" s="2"/>
    </row>
    <row r="1957" spans="1:1" ht="15.75" customHeight="1" x14ac:dyDescent="0.15">
      <c r="A1957" s="2"/>
    </row>
    <row r="1958" spans="1:1" ht="15.75" customHeight="1" x14ac:dyDescent="0.15">
      <c r="A1958" s="2"/>
    </row>
    <row r="1959" spans="1:1" ht="15.75" customHeight="1" x14ac:dyDescent="0.15">
      <c r="A1959" s="2"/>
    </row>
    <row r="1960" spans="1:1" ht="15.75" customHeight="1" x14ac:dyDescent="0.15">
      <c r="A1960" s="2"/>
    </row>
    <row r="1961" spans="1:1" ht="15.75" customHeight="1" x14ac:dyDescent="0.15">
      <c r="A1961" s="2"/>
    </row>
    <row r="1962" spans="1:1" ht="15.75" customHeight="1" x14ac:dyDescent="0.15">
      <c r="A1962" s="2"/>
    </row>
    <row r="1963" spans="1:1" ht="15.75" customHeight="1" x14ac:dyDescent="0.15">
      <c r="A1963" s="2"/>
    </row>
    <row r="1964" spans="1:1" ht="15.75" customHeight="1" x14ac:dyDescent="0.15">
      <c r="A1964" s="2"/>
    </row>
    <row r="1965" spans="1:1" ht="15.75" customHeight="1" x14ac:dyDescent="0.15">
      <c r="A1965" s="2"/>
    </row>
    <row r="1966" spans="1:1" ht="15.75" customHeight="1" x14ac:dyDescent="0.15">
      <c r="A1966" s="2"/>
    </row>
    <row r="1967" spans="1:1" ht="15.75" customHeight="1" x14ac:dyDescent="0.15">
      <c r="A1967" s="2"/>
    </row>
    <row r="1968" spans="1:1" ht="15.75" customHeight="1" x14ac:dyDescent="0.15">
      <c r="A1968" s="2"/>
    </row>
    <row r="1969" spans="1:1" ht="15.75" customHeight="1" x14ac:dyDescent="0.15">
      <c r="A1969" s="2"/>
    </row>
    <row r="1970" spans="1:1" ht="15.75" customHeight="1" x14ac:dyDescent="0.15">
      <c r="A1970" s="2"/>
    </row>
    <row r="1971" spans="1:1" ht="15.75" customHeight="1" x14ac:dyDescent="0.15">
      <c r="A1971" s="2"/>
    </row>
    <row r="1972" spans="1:1" ht="15.75" customHeight="1" x14ac:dyDescent="0.15">
      <c r="A1972" s="2"/>
    </row>
    <row r="1973" spans="1:1" ht="15.75" customHeight="1" x14ac:dyDescent="0.15">
      <c r="A1973" s="2"/>
    </row>
    <row r="1974" spans="1:1" ht="15.75" customHeight="1" x14ac:dyDescent="0.15">
      <c r="A1974" s="2"/>
    </row>
    <row r="1975" spans="1:1" ht="15.75" customHeight="1" x14ac:dyDescent="0.15">
      <c r="A1975" s="2"/>
    </row>
    <row r="1976" spans="1:1" ht="15.75" customHeight="1" x14ac:dyDescent="0.15">
      <c r="A1976" s="2"/>
    </row>
    <row r="1977" spans="1:1" ht="15.75" customHeight="1" x14ac:dyDescent="0.15">
      <c r="A1977" s="2"/>
    </row>
    <row r="1978" spans="1:1" ht="15.75" customHeight="1" x14ac:dyDescent="0.15">
      <c r="A1978" s="2"/>
    </row>
    <row r="1979" spans="1:1" ht="15.75" customHeight="1" x14ac:dyDescent="0.15">
      <c r="A1979" s="2"/>
    </row>
    <row r="1980" spans="1:1" ht="15.75" customHeight="1" x14ac:dyDescent="0.15">
      <c r="A1980" s="2"/>
    </row>
    <row r="1981" spans="1:1" ht="15.75" customHeight="1" x14ac:dyDescent="0.15">
      <c r="A1981" s="2"/>
    </row>
    <row r="1982" spans="1:1" ht="15.75" customHeight="1" x14ac:dyDescent="0.15">
      <c r="A1982" s="2"/>
    </row>
    <row r="1983" spans="1:1" ht="15.75" customHeight="1" x14ac:dyDescent="0.15">
      <c r="A1983" s="2"/>
    </row>
    <row r="1984" spans="1:1" ht="15.75" customHeight="1" x14ac:dyDescent="0.15">
      <c r="A1984" s="2"/>
    </row>
    <row r="1985" spans="1:1" ht="15.75" customHeight="1" x14ac:dyDescent="0.15">
      <c r="A1985" s="2"/>
    </row>
    <row r="1986" spans="1:1" ht="15.75" customHeight="1" x14ac:dyDescent="0.15">
      <c r="A1986" s="2"/>
    </row>
    <row r="1987" spans="1:1" ht="15.75" customHeight="1" x14ac:dyDescent="0.15">
      <c r="A1987" s="2"/>
    </row>
    <row r="1988" spans="1:1" ht="15.75" customHeight="1" x14ac:dyDescent="0.15">
      <c r="A1988" s="2"/>
    </row>
    <row r="1989" spans="1:1" ht="15.75" customHeight="1" x14ac:dyDescent="0.15">
      <c r="A1989" s="2"/>
    </row>
    <row r="1990" spans="1:1" ht="15.75" customHeight="1" x14ac:dyDescent="0.15">
      <c r="A1990" s="2"/>
    </row>
    <row r="1991" spans="1:1" ht="15.75" customHeight="1" x14ac:dyDescent="0.15">
      <c r="A1991" s="2"/>
    </row>
    <row r="1992" spans="1:1" ht="15.75" customHeight="1" x14ac:dyDescent="0.15">
      <c r="A1992" s="2"/>
    </row>
    <row r="1993" spans="1:1" ht="15.75" customHeight="1" x14ac:dyDescent="0.15">
      <c r="A1993" s="2"/>
    </row>
    <row r="1994" spans="1:1" ht="15.75" customHeight="1" x14ac:dyDescent="0.15">
      <c r="A1994" s="2"/>
    </row>
    <row r="1995" spans="1:1" ht="15.75" customHeight="1" x14ac:dyDescent="0.15">
      <c r="A1995" s="2"/>
    </row>
    <row r="1996" spans="1:1" ht="15.75" customHeight="1" x14ac:dyDescent="0.15">
      <c r="A1996" s="2"/>
    </row>
    <row r="1997" spans="1:1" ht="15.75" customHeight="1" x14ac:dyDescent="0.15">
      <c r="A1997" s="2"/>
    </row>
    <row r="1998" spans="1:1" ht="15.75" customHeight="1" x14ac:dyDescent="0.15">
      <c r="A1998" s="2"/>
    </row>
    <row r="1999" spans="1:1" ht="15.75" customHeight="1" x14ac:dyDescent="0.15">
      <c r="A1999" s="2"/>
    </row>
    <row r="2000" spans="1:1" ht="15.75" customHeight="1" x14ac:dyDescent="0.15">
      <c r="A2000" s="2"/>
    </row>
    <row r="2001" spans="1:1" ht="15.75" customHeight="1" x14ac:dyDescent="0.15">
      <c r="A2001" s="2"/>
    </row>
    <row r="2002" spans="1:1" ht="15.75" customHeight="1" x14ac:dyDescent="0.15">
      <c r="A2002" s="2"/>
    </row>
    <row r="2003" spans="1:1" ht="15.75" customHeight="1" x14ac:dyDescent="0.15">
      <c r="A2003" s="2"/>
    </row>
    <row r="2004" spans="1:1" ht="15.75" customHeight="1" x14ac:dyDescent="0.15">
      <c r="A2004" s="2"/>
    </row>
    <row r="2005" spans="1:1" ht="15.75" customHeight="1" x14ac:dyDescent="0.15">
      <c r="A2005" s="2"/>
    </row>
    <row r="2006" spans="1:1" ht="15.75" customHeight="1" x14ac:dyDescent="0.15">
      <c r="A2006" s="2"/>
    </row>
    <row r="2007" spans="1:1" ht="15.75" customHeight="1" x14ac:dyDescent="0.15">
      <c r="A2007" s="2"/>
    </row>
    <row r="2008" spans="1:1" ht="15.75" customHeight="1" x14ac:dyDescent="0.15">
      <c r="A2008" s="2"/>
    </row>
    <row r="2009" spans="1:1" ht="15.75" customHeight="1" x14ac:dyDescent="0.15">
      <c r="A2009" s="2"/>
    </row>
    <row r="2010" spans="1:1" ht="15.75" customHeight="1" x14ac:dyDescent="0.15">
      <c r="A2010" s="2"/>
    </row>
    <row r="2011" spans="1:1" ht="15.75" customHeight="1" x14ac:dyDescent="0.15">
      <c r="A2011" s="2"/>
    </row>
    <row r="2012" spans="1:1" ht="15.75" customHeight="1" x14ac:dyDescent="0.15">
      <c r="A2012" s="2"/>
    </row>
    <row r="2013" spans="1:1" ht="15.75" customHeight="1" x14ac:dyDescent="0.15">
      <c r="A2013" s="2"/>
    </row>
    <row r="2014" spans="1:1" ht="15.75" customHeight="1" x14ac:dyDescent="0.15">
      <c r="A2014" s="2"/>
    </row>
    <row r="2015" spans="1:1" ht="15.75" customHeight="1" x14ac:dyDescent="0.15">
      <c r="A2015" s="2"/>
    </row>
    <row r="2016" spans="1:1" ht="15.75" customHeight="1" x14ac:dyDescent="0.15">
      <c r="A2016" s="2"/>
    </row>
    <row r="2017" spans="1:1" ht="15.75" customHeight="1" x14ac:dyDescent="0.15">
      <c r="A2017" s="2"/>
    </row>
    <row r="2018" spans="1:1" ht="15.75" customHeight="1" x14ac:dyDescent="0.15">
      <c r="A2018" s="2"/>
    </row>
    <row r="2019" spans="1:1" ht="15.75" customHeight="1" x14ac:dyDescent="0.15">
      <c r="A2019" s="2"/>
    </row>
    <row r="2020" spans="1:1" ht="15.75" customHeight="1" x14ac:dyDescent="0.15">
      <c r="A2020" s="2"/>
    </row>
    <row r="2021" spans="1:1" ht="15.75" customHeight="1" x14ac:dyDescent="0.15">
      <c r="A2021" s="2"/>
    </row>
    <row r="2022" spans="1:1" ht="15.75" customHeight="1" x14ac:dyDescent="0.15">
      <c r="A2022" s="2"/>
    </row>
    <row r="2023" spans="1:1" ht="15.75" customHeight="1" x14ac:dyDescent="0.15">
      <c r="A2023" s="2"/>
    </row>
    <row r="2024" spans="1:1" ht="15.75" customHeight="1" x14ac:dyDescent="0.15">
      <c r="A2024" s="2"/>
    </row>
    <row r="2025" spans="1:1" ht="15.75" customHeight="1" x14ac:dyDescent="0.15">
      <c r="A2025" s="2"/>
    </row>
    <row r="2026" spans="1:1" ht="15.75" customHeight="1" x14ac:dyDescent="0.15">
      <c r="A2026" s="2"/>
    </row>
    <row r="2027" spans="1:1" ht="15.75" customHeight="1" x14ac:dyDescent="0.15">
      <c r="A2027" s="2"/>
    </row>
    <row r="2028" spans="1:1" ht="15.75" customHeight="1" x14ac:dyDescent="0.15">
      <c r="A2028" s="2"/>
    </row>
    <row r="2029" spans="1:1" ht="15.75" customHeight="1" x14ac:dyDescent="0.15">
      <c r="A2029" s="2"/>
    </row>
    <row r="2030" spans="1:1" ht="15.75" customHeight="1" x14ac:dyDescent="0.15">
      <c r="A2030" s="2"/>
    </row>
    <row r="2031" spans="1:1" ht="15.75" customHeight="1" x14ac:dyDescent="0.15">
      <c r="A2031" s="2"/>
    </row>
    <row r="2032" spans="1:1" ht="15.75" customHeight="1" x14ac:dyDescent="0.15">
      <c r="A2032" s="2"/>
    </row>
    <row r="2033" spans="1:1" ht="15.75" customHeight="1" x14ac:dyDescent="0.15">
      <c r="A2033" s="2"/>
    </row>
    <row r="2034" spans="1:1" ht="15.75" customHeight="1" x14ac:dyDescent="0.15">
      <c r="A2034" s="2"/>
    </row>
    <row r="2035" spans="1:1" ht="15.75" customHeight="1" x14ac:dyDescent="0.15">
      <c r="A2035" s="2"/>
    </row>
    <row r="2036" spans="1:1" ht="15.75" customHeight="1" x14ac:dyDescent="0.15">
      <c r="A2036" s="2"/>
    </row>
    <row r="2037" spans="1:1" ht="15.75" customHeight="1" x14ac:dyDescent="0.15">
      <c r="A2037" s="2"/>
    </row>
    <row r="2038" spans="1:1" ht="15.75" customHeight="1" x14ac:dyDescent="0.15">
      <c r="A2038" s="2"/>
    </row>
    <row r="2039" spans="1:1" ht="15.75" customHeight="1" x14ac:dyDescent="0.15">
      <c r="A2039" s="2"/>
    </row>
    <row r="2040" spans="1:1" ht="15.75" customHeight="1" x14ac:dyDescent="0.15">
      <c r="A2040" s="2"/>
    </row>
    <row r="2041" spans="1:1" ht="15.75" customHeight="1" x14ac:dyDescent="0.15">
      <c r="A2041" s="2"/>
    </row>
    <row r="2042" spans="1:1" ht="15.75" customHeight="1" x14ac:dyDescent="0.15">
      <c r="A2042" s="2"/>
    </row>
    <row r="2043" spans="1:1" ht="15.75" customHeight="1" x14ac:dyDescent="0.15">
      <c r="A2043" s="2"/>
    </row>
    <row r="2044" spans="1:1" ht="15.75" customHeight="1" x14ac:dyDescent="0.15">
      <c r="A2044" s="2"/>
    </row>
    <row r="2045" spans="1:1" ht="15.75" customHeight="1" x14ac:dyDescent="0.15">
      <c r="A2045" s="2"/>
    </row>
    <row r="2046" spans="1:1" ht="15.75" customHeight="1" x14ac:dyDescent="0.15">
      <c r="A2046" s="2"/>
    </row>
    <row r="2047" spans="1:1" ht="15.75" customHeight="1" x14ac:dyDescent="0.15">
      <c r="A2047" s="2"/>
    </row>
    <row r="2048" spans="1:1" ht="15.75" customHeight="1" x14ac:dyDescent="0.15">
      <c r="A2048" s="2"/>
    </row>
    <row r="2049" spans="1:1" ht="15.75" customHeight="1" x14ac:dyDescent="0.15">
      <c r="A2049" s="2"/>
    </row>
    <row r="2050" spans="1:1" ht="15.75" customHeight="1" x14ac:dyDescent="0.15">
      <c r="A2050" s="2"/>
    </row>
    <row r="2051" spans="1:1" ht="15.75" customHeight="1" x14ac:dyDescent="0.15">
      <c r="A2051" s="2"/>
    </row>
    <row r="2052" spans="1:1" ht="15.75" customHeight="1" x14ac:dyDescent="0.15">
      <c r="A2052" s="2"/>
    </row>
    <row r="2053" spans="1:1" ht="15.75" customHeight="1" x14ac:dyDescent="0.15">
      <c r="A2053" s="2"/>
    </row>
    <row r="2054" spans="1:1" ht="15.75" customHeight="1" x14ac:dyDescent="0.15">
      <c r="A2054" s="2"/>
    </row>
    <row r="2055" spans="1:1" ht="15.75" customHeight="1" x14ac:dyDescent="0.15">
      <c r="A2055" s="2"/>
    </row>
    <row r="2056" spans="1:1" ht="15.75" customHeight="1" x14ac:dyDescent="0.15">
      <c r="A2056" s="2"/>
    </row>
    <row r="2057" spans="1:1" ht="15.75" customHeight="1" x14ac:dyDescent="0.15">
      <c r="A2057" s="2"/>
    </row>
    <row r="2058" spans="1:1" ht="15.75" customHeight="1" x14ac:dyDescent="0.15">
      <c r="A2058" s="2"/>
    </row>
    <row r="2059" spans="1:1" ht="15.75" customHeight="1" x14ac:dyDescent="0.15">
      <c r="A2059" s="2"/>
    </row>
    <row r="2060" spans="1:1" ht="15.75" customHeight="1" x14ac:dyDescent="0.15">
      <c r="A2060" s="2"/>
    </row>
    <row r="2061" spans="1:1" ht="15.75" customHeight="1" x14ac:dyDescent="0.15">
      <c r="A2061" s="2"/>
    </row>
    <row r="2062" spans="1:1" ht="15.75" customHeight="1" x14ac:dyDescent="0.15">
      <c r="A2062" s="2"/>
    </row>
    <row r="2063" spans="1:1" ht="15.75" customHeight="1" x14ac:dyDescent="0.15">
      <c r="A2063" s="2"/>
    </row>
    <row r="2064" spans="1:1" ht="15.75" customHeight="1" x14ac:dyDescent="0.15">
      <c r="A2064" s="2"/>
    </row>
    <row r="2065" spans="1:1" ht="15.75" customHeight="1" x14ac:dyDescent="0.15">
      <c r="A2065" s="2"/>
    </row>
    <row r="2066" spans="1:1" ht="15.75" customHeight="1" x14ac:dyDescent="0.15">
      <c r="A2066" s="2"/>
    </row>
    <row r="2067" spans="1:1" ht="15.75" customHeight="1" x14ac:dyDescent="0.15">
      <c r="A2067" s="2"/>
    </row>
    <row r="2068" spans="1:1" ht="15.75" customHeight="1" x14ac:dyDescent="0.15">
      <c r="A2068" s="2"/>
    </row>
    <row r="2069" spans="1:1" ht="15.75" customHeight="1" x14ac:dyDescent="0.15">
      <c r="A2069" s="2"/>
    </row>
    <row r="2070" spans="1:1" ht="15.75" customHeight="1" x14ac:dyDescent="0.15">
      <c r="A2070" s="2"/>
    </row>
    <row r="2071" spans="1:1" ht="15.75" customHeight="1" x14ac:dyDescent="0.15">
      <c r="A2071" s="2"/>
    </row>
    <row r="2072" spans="1:1" ht="15.75" customHeight="1" x14ac:dyDescent="0.15">
      <c r="A2072" s="2"/>
    </row>
    <row r="2073" spans="1:1" ht="15.75" customHeight="1" x14ac:dyDescent="0.15">
      <c r="A2073" s="2"/>
    </row>
    <row r="2074" spans="1:1" ht="15.75" customHeight="1" x14ac:dyDescent="0.15">
      <c r="A2074" s="2"/>
    </row>
    <row r="2075" spans="1:1" ht="15.75" customHeight="1" x14ac:dyDescent="0.15">
      <c r="A2075" s="2"/>
    </row>
    <row r="2076" spans="1:1" ht="15.75" customHeight="1" x14ac:dyDescent="0.15">
      <c r="A2076" s="2"/>
    </row>
    <row r="2077" spans="1:1" ht="15.75" customHeight="1" x14ac:dyDescent="0.15">
      <c r="A2077" s="2"/>
    </row>
    <row r="2078" spans="1:1" ht="15.75" customHeight="1" x14ac:dyDescent="0.15">
      <c r="A2078" s="2"/>
    </row>
    <row r="2079" spans="1:1" ht="15.75" customHeight="1" x14ac:dyDescent="0.15">
      <c r="A2079" s="2"/>
    </row>
    <row r="2080" spans="1:1" ht="15.75" customHeight="1" x14ac:dyDescent="0.15">
      <c r="A2080" s="2"/>
    </row>
    <row r="2081" spans="1:1" ht="15.75" customHeight="1" x14ac:dyDescent="0.15">
      <c r="A2081" s="2"/>
    </row>
    <row r="2082" spans="1:1" ht="15.75" customHeight="1" x14ac:dyDescent="0.15">
      <c r="A2082" s="2"/>
    </row>
    <row r="2083" spans="1:1" ht="15.75" customHeight="1" x14ac:dyDescent="0.15">
      <c r="A2083" s="2"/>
    </row>
    <row r="2084" spans="1:1" ht="15.75" customHeight="1" x14ac:dyDescent="0.15">
      <c r="A2084" s="2"/>
    </row>
    <row r="2085" spans="1:1" ht="15.75" customHeight="1" x14ac:dyDescent="0.15">
      <c r="A2085" s="2"/>
    </row>
    <row r="2086" spans="1:1" ht="15.75" customHeight="1" x14ac:dyDescent="0.15">
      <c r="A2086" s="2"/>
    </row>
    <row r="2087" spans="1:1" ht="15.75" customHeight="1" x14ac:dyDescent="0.15">
      <c r="A2087" s="2"/>
    </row>
    <row r="2088" spans="1:1" ht="15.75" customHeight="1" x14ac:dyDescent="0.15">
      <c r="A2088" s="2"/>
    </row>
    <row r="2089" spans="1:1" ht="15.75" customHeight="1" x14ac:dyDescent="0.15">
      <c r="A2089" s="2"/>
    </row>
    <row r="2090" spans="1:1" ht="15.75" customHeight="1" x14ac:dyDescent="0.15">
      <c r="A2090" s="2"/>
    </row>
    <row r="2091" spans="1:1" ht="15.75" customHeight="1" x14ac:dyDescent="0.15">
      <c r="A2091" s="2"/>
    </row>
    <row r="2092" spans="1:1" ht="15.75" customHeight="1" x14ac:dyDescent="0.15">
      <c r="A2092" s="2"/>
    </row>
    <row r="2093" spans="1:1" ht="15.75" customHeight="1" x14ac:dyDescent="0.15">
      <c r="A2093" s="2"/>
    </row>
    <row r="2094" spans="1:1" ht="15.75" customHeight="1" x14ac:dyDescent="0.15">
      <c r="A2094" s="2"/>
    </row>
    <row r="2095" spans="1:1" ht="15.75" customHeight="1" x14ac:dyDescent="0.15">
      <c r="A2095" s="2"/>
    </row>
    <row r="2096" spans="1:1" ht="15.75" customHeight="1" x14ac:dyDescent="0.15">
      <c r="A2096" s="2"/>
    </row>
    <row r="2097" spans="1:1" ht="15.75" customHeight="1" x14ac:dyDescent="0.15">
      <c r="A2097" s="2"/>
    </row>
    <row r="2098" spans="1:1" ht="15.75" customHeight="1" x14ac:dyDescent="0.15">
      <c r="A2098" s="2"/>
    </row>
    <row r="2099" spans="1:1" ht="15.75" customHeight="1" x14ac:dyDescent="0.15">
      <c r="A2099" s="2"/>
    </row>
    <row r="2100" spans="1:1" ht="15.75" customHeight="1" x14ac:dyDescent="0.15">
      <c r="A2100" s="2"/>
    </row>
    <row r="2101" spans="1:1" ht="15.75" customHeight="1" x14ac:dyDescent="0.15">
      <c r="A2101" s="2"/>
    </row>
    <row r="2102" spans="1:1" ht="15.75" customHeight="1" x14ac:dyDescent="0.15">
      <c r="A2102" s="2"/>
    </row>
    <row r="2103" spans="1:1" ht="15.75" customHeight="1" x14ac:dyDescent="0.15">
      <c r="A2103" s="2"/>
    </row>
    <row r="2104" spans="1:1" ht="15.75" customHeight="1" x14ac:dyDescent="0.15">
      <c r="A2104" s="2"/>
    </row>
    <row r="2105" spans="1:1" ht="15.75" customHeight="1" x14ac:dyDescent="0.15">
      <c r="A2105" s="2"/>
    </row>
    <row r="2106" spans="1:1" ht="15.75" customHeight="1" x14ac:dyDescent="0.15">
      <c r="A2106" s="2"/>
    </row>
    <row r="2107" spans="1:1" ht="15.75" customHeight="1" x14ac:dyDescent="0.15">
      <c r="A2107" s="2"/>
    </row>
    <row r="2108" spans="1:1" ht="15.75" customHeight="1" x14ac:dyDescent="0.15">
      <c r="A2108" s="2"/>
    </row>
    <row r="2109" spans="1:1" ht="15.75" customHeight="1" x14ac:dyDescent="0.15">
      <c r="A2109" s="2"/>
    </row>
    <row r="2110" spans="1:1" ht="15.75" customHeight="1" x14ac:dyDescent="0.15">
      <c r="A2110" s="2"/>
    </row>
    <row r="2111" spans="1:1" ht="15.75" customHeight="1" x14ac:dyDescent="0.15">
      <c r="A2111" s="2"/>
    </row>
    <row r="2112" spans="1:1" ht="15.75" customHeight="1" x14ac:dyDescent="0.15">
      <c r="A2112" s="2"/>
    </row>
    <row r="2113" spans="1:1" ht="15.75" customHeight="1" x14ac:dyDescent="0.15">
      <c r="A2113" s="2"/>
    </row>
    <row r="2114" spans="1:1" ht="15.75" customHeight="1" x14ac:dyDescent="0.15">
      <c r="A2114" s="2"/>
    </row>
    <row r="2115" spans="1:1" ht="15.75" customHeight="1" x14ac:dyDescent="0.15">
      <c r="A2115" s="2"/>
    </row>
    <row r="2116" spans="1:1" ht="15.75" customHeight="1" x14ac:dyDescent="0.15">
      <c r="A2116" s="2"/>
    </row>
    <row r="2117" spans="1:1" ht="15.75" customHeight="1" x14ac:dyDescent="0.15">
      <c r="A2117" s="2"/>
    </row>
    <row r="2118" spans="1:1" ht="15.75" customHeight="1" x14ac:dyDescent="0.15">
      <c r="A2118" s="2"/>
    </row>
    <row r="2119" spans="1:1" ht="15.75" customHeight="1" x14ac:dyDescent="0.15">
      <c r="A2119" s="2"/>
    </row>
    <row r="2120" spans="1:1" ht="15.75" customHeight="1" x14ac:dyDescent="0.15">
      <c r="A2120" s="2"/>
    </row>
    <row r="2121" spans="1:1" ht="15.75" customHeight="1" x14ac:dyDescent="0.15">
      <c r="A2121" s="2"/>
    </row>
    <row r="2122" spans="1:1" ht="15.75" customHeight="1" x14ac:dyDescent="0.15">
      <c r="A2122" s="2"/>
    </row>
    <row r="2123" spans="1:1" ht="15.75" customHeight="1" x14ac:dyDescent="0.15">
      <c r="A2123" s="2"/>
    </row>
    <row r="2124" spans="1:1" ht="15.75" customHeight="1" x14ac:dyDescent="0.15">
      <c r="A2124" s="2"/>
    </row>
    <row r="2125" spans="1:1" ht="15.75" customHeight="1" x14ac:dyDescent="0.15">
      <c r="A2125" s="2"/>
    </row>
    <row r="2126" spans="1:1" ht="15.75" customHeight="1" x14ac:dyDescent="0.15">
      <c r="A2126" s="2"/>
    </row>
    <row r="2127" spans="1:1" ht="15.75" customHeight="1" x14ac:dyDescent="0.15">
      <c r="A2127" s="2"/>
    </row>
    <row r="2128" spans="1:1" ht="15.75" customHeight="1" x14ac:dyDescent="0.15">
      <c r="A2128" s="2"/>
    </row>
    <row r="2129" spans="1:1" ht="15.75" customHeight="1" x14ac:dyDescent="0.15">
      <c r="A2129" s="2"/>
    </row>
    <row r="2130" spans="1:1" ht="15.75" customHeight="1" x14ac:dyDescent="0.15">
      <c r="A2130" s="2"/>
    </row>
    <row r="2131" spans="1:1" ht="15.75" customHeight="1" x14ac:dyDescent="0.15">
      <c r="A2131" s="2"/>
    </row>
    <row r="2132" spans="1:1" ht="15.75" customHeight="1" x14ac:dyDescent="0.15">
      <c r="A2132" s="2"/>
    </row>
    <row r="2133" spans="1:1" ht="15.75" customHeight="1" x14ac:dyDescent="0.15">
      <c r="A2133" s="2"/>
    </row>
    <row r="2134" spans="1:1" ht="15.75" customHeight="1" x14ac:dyDescent="0.15">
      <c r="A2134" s="2"/>
    </row>
    <row r="2135" spans="1:1" ht="15.75" customHeight="1" x14ac:dyDescent="0.15">
      <c r="A2135" s="2"/>
    </row>
    <row r="2136" spans="1:1" ht="15.75" customHeight="1" x14ac:dyDescent="0.15">
      <c r="A2136" s="2"/>
    </row>
    <row r="2137" spans="1:1" ht="15.75" customHeight="1" x14ac:dyDescent="0.15">
      <c r="A2137" s="2"/>
    </row>
    <row r="2138" spans="1:1" ht="15.75" customHeight="1" x14ac:dyDescent="0.15">
      <c r="A2138" s="2"/>
    </row>
    <row r="2139" spans="1:1" ht="15.75" customHeight="1" x14ac:dyDescent="0.15">
      <c r="A2139" s="2"/>
    </row>
    <row r="2140" spans="1:1" ht="15.75" customHeight="1" x14ac:dyDescent="0.15">
      <c r="A2140" s="2"/>
    </row>
    <row r="2141" spans="1:1" ht="15.75" customHeight="1" x14ac:dyDescent="0.15">
      <c r="A2141" s="2"/>
    </row>
    <row r="2142" spans="1:1" ht="15.75" customHeight="1" x14ac:dyDescent="0.15">
      <c r="A2142" s="2"/>
    </row>
    <row r="2143" spans="1:1" ht="15.75" customHeight="1" x14ac:dyDescent="0.15">
      <c r="A2143" s="2"/>
    </row>
    <row r="2144" spans="1:1" ht="15.75" customHeight="1" x14ac:dyDescent="0.15">
      <c r="A2144" s="2"/>
    </row>
    <row r="2145" spans="1:1" ht="15.75" customHeight="1" x14ac:dyDescent="0.15">
      <c r="A2145" s="2"/>
    </row>
    <row r="2146" spans="1:1" ht="15.75" customHeight="1" x14ac:dyDescent="0.15">
      <c r="A2146" s="2"/>
    </row>
    <row r="2147" spans="1:1" ht="15.75" customHeight="1" x14ac:dyDescent="0.15">
      <c r="A2147" s="2"/>
    </row>
    <row r="2148" spans="1:1" ht="15.75" customHeight="1" x14ac:dyDescent="0.15">
      <c r="A2148" s="2"/>
    </row>
    <row r="2149" spans="1:1" ht="15.75" customHeight="1" x14ac:dyDescent="0.15">
      <c r="A2149" s="2"/>
    </row>
    <row r="2150" spans="1:1" ht="15.75" customHeight="1" x14ac:dyDescent="0.15">
      <c r="A2150" s="2"/>
    </row>
    <row r="2151" spans="1:1" ht="15.75" customHeight="1" x14ac:dyDescent="0.15">
      <c r="A2151" s="2"/>
    </row>
    <row r="2152" spans="1:1" ht="15.75" customHeight="1" x14ac:dyDescent="0.15">
      <c r="A2152" s="2"/>
    </row>
    <row r="2153" spans="1:1" ht="15.75" customHeight="1" x14ac:dyDescent="0.15">
      <c r="A2153" s="2"/>
    </row>
    <row r="2154" spans="1:1" ht="15.75" customHeight="1" x14ac:dyDescent="0.15">
      <c r="A2154" s="2"/>
    </row>
    <row r="2155" spans="1:1" ht="15.75" customHeight="1" x14ac:dyDescent="0.15">
      <c r="A2155" s="2"/>
    </row>
    <row r="2156" spans="1:1" ht="15.75" customHeight="1" x14ac:dyDescent="0.15">
      <c r="A2156" s="2"/>
    </row>
    <row r="2157" spans="1:1" ht="15.75" customHeight="1" x14ac:dyDescent="0.15">
      <c r="A2157" s="2"/>
    </row>
    <row r="2158" spans="1:1" ht="15.75" customHeight="1" x14ac:dyDescent="0.15">
      <c r="A2158" s="2"/>
    </row>
    <row r="2159" spans="1:1" ht="15.75" customHeight="1" x14ac:dyDescent="0.15">
      <c r="A2159" s="2"/>
    </row>
    <row r="2160" spans="1:1" ht="15.75" customHeight="1" x14ac:dyDescent="0.15">
      <c r="A2160" s="2"/>
    </row>
    <row r="2161" spans="1:1" ht="15.75" customHeight="1" x14ac:dyDescent="0.15">
      <c r="A2161" s="2"/>
    </row>
    <row r="2162" spans="1:1" ht="15.75" customHeight="1" x14ac:dyDescent="0.15">
      <c r="A2162" s="2"/>
    </row>
    <row r="2163" spans="1:1" ht="15.75" customHeight="1" x14ac:dyDescent="0.15">
      <c r="A2163" s="2"/>
    </row>
    <row r="2164" spans="1:1" ht="15.75" customHeight="1" x14ac:dyDescent="0.15">
      <c r="A2164" s="2"/>
    </row>
    <row r="2165" spans="1:1" ht="15.75" customHeight="1" x14ac:dyDescent="0.15">
      <c r="A2165" s="2"/>
    </row>
    <row r="2166" spans="1:1" ht="15.75" customHeight="1" x14ac:dyDescent="0.15">
      <c r="A2166" s="2"/>
    </row>
    <row r="2167" spans="1:1" ht="15.75" customHeight="1" x14ac:dyDescent="0.15">
      <c r="A2167" s="2"/>
    </row>
    <row r="2168" spans="1:1" ht="15.75" customHeight="1" x14ac:dyDescent="0.15">
      <c r="A2168" s="2"/>
    </row>
    <row r="2169" spans="1:1" ht="15.75" customHeight="1" x14ac:dyDescent="0.15">
      <c r="A2169" s="2"/>
    </row>
    <row r="2170" spans="1:1" ht="15.75" customHeight="1" x14ac:dyDescent="0.15">
      <c r="A2170" s="2"/>
    </row>
    <row r="2171" spans="1:1" ht="15.75" customHeight="1" x14ac:dyDescent="0.15">
      <c r="A2171" s="2"/>
    </row>
    <row r="2172" spans="1:1" ht="15.75" customHeight="1" x14ac:dyDescent="0.15">
      <c r="A2172" s="2"/>
    </row>
    <row r="2173" spans="1:1" ht="15.75" customHeight="1" x14ac:dyDescent="0.15">
      <c r="A2173" s="2"/>
    </row>
    <row r="2174" spans="1:1" ht="15.75" customHeight="1" x14ac:dyDescent="0.15">
      <c r="A2174" s="2"/>
    </row>
    <row r="2175" spans="1:1" ht="15.75" customHeight="1" x14ac:dyDescent="0.15">
      <c r="A2175" s="2"/>
    </row>
    <row r="2176" spans="1:1" ht="15.75" customHeight="1" x14ac:dyDescent="0.15">
      <c r="A2176" s="2"/>
    </row>
    <row r="2177" spans="1:1" ht="15.75" customHeight="1" x14ac:dyDescent="0.15">
      <c r="A2177" s="2"/>
    </row>
    <row r="2178" spans="1:1" ht="15.75" customHeight="1" x14ac:dyDescent="0.15">
      <c r="A2178" s="2"/>
    </row>
    <row r="2179" spans="1:1" ht="15.75" customHeight="1" x14ac:dyDescent="0.15">
      <c r="A2179" s="2"/>
    </row>
    <row r="2180" spans="1:1" ht="15.75" customHeight="1" x14ac:dyDescent="0.15">
      <c r="A2180" s="2"/>
    </row>
    <row r="2181" spans="1:1" ht="15.75" customHeight="1" x14ac:dyDescent="0.15">
      <c r="A2181" s="2"/>
    </row>
    <row r="2182" spans="1:1" ht="15.75" customHeight="1" x14ac:dyDescent="0.15">
      <c r="A2182" s="2"/>
    </row>
    <row r="2183" spans="1:1" ht="15.75" customHeight="1" x14ac:dyDescent="0.15">
      <c r="A2183" s="2"/>
    </row>
    <row r="2184" spans="1:1" ht="15.75" customHeight="1" x14ac:dyDescent="0.15">
      <c r="A2184" s="2"/>
    </row>
    <row r="2185" spans="1:1" ht="15.75" customHeight="1" x14ac:dyDescent="0.15">
      <c r="A2185" s="2"/>
    </row>
    <row r="2186" spans="1:1" ht="15.75" customHeight="1" x14ac:dyDescent="0.15">
      <c r="A2186" s="2"/>
    </row>
    <row r="2187" spans="1:1" ht="15.75" customHeight="1" x14ac:dyDescent="0.15">
      <c r="A2187" s="2"/>
    </row>
    <row r="2188" spans="1:1" ht="15.75" customHeight="1" x14ac:dyDescent="0.15">
      <c r="A2188" s="2"/>
    </row>
    <row r="2189" spans="1:1" ht="15.75" customHeight="1" x14ac:dyDescent="0.15">
      <c r="A2189" s="2"/>
    </row>
    <row r="2190" spans="1:1" ht="15.75" customHeight="1" x14ac:dyDescent="0.15">
      <c r="A2190" s="2"/>
    </row>
    <row r="2191" spans="1:1" ht="15.75" customHeight="1" x14ac:dyDescent="0.15">
      <c r="A2191" s="2"/>
    </row>
    <row r="2192" spans="1:1" ht="15.75" customHeight="1" x14ac:dyDescent="0.15">
      <c r="A2192" s="2"/>
    </row>
    <row r="2193" spans="1:1" ht="15.75" customHeight="1" x14ac:dyDescent="0.15">
      <c r="A2193" s="2"/>
    </row>
    <row r="2194" spans="1:1" ht="15.75" customHeight="1" x14ac:dyDescent="0.15">
      <c r="A2194" s="2"/>
    </row>
    <row r="2195" spans="1:1" ht="15.75" customHeight="1" x14ac:dyDescent="0.15">
      <c r="A2195" s="2"/>
    </row>
    <row r="2196" spans="1:1" ht="15.75" customHeight="1" x14ac:dyDescent="0.15">
      <c r="A2196" s="2"/>
    </row>
    <row r="2197" spans="1:1" ht="15.75" customHeight="1" x14ac:dyDescent="0.15">
      <c r="A2197" s="2"/>
    </row>
    <row r="2198" spans="1:1" ht="15.75" customHeight="1" x14ac:dyDescent="0.15">
      <c r="A2198" s="2"/>
    </row>
    <row r="2199" spans="1:1" ht="15.75" customHeight="1" x14ac:dyDescent="0.15">
      <c r="A2199" s="2"/>
    </row>
    <row r="2200" spans="1:1" ht="15.75" customHeight="1" x14ac:dyDescent="0.15">
      <c r="A2200" s="2"/>
    </row>
    <row r="2201" spans="1:1" ht="15.75" customHeight="1" x14ac:dyDescent="0.15">
      <c r="A2201" s="2"/>
    </row>
    <row r="2202" spans="1:1" ht="15.75" customHeight="1" x14ac:dyDescent="0.15">
      <c r="A2202" s="2"/>
    </row>
    <row r="2203" spans="1:1" ht="15.75" customHeight="1" x14ac:dyDescent="0.15">
      <c r="A2203" s="2"/>
    </row>
    <row r="2204" spans="1:1" ht="15.75" customHeight="1" x14ac:dyDescent="0.15">
      <c r="A2204" s="2"/>
    </row>
    <row r="2205" spans="1:1" ht="15.75" customHeight="1" x14ac:dyDescent="0.15">
      <c r="A2205" s="2"/>
    </row>
    <row r="2206" spans="1:1" ht="15.75" customHeight="1" x14ac:dyDescent="0.15">
      <c r="A2206" s="2"/>
    </row>
    <row r="2207" spans="1:1" ht="15.75" customHeight="1" x14ac:dyDescent="0.15">
      <c r="A2207" s="2"/>
    </row>
    <row r="2208" spans="1:1" ht="15.75" customHeight="1" x14ac:dyDescent="0.15">
      <c r="A2208" s="2"/>
    </row>
    <row r="2209" spans="1:1" ht="15.75" customHeight="1" x14ac:dyDescent="0.15">
      <c r="A2209" s="2"/>
    </row>
    <row r="2210" spans="1:1" ht="15.75" customHeight="1" x14ac:dyDescent="0.15">
      <c r="A2210" s="2"/>
    </row>
    <row r="2211" spans="1:1" ht="15.75" customHeight="1" x14ac:dyDescent="0.15">
      <c r="A2211" s="2"/>
    </row>
    <row r="2212" spans="1:1" ht="15.75" customHeight="1" x14ac:dyDescent="0.15">
      <c r="A2212" s="2"/>
    </row>
    <row r="2213" spans="1:1" ht="15.75" customHeight="1" x14ac:dyDescent="0.15">
      <c r="A2213" s="2"/>
    </row>
    <row r="2214" spans="1:1" ht="15.75" customHeight="1" x14ac:dyDescent="0.15">
      <c r="A2214" s="2"/>
    </row>
    <row r="2215" spans="1:1" ht="15.75" customHeight="1" x14ac:dyDescent="0.15">
      <c r="A2215" s="2"/>
    </row>
    <row r="2216" spans="1:1" ht="15.75" customHeight="1" x14ac:dyDescent="0.15">
      <c r="A2216" s="2"/>
    </row>
    <row r="2217" spans="1:1" ht="15.75" customHeight="1" x14ac:dyDescent="0.15">
      <c r="A2217" s="2"/>
    </row>
    <row r="2218" spans="1:1" ht="15.75" customHeight="1" x14ac:dyDescent="0.15">
      <c r="A2218" s="2"/>
    </row>
    <row r="2219" spans="1:1" ht="15.75" customHeight="1" x14ac:dyDescent="0.15">
      <c r="A2219" s="2"/>
    </row>
    <row r="2220" spans="1:1" ht="15.75" customHeight="1" x14ac:dyDescent="0.15">
      <c r="A2220" s="2"/>
    </row>
    <row r="2221" spans="1:1" ht="15.75" customHeight="1" x14ac:dyDescent="0.15">
      <c r="A2221" s="2"/>
    </row>
    <row r="2222" spans="1:1" ht="15.75" customHeight="1" x14ac:dyDescent="0.15">
      <c r="A2222" s="2"/>
    </row>
    <row r="2223" spans="1:1" ht="15.75" customHeight="1" x14ac:dyDescent="0.15">
      <c r="A2223" s="2"/>
    </row>
    <row r="2224" spans="1:1" ht="15.75" customHeight="1" x14ac:dyDescent="0.15">
      <c r="A2224" s="2"/>
    </row>
    <row r="2225" spans="1:1" ht="15.75" customHeight="1" x14ac:dyDescent="0.15">
      <c r="A2225" s="2"/>
    </row>
    <row r="2226" spans="1:1" ht="15.75" customHeight="1" x14ac:dyDescent="0.15">
      <c r="A2226" s="2"/>
    </row>
    <row r="2227" spans="1:1" ht="15.75" customHeight="1" x14ac:dyDescent="0.15">
      <c r="A2227" s="2"/>
    </row>
    <row r="2228" spans="1:1" ht="15.75" customHeight="1" x14ac:dyDescent="0.15">
      <c r="A2228" s="2"/>
    </row>
    <row r="2229" spans="1:1" ht="15.75" customHeight="1" x14ac:dyDescent="0.15">
      <c r="A2229" s="2"/>
    </row>
    <row r="2230" spans="1:1" ht="15.75" customHeight="1" x14ac:dyDescent="0.15">
      <c r="A2230" s="2"/>
    </row>
    <row r="2231" spans="1:1" ht="15.75" customHeight="1" x14ac:dyDescent="0.15">
      <c r="A2231" s="2"/>
    </row>
    <row r="2232" spans="1:1" ht="15.75" customHeight="1" x14ac:dyDescent="0.15">
      <c r="A2232" s="2"/>
    </row>
    <row r="2233" spans="1:1" ht="15.75" customHeight="1" x14ac:dyDescent="0.15">
      <c r="A2233" s="2"/>
    </row>
    <row r="2234" spans="1:1" ht="15.75" customHeight="1" x14ac:dyDescent="0.15">
      <c r="A2234" s="2"/>
    </row>
    <row r="2235" spans="1:1" ht="15.75" customHeight="1" x14ac:dyDescent="0.15">
      <c r="A2235" s="2"/>
    </row>
    <row r="2236" spans="1:1" ht="15.75" customHeight="1" x14ac:dyDescent="0.15">
      <c r="A2236" s="2"/>
    </row>
    <row r="2237" spans="1:1" ht="15.75" customHeight="1" x14ac:dyDescent="0.15">
      <c r="A2237" s="2"/>
    </row>
    <row r="2238" spans="1:1" ht="15.75" customHeight="1" x14ac:dyDescent="0.15">
      <c r="A2238" s="2"/>
    </row>
    <row r="2239" spans="1:1" ht="15.75" customHeight="1" x14ac:dyDescent="0.15">
      <c r="A2239" s="2"/>
    </row>
    <row r="2240" spans="1:1" ht="15.75" customHeight="1" x14ac:dyDescent="0.15">
      <c r="A2240" s="2"/>
    </row>
    <row r="2241" spans="1:1" ht="15.75" customHeight="1" x14ac:dyDescent="0.15">
      <c r="A2241" s="2"/>
    </row>
    <row r="2242" spans="1:1" ht="15.75" customHeight="1" x14ac:dyDescent="0.15">
      <c r="A2242" s="2"/>
    </row>
    <row r="2243" spans="1:1" ht="15.75" customHeight="1" x14ac:dyDescent="0.15">
      <c r="A2243" s="2"/>
    </row>
    <row r="2244" spans="1:1" ht="15.75" customHeight="1" x14ac:dyDescent="0.15">
      <c r="A2244" s="2"/>
    </row>
    <row r="2245" spans="1:1" ht="15.75" customHeight="1" x14ac:dyDescent="0.15">
      <c r="A2245" s="2"/>
    </row>
    <row r="2246" spans="1:1" ht="15.75" customHeight="1" x14ac:dyDescent="0.15">
      <c r="A2246" s="2"/>
    </row>
    <row r="2247" spans="1:1" ht="15.75" customHeight="1" x14ac:dyDescent="0.15">
      <c r="A2247" s="2"/>
    </row>
    <row r="2248" spans="1:1" ht="15.75" customHeight="1" x14ac:dyDescent="0.15">
      <c r="A2248" s="2"/>
    </row>
    <row r="2249" spans="1:1" ht="15.75" customHeight="1" x14ac:dyDescent="0.15">
      <c r="A2249" s="2"/>
    </row>
    <row r="2250" spans="1:1" ht="15.75" customHeight="1" x14ac:dyDescent="0.15">
      <c r="A2250" s="2"/>
    </row>
    <row r="2251" spans="1:1" ht="15.75" customHeight="1" x14ac:dyDescent="0.15">
      <c r="A2251" s="2"/>
    </row>
    <row r="2252" spans="1:1" ht="15.75" customHeight="1" x14ac:dyDescent="0.15">
      <c r="A2252" s="2"/>
    </row>
    <row r="2253" spans="1:1" ht="15.75" customHeight="1" x14ac:dyDescent="0.15">
      <c r="A2253" s="2"/>
    </row>
    <row r="2254" spans="1:1" ht="15.75" customHeight="1" x14ac:dyDescent="0.15">
      <c r="A2254" s="2"/>
    </row>
    <row r="2255" spans="1:1" ht="15.75" customHeight="1" x14ac:dyDescent="0.15">
      <c r="A2255" s="2"/>
    </row>
    <row r="2256" spans="1:1" ht="15.75" customHeight="1" x14ac:dyDescent="0.15">
      <c r="A2256" s="2"/>
    </row>
    <row r="2257" spans="1:1" ht="15.75" customHeight="1" x14ac:dyDescent="0.15">
      <c r="A2257" s="2"/>
    </row>
    <row r="2258" spans="1:1" ht="15.75" customHeight="1" x14ac:dyDescent="0.15">
      <c r="A2258" s="2"/>
    </row>
    <row r="2259" spans="1:1" ht="15.75" customHeight="1" x14ac:dyDescent="0.15">
      <c r="A2259" s="2"/>
    </row>
    <row r="2260" spans="1:1" ht="15.75" customHeight="1" x14ac:dyDescent="0.15">
      <c r="A2260" s="2"/>
    </row>
    <row r="2261" spans="1:1" ht="15.75" customHeight="1" x14ac:dyDescent="0.15">
      <c r="A2261" s="2"/>
    </row>
    <row r="2262" spans="1:1" ht="15.75" customHeight="1" x14ac:dyDescent="0.15">
      <c r="A2262" s="2"/>
    </row>
    <row r="2263" spans="1:1" ht="15.75" customHeight="1" x14ac:dyDescent="0.15">
      <c r="A2263" s="2"/>
    </row>
    <row r="2264" spans="1:1" ht="15.75" customHeight="1" x14ac:dyDescent="0.15">
      <c r="A2264" s="2"/>
    </row>
    <row r="2265" spans="1:1" ht="15.75" customHeight="1" x14ac:dyDescent="0.15">
      <c r="A2265" s="2"/>
    </row>
    <row r="2266" spans="1:1" ht="15.75" customHeight="1" x14ac:dyDescent="0.15">
      <c r="A2266" s="2"/>
    </row>
    <row r="2267" spans="1:1" ht="15.75" customHeight="1" x14ac:dyDescent="0.15">
      <c r="A2267" s="2"/>
    </row>
    <row r="2268" spans="1:1" ht="15.75" customHeight="1" x14ac:dyDescent="0.15">
      <c r="A2268" s="2"/>
    </row>
    <row r="2269" spans="1:1" ht="15.75" customHeight="1" x14ac:dyDescent="0.15">
      <c r="A2269" s="2"/>
    </row>
    <row r="2270" spans="1:1" ht="15.75" customHeight="1" x14ac:dyDescent="0.15">
      <c r="A2270" s="2"/>
    </row>
    <row r="2271" spans="1:1" ht="15.75" customHeight="1" x14ac:dyDescent="0.15">
      <c r="A2271" s="2"/>
    </row>
    <row r="2272" spans="1:1" ht="15.75" customHeight="1" x14ac:dyDescent="0.15">
      <c r="A2272" s="2"/>
    </row>
    <row r="2273" spans="1:1" ht="15.75" customHeight="1" x14ac:dyDescent="0.15">
      <c r="A2273" s="2"/>
    </row>
    <row r="2274" spans="1:1" ht="15.75" customHeight="1" x14ac:dyDescent="0.15">
      <c r="A2274" s="2"/>
    </row>
    <row r="2275" spans="1:1" ht="15.75" customHeight="1" x14ac:dyDescent="0.15">
      <c r="A2275" s="2"/>
    </row>
    <row r="2276" spans="1:1" ht="15.75" customHeight="1" x14ac:dyDescent="0.15">
      <c r="A2276" s="2"/>
    </row>
    <row r="2277" spans="1:1" ht="15.75" customHeight="1" x14ac:dyDescent="0.15">
      <c r="A2277" s="2"/>
    </row>
    <row r="2278" spans="1:1" ht="15.75" customHeight="1" x14ac:dyDescent="0.15">
      <c r="A2278" s="2"/>
    </row>
    <row r="2279" spans="1:1" ht="15.75" customHeight="1" x14ac:dyDescent="0.15">
      <c r="A2279" s="2"/>
    </row>
    <row r="2280" spans="1:1" ht="15.75" customHeight="1" x14ac:dyDescent="0.15">
      <c r="A2280" s="2"/>
    </row>
    <row r="2281" spans="1:1" ht="15.75" customHeight="1" x14ac:dyDescent="0.15">
      <c r="A2281" s="2"/>
    </row>
    <row r="2282" spans="1:1" ht="15.75" customHeight="1" x14ac:dyDescent="0.15">
      <c r="A2282" s="2"/>
    </row>
    <row r="2283" spans="1:1" ht="15.75" customHeight="1" x14ac:dyDescent="0.15">
      <c r="A2283" s="2"/>
    </row>
    <row r="2284" spans="1:1" ht="15.75" customHeight="1" x14ac:dyDescent="0.15">
      <c r="A2284" s="2"/>
    </row>
    <row r="2285" spans="1:1" ht="15.75" customHeight="1" x14ac:dyDescent="0.15">
      <c r="A2285" s="2"/>
    </row>
    <row r="2286" spans="1:1" ht="15.75" customHeight="1" x14ac:dyDescent="0.15">
      <c r="A2286" s="2"/>
    </row>
    <row r="2287" spans="1:1" ht="15.75" customHeight="1" x14ac:dyDescent="0.15">
      <c r="A2287" s="2"/>
    </row>
    <row r="2288" spans="1:1" ht="15.75" customHeight="1" x14ac:dyDescent="0.15">
      <c r="A2288" s="2"/>
    </row>
    <row r="2289" spans="1:1" ht="15.75" customHeight="1" x14ac:dyDescent="0.15">
      <c r="A2289" s="2"/>
    </row>
    <row r="2290" spans="1:1" ht="15.75" customHeight="1" x14ac:dyDescent="0.15">
      <c r="A2290" s="2"/>
    </row>
    <row r="2291" spans="1:1" ht="15.75" customHeight="1" x14ac:dyDescent="0.15">
      <c r="A2291" s="2"/>
    </row>
    <row r="2292" spans="1:1" ht="15.75" customHeight="1" x14ac:dyDescent="0.15">
      <c r="A2292" s="2"/>
    </row>
    <row r="2293" spans="1:1" ht="15.75" customHeight="1" x14ac:dyDescent="0.15">
      <c r="A2293" s="2"/>
    </row>
    <row r="2294" spans="1:1" ht="15.75" customHeight="1" x14ac:dyDescent="0.15">
      <c r="A2294" s="2"/>
    </row>
    <row r="2295" spans="1:1" ht="15.75" customHeight="1" x14ac:dyDescent="0.15">
      <c r="A2295" s="2"/>
    </row>
    <row r="2296" spans="1:1" ht="15.75" customHeight="1" x14ac:dyDescent="0.15">
      <c r="A2296" s="2"/>
    </row>
    <row r="2297" spans="1:1" ht="15.75" customHeight="1" x14ac:dyDescent="0.15">
      <c r="A2297" s="2"/>
    </row>
    <row r="2298" spans="1:1" ht="15.75" customHeight="1" x14ac:dyDescent="0.15">
      <c r="A2298" s="2"/>
    </row>
    <row r="2299" spans="1:1" ht="15.75" customHeight="1" x14ac:dyDescent="0.15">
      <c r="A2299" s="2"/>
    </row>
    <row r="2300" spans="1:1" ht="15.75" customHeight="1" x14ac:dyDescent="0.15">
      <c r="A2300" s="2"/>
    </row>
    <row r="2301" spans="1:1" ht="15.75" customHeight="1" x14ac:dyDescent="0.15">
      <c r="A2301" s="2"/>
    </row>
    <row r="2302" spans="1:1" ht="15.75" customHeight="1" x14ac:dyDescent="0.15">
      <c r="A2302" s="2"/>
    </row>
    <row r="2303" spans="1:1" ht="15.75" customHeight="1" x14ac:dyDescent="0.15">
      <c r="A2303" s="2"/>
    </row>
    <row r="2304" spans="1:1" ht="15.75" customHeight="1" x14ac:dyDescent="0.15">
      <c r="A2304" s="2"/>
    </row>
    <row r="2305" spans="1:1" ht="15.75" customHeight="1" x14ac:dyDescent="0.15">
      <c r="A2305" s="2"/>
    </row>
    <row r="2306" spans="1:1" ht="15.75" customHeight="1" x14ac:dyDescent="0.15">
      <c r="A2306" s="2"/>
    </row>
    <row r="2307" spans="1:1" ht="15.75" customHeight="1" x14ac:dyDescent="0.15">
      <c r="A2307" s="2"/>
    </row>
    <row r="2308" spans="1:1" ht="15.75" customHeight="1" x14ac:dyDescent="0.15">
      <c r="A2308" s="2"/>
    </row>
    <row r="2309" spans="1:1" ht="15.75" customHeight="1" x14ac:dyDescent="0.15">
      <c r="A2309" s="2"/>
    </row>
    <row r="2310" spans="1:1" ht="15.75" customHeight="1" x14ac:dyDescent="0.15">
      <c r="A2310" s="2"/>
    </row>
    <row r="2311" spans="1:1" ht="15.75" customHeight="1" x14ac:dyDescent="0.15">
      <c r="A2311" s="2"/>
    </row>
    <row r="2312" spans="1:1" ht="15.75" customHeight="1" x14ac:dyDescent="0.15">
      <c r="A2312" s="2"/>
    </row>
    <row r="2313" spans="1:1" ht="15.75" customHeight="1" x14ac:dyDescent="0.15">
      <c r="A2313" s="2"/>
    </row>
    <row r="2314" spans="1:1" ht="15.75" customHeight="1" x14ac:dyDescent="0.15">
      <c r="A2314" s="2"/>
    </row>
    <row r="2315" spans="1:1" ht="15.75" customHeight="1" x14ac:dyDescent="0.15">
      <c r="A2315" s="2"/>
    </row>
    <row r="2316" spans="1:1" ht="15.75" customHeight="1" x14ac:dyDescent="0.15">
      <c r="A2316" s="2"/>
    </row>
    <row r="2317" spans="1:1" ht="15.75" customHeight="1" x14ac:dyDescent="0.15">
      <c r="A2317" s="2"/>
    </row>
    <row r="2318" spans="1:1" ht="15.75" customHeight="1" x14ac:dyDescent="0.15">
      <c r="A2318" s="2"/>
    </row>
    <row r="2319" spans="1:1" ht="15.75" customHeight="1" x14ac:dyDescent="0.15">
      <c r="A2319" s="2"/>
    </row>
    <row r="2320" spans="1:1" ht="15.75" customHeight="1" x14ac:dyDescent="0.15">
      <c r="A2320" s="2"/>
    </row>
    <row r="2321" spans="1:1" ht="15.75" customHeight="1" x14ac:dyDescent="0.15">
      <c r="A2321" s="2"/>
    </row>
    <row r="2322" spans="1:1" ht="15.75" customHeight="1" x14ac:dyDescent="0.15">
      <c r="A2322" s="2"/>
    </row>
    <row r="2323" spans="1:1" ht="15.75" customHeight="1" x14ac:dyDescent="0.15">
      <c r="A2323" s="2"/>
    </row>
    <row r="2324" spans="1:1" ht="15.75" customHeight="1" x14ac:dyDescent="0.15">
      <c r="A2324" s="2"/>
    </row>
    <row r="2325" spans="1:1" ht="15.75" customHeight="1" x14ac:dyDescent="0.15">
      <c r="A2325" s="2"/>
    </row>
    <row r="2326" spans="1:1" ht="15.75" customHeight="1" x14ac:dyDescent="0.15">
      <c r="A2326" s="2"/>
    </row>
    <row r="2327" spans="1:1" ht="15.75" customHeight="1" x14ac:dyDescent="0.15">
      <c r="A2327" s="2"/>
    </row>
    <row r="2328" spans="1:1" ht="15.75" customHeight="1" x14ac:dyDescent="0.15">
      <c r="A2328" s="2"/>
    </row>
    <row r="2329" spans="1:1" ht="15.75" customHeight="1" x14ac:dyDescent="0.15">
      <c r="A2329" s="2"/>
    </row>
    <row r="2330" spans="1:1" ht="15.75" customHeight="1" x14ac:dyDescent="0.15">
      <c r="A2330" s="2"/>
    </row>
    <row r="2331" spans="1:1" ht="15.75" customHeight="1" x14ac:dyDescent="0.15">
      <c r="A2331" s="2"/>
    </row>
    <row r="2332" spans="1:1" ht="15.75" customHeight="1" x14ac:dyDescent="0.15">
      <c r="A2332" s="2"/>
    </row>
    <row r="2333" spans="1:1" ht="15.75" customHeight="1" x14ac:dyDescent="0.15">
      <c r="A2333" s="2"/>
    </row>
    <row r="2334" spans="1:1" ht="15.75" customHeight="1" x14ac:dyDescent="0.15">
      <c r="A2334" s="2"/>
    </row>
    <row r="2335" spans="1:1" ht="15.75" customHeight="1" x14ac:dyDescent="0.15">
      <c r="A2335" s="2"/>
    </row>
    <row r="2336" spans="1:1" ht="15.75" customHeight="1" x14ac:dyDescent="0.15">
      <c r="A2336" s="2"/>
    </row>
    <row r="2337" spans="1:1" ht="15.75" customHeight="1" x14ac:dyDescent="0.15">
      <c r="A2337" s="2"/>
    </row>
    <row r="2338" spans="1:1" ht="15.75" customHeight="1" x14ac:dyDescent="0.15">
      <c r="A2338" s="2"/>
    </row>
    <row r="2339" spans="1:1" ht="15.75" customHeight="1" x14ac:dyDescent="0.15">
      <c r="A2339" s="2"/>
    </row>
    <row r="2340" spans="1:1" ht="15.75" customHeight="1" x14ac:dyDescent="0.15">
      <c r="A2340" s="2"/>
    </row>
    <row r="2341" spans="1:1" ht="15.75" customHeight="1" x14ac:dyDescent="0.15">
      <c r="A2341" s="2"/>
    </row>
    <row r="2342" spans="1:1" ht="15.75" customHeight="1" x14ac:dyDescent="0.15">
      <c r="A2342" s="2"/>
    </row>
    <row r="2343" spans="1:1" ht="15.75" customHeight="1" x14ac:dyDescent="0.15">
      <c r="A2343" s="2"/>
    </row>
    <row r="2344" spans="1:1" ht="15.75" customHeight="1" x14ac:dyDescent="0.15">
      <c r="A2344" s="2"/>
    </row>
    <row r="2345" spans="1:1" ht="15.75" customHeight="1" x14ac:dyDescent="0.15">
      <c r="A2345" s="2"/>
    </row>
    <row r="2346" spans="1:1" ht="15.75" customHeight="1" x14ac:dyDescent="0.15">
      <c r="A2346" s="2"/>
    </row>
    <row r="2347" spans="1:1" ht="15.75" customHeight="1" x14ac:dyDescent="0.15">
      <c r="A2347" s="2"/>
    </row>
    <row r="2348" spans="1:1" ht="15.75" customHeight="1" x14ac:dyDescent="0.15">
      <c r="A2348" s="2"/>
    </row>
    <row r="2349" spans="1:1" ht="15.75" customHeight="1" x14ac:dyDescent="0.15">
      <c r="A2349" s="2"/>
    </row>
    <row r="2350" spans="1:1" ht="15.75" customHeight="1" x14ac:dyDescent="0.15">
      <c r="A2350" s="2"/>
    </row>
    <row r="2351" spans="1:1" ht="15.75" customHeight="1" x14ac:dyDescent="0.15">
      <c r="A2351" s="2"/>
    </row>
    <row r="2352" spans="1:1" ht="15.75" customHeight="1" x14ac:dyDescent="0.15">
      <c r="A2352" s="2"/>
    </row>
    <row r="2353" spans="1:1" ht="15.75" customHeight="1" x14ac:dyDescent="0.15">
      <c r="A2353" s="2"/>
    </row>
    <row r="2354" spans="1:1" ht="15.75" customHeight="1" x14ac:dyDescent="0.15">
      <c r="A2354" s="2"/>
    </row>
    <row r="2355" spans="1:1" ht="15.75" customHeight="1" x14ac:dyDescent="0.15">
      <c r="A2355" s="2"/>
    </row>
    <row r="2356" spans="1:1" ht="15.75" customHeight="1" x14ac:dyDescent="0.15">
      <c r="A2356" s="2"/>
    </row>
    <row r="2357" spans="1:1" ht="15.75" customHeight="1" x14ac:dyDescent="0.15">
      <c r="A2357" s="2"/>
    </row>
    <row r="2358" spans="1:1" ht="15.75" customHeight="1" x14ac:dyDescent="0.15">
      <c r="A2358" s="2"/>
    </row>
    <row r="2359" spans="1:1" ht="15.75" customHeight="1" x14ac:dyDescent="0.15">
      <c r="A2359" s="2"/>
    </row>
    <row r="2360" spans="1:1" ht="15.75" customHeight="1" x14ac:dyDescent="0.15">
      <c r="A2360" s="2"/>
    </row>
    <row r="2361" spans="1:1" ht="15.75" customHeight="1" x14ac:dyDescent="0.15">
      <c r="A2361" s="2"/>
    </row>
    <row r="2362" spans="1:1" ht="15.75" customHeight="1" x14ac:dyDescent="0.15">
      <c r="A2362" s="2"/>
    </row>
    <row r="2363" spans="1:1" ht="15.75" customHeight="1" x14ac:dyDescent="0.15">
      <c r="A2363" s="2"/>
    </row>
    <row r="2364" spans="1:1" ht="15.75" customHeight="1" x14ac:dyDescent="0.15">
      <c r="A2364" s="2"/>
    </row>
    <row r="2365" spans="1:1" ht="15.75" customHeight="1" x14ac:dyDescent="0.15">
      <c r="A2365" s="2"/>
    </row>
    <row r="2366" spans="1:1" ht="15.75" customHeight="1" x14ac:dyDescent="0.15">
      <c r="A2366" s="2"/>
    </row>
    <row r="2367" spans="1:1" ht="15.75" customHeight="1" x14ac:dyDescent="0.15">
      <c r="A2367" s="2"/>
    </row>
    <row r="2368" spans="1:1" ht="15.75" customHeight="1" x14ac:dyDescent="0.15">
      <c r="A2368" s="2"/>
    </row>
    <row r="2369" spans="1:1" ht="15.75" customHeight="1" x14ac:dyDescent="0.15">
      <c r="A2369" s="2"/>
    </row>
    <row r="2370" spans="1:1" ht="15.75" customHeight="1" x14ac:dyDescent="0.15">
      <c r="A2370" s="2"/>
    </row>
    <row r="2371" spans="1:1" ht="15.75" customHeight="1" x14ac:dyDescent="0.15">
      <c r="A2371" s="2"/>
    </row>
    <row r="2372" spans="1:1" ht="15.75" customHeight="1" x14ac:dyDescent="0.15">
      <c r="A2372" s="2"/>
    </row>
    <row r="2373" spans="1:1" ht="15.75" customHeight="1" x14ac:dyDescent="0.15">
      <c r="A2373" s="2"/>
    </row>
    <row r="2374" spans="1:1" ht="15.75" customHeight="1" x14ac:dyDescent="0.15">
      <c r="A2374" s="2"/>
    </row>
    <row r="2375" spans="1:1" ht="15.75" customHeight="1" x14ac:dyDescent="0.15">
      <c r="A2375" s="2"/>
    </row>
    <row r="2376" spans="1:1" ht="15.75" customHeight="1" x14ac:dyDescent="0.15">
      <c r="A2376" s="2"/>
    </row>
    <row r="2377" spans="1:1" ht="15.75" customHeight="1" x14ac:dyDescent="0.15">
      <c r="A2377" s="2"/>
    </row>
    <row r="2378" spans="1:1" ht="15.75" customHeight="1" x14ac:dyDescent="0.15">
      <c r="A2378" s="2"/>
    </row>
    <row r="2379" spans="1:1" ht="15.75" customHeight="1" x14ac:dyDescent="0.15">
      <c r="A2379" s="2"/>
    </row>
    <row r="2380" spans="1:1" ht="15.75" customHeight="1" x14ac:dyDescent="0.15">
      <c r="A2380" s="2"/>
    </row>
    <row r="2381" spans="1:1" ht="15.75" customHeight="1" x14ac:dyDescent="0.15">
      <c r="A2381" s="2"/>
    </row>
    <row r="2382" spans="1:1" ht="15.75" customHeight="1" x14ac:dyDescent="0.15">
      <c r="A2382" s="2"/>
    </row>
    <row r="2383" spans="1:1" ht="15.75" customHeight="1" x14ac:dyDescent="0.15">
      <c r="A2383" s="2"/>
    </row>
    <row r="2384" spans="1:1" ht="15.75" customHeight="1" x14ac:dyDescent="0.15">
      <c r="A2384" s="2"/>
    </row>
    <row r="2385" spans="1:1" ht="15.75" customHeight="1" x14ac:dyDescent="0.15">
      <c r="A2385" s="2"/>
    </row>
    <row r="2386" spans="1:1" ht="15.75" customHeight="1" x14ac:dyDescent="0.15">
      <c r="A2386" s="2"/>
    </row>
    <row r="2387" spans="1:1" ht="15.75" customHeight="1" x14ac:dyDescent="0.15">
      <c r="A2387" s="2"/>
    </row>
    <row r="2388" spans="1:1" ht="15.75" customHeight="1" x14ac:dyDescent="0.15">
      <c r="A2388" s="2"/>
    </row>
    <row r="2389" spans="1:1" ht="15.75" customHeight="1" x14ac:dyDescent="0.15">
      <c r="A2389" s="2"/>
    </row>
    <row r="2390" spans="1:1" ht="15.75" customHeight="1" x14ac:dyDescent="0.15">
      <c r="A2390" s="2"/>
    </row>
    <row r="2391" spans="1:1" ht="15.75" customHeight="1" x14ac:dyDescent="0.15">
      <c r="A2391" s="2"/>
    </row>
    <row r="2392" spans="1:1" ht="15.75" customHeight="1" x14ac:dyDescent="0.15">
      <c r="A2392" s="2"/>
    </row>
    <row r="2393" spans="1:1" ht="15.75" customHeight="1" x14ac:dyDescent="0.15">
      <c r="A2393" s="2"/>
    </row>
    <row r="2394" spans="1:1" ht="15.75" customHeight="1" x14ac:dyDescent="0.15">
      <c r="A2394" s="2"/>
    </row>
    <row r="2395" spans="1:1" ht="15.75" customHeight="1" x14ac:dyDescent="0.15">
      <c r="A2395" s="2"/>
    </row>
    <row r="2396" spans="1:1" ht="15.75" customHeight="1" x14ac:dyDescent="0.15">
      <c r="A2396" s="2"/>
    </row>
    <row r="2397" spans="1:1" ht="15.75" customHeight="1" x14ac:dyDescent="0.15">
      <c r="A2397" s="2"/>
    </row>
    <row r="2398" spans="1:1" ht="15.75" customHeight="1" x14ac:dyDescent="0.15">
      <c r="A2398" s="2"/>
    </row>
    <row r="2399" spans="1:1" ht="15.75" customHeight="1" x14ac:dyDescent="0.15">
      <c r="A2399" s="2"/>
    </row>
    <row r="2400" spans="1:1" ht="15.75" customHeight="1" x14ac:dyDescent="0.15">
      <c r="A2400" s="2"/>
    </row>
    <row r="2401" spans="1:1" ht="15.75" customHeight="1" x14ac:dyDescent="0.15">
      <c r="A2401" s="2"/>
    </row>
    <row r="2402" spans="1:1" ht="15.75" customHeight="1" x14ac:dyDescent="0.15">
      <c r="A2402" s="2"/>
    </row>
    <row r="2403" spans="1:1" ht="15.75" customHeight="1" x14ac:dyDescent="0.15">
      <c r="A2403" s="2"/>
    </row>
    <row r="2404" spans="1:1" ht="15.75" customHeight="1" x14ac:dyDescent="0.15">
      <c r="A2404" s="2"/>
    </row>
    <row r="2405" spans="1:1" ht="15.75" customHeight="1" x14ac:dyDescent="0.15">
      <c r="A2405" s="2"/>
    </row>
    <row r="2406" spans="1:1" ht="15.75" customHeight="1" x14ac:dyDescent="0.15">
      <c r="A2406" s="2"/>
    </row>
    <row r="2407" spans="1:1" ht="15.75" customHeight="1" x14ac:dyDescent="0.15">
      <c r="A2407" s="2"/>
    </row>
    <row r="2408" spans="1:1" ht="15.75" customHeight="1" x14ac:dyDescent="0.15">
      <c r="A2408" s="2"/>
    </row>
    <row r="2409" spans="1:1" ht="15.75" customHeight="1" x14ac:dyDescent="0.15">
      <c r="A2409" s="2"/>
    </row>
    <row r="2410" spans="1:1" ht="15.75" customHeight="1" x14ac:dyDescent="0.15">
      <c r="A2410" s="2"/>
    </row>
    <row r="2411" spans="1:1" ht="15.75" customHeight="1" x14ac:dyDescent="0.15">
      <c r="A2411" s="2"/>
    </row>
    <row r="2412" spans="1:1" ht="15.75" customHeight="1" x14ac:dyDescent="0.15">
      <c r="A2412" s="2"/>
    </row>
    <row r="2413" spans="1:1" ht="15.75" customHeight="1" x14ac:dyDescent="0.15">
      <c r="A2413" s="2"/>
    </row>
    <row r="2414" spans="1:1" ht="15.75" customHeight="1" x14ac:dyDescent="0.15">
      <c r="A2414" s="2"/>
    </row>
    <row r="2415" spans="1:1" ht="15.75" customHeight="1" x14ac:dyDescent="0.15">
      <c r="A2415" s="2"/>
    </row>
    <row r="2416" spans="1:1" ht="15.75" customHeight="1" x14ac:dyDescent="0.15">
      <c r="A2416" s="2"/>
    </row>
    <row r="2417" spans="1:1" ht="15.75" customHeight="1" x14ac:dyDescent="0.15">
      <c r="A2417" s="2"/>
    </row>
    <row r="2418" spans="1:1" ht="15.75" customHeight="1" x14ac:dyDescent="0.15">
      <c r="A2418" s="2"/>
    </row>
    <row r="2419" spans="1:1" ht="15.75" customHeight="1" x14ac:dyDescent="0.15">
      <c r="A2419" s="2"/>
    </row>
    <row r="2420" spans="1:1" ht="15.75" customHeight="1" x14ac:dyDescent="0.15">
      <c r="A2420" s="2"/>
    </row>
    <row r="2421" spans="1:1" ht="15.75" customHeight="1" x14ac:dyDescent="0.15">
      <c r="A2421" s="2"/>
    </row>
    <row r="2422" spans="1:1" ht="15.75" customHeight="1" x14ac:dyDescent="0.15">
      <c r="A2422" s="2"/>
    </row>
    <row r="2423" spans="1:1" ht="15.75" customHeight="1" x14ac:dyDescent="0.15">
      <c r="A2423" s="2"/>
    </row>
    <row r="2424" spans="1:1" ht="15.75" customHeight="1" x14ac:dyDescent="0.15">
      <c r="A2424" s="2"/>
    </row>
    <row r="2425" spans="1:1" ht="15.75" customHeight="1" x14ac:dyDescent="0.15">
      <c r="A2425" s="2"/>
    </row>
    <row r="2426" spans="1:1" ht="15.75" customHeight="1" x14ac:dyDescent="0.15">
      <c r="A2426" s="2"/>
    </row>
    <row r="2427" spans="1:1" ht="15.75" customHeight="1" x14ac:dyDescent="0.15">
      <c r="A2427" s="2"/>
    </row>
    <row r="2428" spans="1:1" ht="15.75" customHeight="1" x14ac:dyDescent="0.15">
      <c r="A2428" s="2"/>
    </row>
    <row r="2429" spans="1:1" ht="15.75" customHeight="1" x14ac:dyDescent="0.15">
      <c r="A2429" s="2"/>
    </row>
    <row r="2430" spans="1:1" ht="15.75" customHeight="1" x14ac:dyDescent="0.15">
      <c r="A2430" s="2"/>
    </row>
    <row r="2431" spans="1:1" ht="15.75" customHeight="1" x14ac:dyDescent="0.15">
      <c r="A2431" s="2"/>
    </row>
    <row r="2432" spans="1:1" ht="15.75" customHeight="1" x14ac:dyDescent="0.15">
      <c r="A2432" s="2"/>
    </row>
    <row r="2433" spans="1:1" ht="15.75" customHeight="1" x14ac:dyDescent="0.15">
      <c r="A2433" s="2"/>
    </row>
    <row r="2434" spans="1:1" ht="15.75" customHeight="1" x14ac:dyDescent="0.15">
      <c r="A2434" s="2"/>
    </row>
    <row r="2435" spans="1:1" ht="15.75" customHeight="1" x14ac:dyDescent="0.15">
      <c r="A2435" s="2"/>
    </row>
    <row r="2436" spans="1:1" ht="15.75" customHeight="1" x14ac:dyDescent="0.15">
      <c r="A2436" s="2"/>
    </row>
    <row r="2437" spans="1:1" ht="15.75" customHeight="1" x14ac:dyDescent="0.15">
      <c r="A2437" s="2"/>
    </row>
    <row r="2438" spans="1:1" ht="15.75" customHeight="1" x14ac:dyDescent="0.15">
      <c r="A2438" s="2"/>
    </row>
    <row r="2439" spans="1:1" ht="15.75" customHeight="1" x14ac:dyDescent="0.15">
      <c r="A2439" s="2"/>
    </row>
    <row r="2440" spans="1:1" ht="15.75" customHeight="1" x14ac:dyDescent="0.15">
      <c r="A2440" s="2"/>
    </row>
    <row r="2441" spans="1:1" ht="15.75" customHeight="1" x14ac:dyDescent="0.15">
      <c r="A2441" s="2"/>
    </row>
    <row r="2442" spans="1:1" ht="15.75" customHeight="1" x14ac:dyDescent="0.15">
      <c r="A2442" s="2"/>
    </row>
    <row r="2443" spans="1:1" ht="15.75" customHeight="1" x14ac:dyDescent="0.15">
      <c r="A2443" s="2"/>
    </row>
    <row r="2444" spans="1:1" ht="15.75" customHeight="1" x14ac:dyDescent="0.15">
      <c r="A2444" s="2"/>
    </row>
    <row r="2445" spans="1:1" ht="15.75" customHeight="1" x14ac:dyDescent="0.15">
      <c r="A2445" s="2"/>
    </row>
    <row r="2446" spans="1:1" ht="15.75" customHeight="1" x14ac:dyDescent="0.15">
      <c r="A2446" s="2"/>
    </row>
    <row r="2447" spans="1:1" ht="15.75" customHeight="1" x14ac:dyDescent="0.15">
      <c r="A2447" s="2"/>
    </row>
    <row r="2448" spans="1:1" ht="15.75" customHeight="1" x14ac:dyDescent="0.15">
      <c r="A2448" s="2"/>
    </row>
    <row r="2449" spans="1:1" ht="15.75" customHeight="1" x14ac:dyDescent="0.15">
      <c r="A2449" s="2"/>
    </row>
    <row r="2450" spans="1:1" ht="15.75" customHeight="1" x14ac:dyDescent="0.15">
      <c r="A2450" s="2"/>
    </row>
    <row r="2451" spans="1:1" ht="15.75" customHeight="1" x14ac:dyDescent="0.15">
      <c r="A2451" s="2"/>
    </row>
    <row r="2452" spans="1:1" ht="15.75" customHeight="1" x14ac:dyDescent="0.15">
      <c r="A2452" s="2"/>
    </row>
    <row r="2453" spans="1:1" ht="15.75" customHeight="1" x14ac:dyDescent="0.15">
      <c r="A2453" s="2"/>
    </row>
    <row r="2454" spans="1:1" ht="15.75" customHeight="1" x14ac:dyDescent="0.15">
      <c r="A2454" s="2"/>
    </row>
    <row r="2455" spans="1:1" ht="15.75" customHeight="1" x14ac:dyDescent="0.15">
      <c r="A2455" s="2"/>
    </row>
    <row r="2456" spans="1:1" ht="15.75" customHeight="1" x14ac:dyDescent="0.15">
      <c r="A2456" s="2"/>
    </row>
    <row r="2457" spans="1:1" ht="15.75" customHeight="1" x14ac:dyDescent="0.15">
      <c r="A2457" s="2"/>
    </row>
    <row r="2458" spans="1:1" ht="15.75" customHeight="1" x14ac:dyDescent="0.15">
      <c r="A2458" s="2"/>
    </row>
    <row r="2459" spans="1:1" ht="15.75" customHeight="1" x14ac:dyDescent="0.15">
      <c r="A2459" s="2"/>
    </row>
    <row r="2460" spans="1:1" ht="15.75" customHeight="1" x14ac:dyDescent="0.15">
      <c r="A2460" s="2"/>
    </row>
    <row r="2461" spans="1:1" ht="15.75" customHeight="1" x14ac:dyDescent="0.15">
      <c r="A2461" s="2"/>
    </row>
    <row r="2462" spans="1:1" ht="15.75" customHeight="1" x14ac:dyDescent="0.15">
      <c r="A2462" s="2"/>
    </row>
    <row r="2463" spans="1:1" ht="15.75" customHeight="1" x14ac:dyDescent="0.15">
      <c r="A2463" s="2"/>
    </row>
    <row r="2464" spans="1:1" ht="15.75" customHeight="1" x14ac:dyDescent="0.15">
      <c r="A2464" s="2"/>
    </row>
    <row r="2465" spans="1:1" ht="15.75" customHeight="1" x14ac:dyDescent="0.15">
      <c r="A2465" s="2"/>
    </row>
    <row r="2466" spans="1:1" ht="15.75" customHeight="1" x14ac:dyDescent="0.15">
      <c r="A2466" s="2"/>
    </row>
    <row r="2467" spans="1:1" ht="15.75" customHeight="1" x14ac:dyDescent="0.15">
      <c r="A2467" s="2"/>
    </row>
    <row r="2468" spans="1:1" ht="15.75" customHeight="1" x14ac:dyDescent="0.15">
      <c r="A2468" s="2"/>
    </row>
    <row r="2469" spans="1:1" ht="15.75" customHeight="1" x14ac:dyDescent="0.15">
      <c r="A2469" s="2"/>
    </row>
    <row r="2470" spans="1:1" ht="15.75" customHeight="1" x14ac:dyDescent="0.15">
      <c r="A2470" s="2"/>
    </row>
    <row r="2471" spans="1:1" ht="15.75" customHeight="1" x14ac:dyDescent="0.15">
      <c r="A2471" s="2"/>
    </row>
    <row r="2472" spans="1:1" ht="15.75" customHeight="1" x14ac:dyDescent="0.15">
      <c r="A2472" s="2"/>
    </row>
    <row r="2473" spans="1:1" ht="15.75" customHeight="1" x14ac:dyDescent="0.15">
      <c r="A2473" s="2"/>
    </row>
    <row r="2474" spans="1:1" ht="15.75" customHeight="1" x14ac:dyDescent="0.15">
      <c r="A2474" s="2"/>
    </row>
    <row r="2475" spans="1:1" ht="15.75" customHeight="1" x14ac:dyDescent="0.15">
      <c r="A2475" s="2"/>
    </row>
    <row r="2476" spans="1:1" ht="15.75" customHeight="1" x14ac:dyDescent="0.15">
      <c r="A2476" s="2"/>
    </row>
    <row r="2477" spans="1:1" ht="15.75" customHeight="1" x14ac:dyDescent="0.15">
      <c r="A2477" s="2"/>
    </row>
    <row r="2478" spans="1:1" ht="15.75" customHeight="1" x14ac:dyDescent="0.15">
      <c r="A2478" s="2"/>
    </row>
    <row r="2479" spans="1:1" ht="15.75" customHeight="1" x14ac:dyDescent="0.15">
      <c r="A2479" s="2"/>
    </row>
    <row r="2480" spans="1:1" ht="15.75" customHeight="1" x14ac:dyDescent="0.15">
      <c r="A2480" s="2"/>
    </row>
    <row r="2481" spans="1:1" ht="15.75" customHeight="1" x14ac:dyDescent="0.15">
      <c r="A2481" s="2"/>
    </row>
    <row r="2482" spans="1:1" ht="15.75" customHeight="1" x14ac:dyDescent="0.15">
      <c r="A2482" s="2"/>
    </row>
    <row r="2483" spans="1:1" ht="15.75" customHeight="1" x14ac:dyDescent="0.15">
      <c r="A2483" s="2"/>
    </row>
    <row r="2484" spans="1:1" ht="15.75" customHeight="1" x14ac:dyDescent="0.15">
      <c r="A2484" s="2"/>
    </row>
    <row r="2485" spans="1:1" ht="15.75" customHeight="1" x14ac:dyDescent="0.15">
      <c r="A2485" s="2"/>
    </row>
    <row r="2486" spans="1:1" ht="15.75" customHeight="1" x14ac:dyDescent="0.15">
      <c r="A2486" s="2"/>
    </row>
    <row r="2487" spans="1:1" ht="15.75" customHeight="1" x14ac:dyDescent="0.15">
      <c r="A2487" s="2"/>
    </row>
    <row r="2488" spans="1:1" ht="15.75" customHeight="1" x14ac:dyDescent="0.15">
      <c r="A2488" s="2"/>
    </row>
    <row r="2489" spans="1:1" ht="15.75" customHeight="1" x14ac:dyDescent="0.15">
      <c r="A2489" s="2"/>
    </row>
    <row r="2490" spans="1:1" ht="15.75" customHeight="1" x14ac:dyDescent="0.15">
      <c r="A2490" s="2"/>
    </row>
    <row r="2491" spans="1:1" ht="15.75" customHeight="1" x14ac:dyDescent="0.15">
      <c r="A2491" s="2"/>
    </row>
    <row r="2492" spans="1:1" ht="15.75" customHeight="1" x14ac:dyDescent="0.15">
      <c r="A2492" s="2"/>
    </row>
    <row r="2493" spans="1:1" ht="15.75" customHeight="1" x14ac:dyDescent="0.15">
      <c r="A2493" s="2"/>
    </row>
    <row r="2494" spans="1:1" ht="15.75" customHeight="1" x14ac:dyDescent="0.15">
      <c r="A2494" s="2"/>
    </row>
    <row r="2495" spans="1:1" ht="15.75" customHeight="1" x14ac:dyDescent="0.15">
      <c r="A2495" s="2"/>
    </row>
    <row r="2496" spans="1:1" ht="15.75" customHeight="1" x14ac:dyDescent="0.15">
      <c r="A2496" s="2"/>
    </row>
    <row r="2497" spans="1:1" ht="15.75" customHeight="1" x14ac:dyDescent="0.15">
      <c r="A2497" s="2"/>
    </row>
    <row r="2498" spans="1:1" ht="15.75" customHeight="1" x14ac:dyDescent="0.15">
      <c r="A2498" s="2"/>
    </row>
    <row r="2499" spans="1:1" ht="15.75" customHeight="1" x14ac:dyDescent="0.15">
      <c r="A2499" s="2"/>
    </row>
    <row r="2500" spans="1:1" ht="15.75" customHeight="1" x14ac:dyDescent="0.15">
      <c r="A2500" s="2"/>
    </row>
    <row r="2501" spans="1:1" ht="15.75" customHeight="1" x14ac:dyDescent="0.15">
      <c r="A2501" s="2"/>
    </row>
    <row r="2502" spans="1:1" ht="15.75" customHeight="1" x14ac:dyDescent="0.15">
      <c r="A2502" s="2"/>
    </row>
    <row r="2503" spans="1:1" ht="15.75" customHeight="1" x14ac:dyDescent="0.15">
      <c r="A2503" s="2"/>
    </row>
    <row r="2504" spans="1:1" ht="15.75" customHeight="1" x14ac:dyDescent="0.15">
      <c r="A2504" s="2"/>
    </row>
    <row r="2505" spans="1:1" ht="15.75" customHeight="1" x14ac:dyDescent="0.15">
      <c r="A2505" s="2"/>
    </row>
    <row r="2506" spans="1:1" ht="15.75" customHeight="1" x14ac:dyDescent="0.15">
      <c r="A2506" s="2"/>
    </row>
    <row r="2507" spans="1:1" ht="15.75" customHeight="1" x14ac:dyDescent="0.15">
      <c r="A2507" s="2"/>
    </row>
    <row r="2508" spans="1:1" ht="15.75" customHeight="1" x14ac:dyDescent="0.15">
      <c r="A2508" s="2"/>
    </row>
    <row r="2509" spans="1:1" ht="15.75" customHeight="1" x14ac:dyDescent="0.15">
      <c r="A2509" s="2"/>
    </row>
    <row r="2510" spans="1:1" ht="15.75" customHeight="1" x14ac:dyDescent="0.15">
      <c r="A2510" s="2"/>
    </row>
    <row r="2511" spans="1:1" ht="15.75" customHeight="1" x14ac:dyDescent="0.15">
      <c r="A2511" s="2"/>
    </row>
    <row r="2512" spans="1:1" ht="15.75" customHeight="1" x14ac:dyDescent="0.15">
      <c r="A2512" s="2"/>
    </row>
    <row r="2513" spans="1:1" ht="15.75" customHeight="1" x14ac:dyDescent="0.15">
      <c r="A2513" s="2"/>
    </row>
    <row r="2514" spans="1:1" ht="15.75" customHeight="1" x14ac:dyDescent="0.15">
      <c r="A2514" s="2"/>
    </row>
    <row r="2515" spans="1:1" ht="15.75" customHeight="1" x14ac:dyDescent="0.15">
      <c r="A2515" s="2"/>
    </row>
    <row r="2516" spans="1:1" ht="15.75" customHeight="1" x14ac:dyDescent="0.15">
      <c r="A2516" s="2"/>
    </row>
    <row r="2517" spans="1:1" ht="15.75" customHeight="1" x14ac:dyDescent="0.15">
      <c r="A2517" s="2"/>
    </row>
    <row r="2518" spans="1:1" ht="15.75" customHeight="1" x14ac:dyDescent="0.15">
      <c r="A2518" s="2"/>
    </row>
    <row r="2519" spans="1:1" ht="15.75" customHeight="1" x14ac:dyDescent="0.15">
      <c r="A2519" s="2"/>
    </row>
    <row r="2520" spans="1:1" ht="15.75" customHeight="1" x14ac:dyDescent="0.15">
      <c r="A2520" s="2"/>
    </row>
    <row r="2521" spans="1:1" ht="15.75" customHeight="1" x14ac:dyDescent="0.15">
      <c r="A2521" s="2"/>
    </row>
    <row r="2522" spans="1:1" ht="15.75" customHeight="1" x14ac:dyDescent="0.15">
      <c r="A2522" s="2"/>
    </row>
    <row r="2523" spans="1:1" ht="15.75" customHeight="1" x14ac:dyDescent="0.15">
      <c r="A2523" s="2"/>
    </row>
    <row r="2524" spans="1:1" ht="15.75" customHeight="1" x14ac:dyDescent="0.15">
      <c r="A2524" s="2"/>
    </row>
    <row r="2525" spans="1:1" ht="15.75" customHeight="1" x14ac:dyDescent="0.15">
      <c r="A2525" s="2"/>
    </row>
    <row r="2526" spans="1:1" ht="15.75" customHeight="1" x14ac:dyDescent="0.15">
      <c r="A2526" s="2"/>
    </row>
    <row r="2527" spans="1:1" ht="15.75" customHeight="1" x14ac:dyDescent="0.15">
      <c r="A2527" s="2"/>
    </row>
    <row r="2528" spans="1:1" ht="15.75" customHeight="1" x14ac:dyDescent="0.15">
      <c r="A2528" s="2"/>
    </row>
    <row r="2529" spans="1:1" ht="15.75" customHeight="1" x14ac:dyDescent="0.15">
      <c r="A2529" s="2"/>
    </row>
    <row r="2530" spans="1:1" ht="15.75" customHeight="1" x14ac:dyDescent="0.15">
      <c r="A2530" s="2"/>
    </row>
    <row r="2531" spans="1:1" ht="15.75" customHeight="1" x14ac:dyDescent="0.15">
      <c r="A2531" s="2"/>
    </row>
    <row r="2532" spans="1:1" ht="15.75" customHeight="1" x14ac:dyDescent="0.15">
      <c r="A2532" s="2"/>
    </row>
    <row r="2533" spans="1:1" ht="15.75" customHeight="1" x14ac:dyDescent="0.15">
      <c r="A2533" s="2"/>
    </row>
    <row r="2534" spans="1:1" ht="15.75" customHeight="1" x14ac:dyDescent="0.15">
      <c r="A2534" s="2"/>
    </row>
    <row r="2535" spans="1:1" ht="15.75" customHeight="1" x14ac:dyDescent="0.15">
      <c r="A2535" s="2"/>
    </row>
    <row r="2536" spans="1:1" ht="15.75" customHeight="1" x14ac:dyDescent="0.15">
      <c r="A2536" s="2"/>
    </row>
    <row r="2537" spans="1:1" ht="15.75" customHeight="1" x14ac:dyDescent="0.15">
      <c r="A2537" s="2"/>
    </row>
    <row r="2538" spans="1:1" ht="15.75" customHeight="1" x14ac:dyDescent="0.15">
      <c r="A2538" s="2"/>
    </row>
    <row r="2539" spans="1:1" ht="15.75" customHeight="1" x14ac:dyDescent="0.15">
      <c r="A2539" s="2"/>
    </row>
    <row r="2540" spans="1:1" ht="15.75" customHeight="1" x14ac:dyDescent="0.15">
      <c r="A2540" s="2"/>
    </row>
    <row r="2541" spans="1:1" ht="15.75" customHeight="1" x14ac:dyDescent="0.15">
      <c r="A2541" s="2"/>
    </row>
    <row r="2542" spans="1:1" ht="15.75" customHeight="1" x14ac:dyDescent="0.15">
      <c r="A2542" s="2"/>
    </row>
    <row r="2543" spans="1:1" ht="15.75" customHeight="1" x14ac:dyDescent="0.15">
      <c r="A2543" s="2"/>
    </row>
    <row r="2544" spans="1:1" ht="15.75" customHeight="1" x14ac:dyDescent="0.15">
      <c r="A2544" s="2"/>
    </row>
    <row r="2545" spans="1:1" ht="15.75" customHeight="1" x14ac:dyDescent="0.15">
      <c r="A2545" s="2"/>
    </row>
    <row r="2546" spans="1:1" ht="15.75" customHeight="1" x14ac:dyDescent="0.15">
      <c r="A2546" s="2"/>
    </row>
    <row r="2547" spans="1:1" ht="15.75" customHeight="1" x14ac:dyDescent="0.15">
      <c r="A2547" s="2"/>
    </row>
    <row r="2548" spans="1:1" ht="15.75" customHeight="1" x14ac:dyDescent="0.15">
      <c r="A2548" s="2"/>
    </row>
    <row r="2549" spans="1:1" ht="15.75" customHeight="1" x14ac:dyDescent="0.15">
      <c r="A2549" s="2"/>
    </row>
    <row r="2550" spans="1:1" ht="15.75" customHeight="1" x14ac:dyDescent="0.15">
      <c r="A2550" s="2"/>
    </row>
    <row r="2551" spans="1:1" ht="15.75" customHeight="1" x14ac:dyDescent="0.15">
      <c r="A2551" s="2"/>
    </row>
    <row r="2552" spans="1:1" ht="15.75" customHeight="1" x14ac:dyDescent="0.15">
      <c r="A2552" s="2"/>
    </row>
    <row r="2553" spans="1:1" ht="15.75" customHeight="1" x14ac:dyDescent="0.15">
      <c r="A2553" s="2"/>
    </row>
    <row r="2554" spans="1:1" ht="15.75" customHeight="1" x14ac:dyDescent="0.15">
      <c r="A2554" s="2"/>
    </row>
    <row r="2555" spans="1:1" ht="15.75" customHeight="1" x14ac:dyDescent="0.15">
      <c r="A2555" s="2"/>
    </row>
    <row r="2556" spans="1:1" ht="15.75" customHeight="1" x14ac:dyDescent="0.15">
      <c r="A2556" s="2"/>
    </row>
    <row r="2557" spans="1:1" ht="15.75" customHeight="1" x14ac:dyDescent="0.15">
      <c r="A2557" s="2"/>
    </row>
    <row r="2558" spans="1:1" ht="15.75" customHeight="1" x14ac:dyDescent="0.15">
      <c r="A2558" s="2"/>
    </row>
    <row r="2559" spans="1:1" ht="15.75" customHeight="1" x14ac:dyDescent="0.15">
      <c r="A2559" s="2"/>
    </row>
    <row r="2560" spans="1:1" ht="15.75" customHeight="1" x14ac:dyDescent="0.15">
      <c r="A2560" s="2"/>
    </row>
    <row r="2561" spans="1:1" ht="15.75" customHeight="1" x14ac:dyDescent="0.15">
      <c r="A2561" s="2"/>
    </row>
    <row r="2562" spans="1:1" ht="15.75" customHeight="1" x14ac:dyDescent="0.15">
      <c r="A2562" s="2"/>
    </row>
    <row r="2563" spans="1:1" ht="15.75" customHeight="1" x14ac:dyDescent="0.15">
      <c r="A2563" s="2"/>
    </row>
    <row r="2564" spans="1:1" ht="15.75" customHeight="1" x14ac:dyDescent="0.15">
      <c r="A2564" s="2"/>
    </row>
    <row r="2565" spans="1:1" ht="15.75" customHeight="1" x14ac:dyDescent="0.15">
      <c r="A2565" s="2"/>
    </row>
    <row r="2566" spans="1:1" ht="15.75" customHeight="1" x14ac:dyDescent="0.15">
      <c r="A2566" s="2"/>
    </row>
    <row r="2567" spans="1:1" ht="15.75" customHeight="1" x14ac:dyDescent="0.15">
      <c r="A2567" s="2"/>
    </row>
    <row r="2568" spans="1:1" ht="15.75" customHeight="1" x14ac:dyDescent="0.15">
      <c r="A2568" s="2"/>
    </row>
    <row r="2569" spans="1:1" ht="15.75" customHeight="1" x14ac:dyDescent="0.15">
      <c r="A2569" s="2"/>
    </row>
    <row r="2570" spans="1:1" ht="15.75" customHeight="1" x14ac:dyDescent="0.15">
      <c r="A2570" s="2"/>
    </row>
    <row r="2571" spans="1:1" ht="15.75" customHeight="1" x14ac:dyDescent="0.15">
      <c r="A2571" s="2"/>
    </row>
    <row r="2572" spans="1:1" ht="15.75" customHeight="1" x14ac:dyDescent="0.15">
      <c r="A2572" s="2"/>
    </row>
    <row r="2573" spans="1:1" ht="15.75" customHeight="1" x14ac:dyDescent="0.15">
      <c r="A2573" s="2"/>
    </row>
    <row r="2574" spans="1:1" ht="15.75" customHeight="1" x14ac:dyDescent="0.15">
      <c r="A2574" s="2"/>
    </row>
    <row r="2575" spans="1:1" ht="15.75" customHeight="1" x14ac:dyDescent="0.15">
      <c r="A2575" s="2"/>
    </row>
    <row r="2576" spans="1:1" ht="15.75" customHeight="1" x14ac:dyDescent="0.15">
      <c r="A2576" s="2"/>
    </row>
    <row r="2577" spans="1:1" ht="15.75" customHeight="1" x14ac:dyDescent="0.15">
      <c r="A2577" s="2"/>
    </row>
    <row r="2578" spans="1:1" ht="15.75" customHeight="1" x14ac:dyDescent="0.15">
      <c r="A2578" s="2"/>
    </row>
    <row r="2579" spans="1:1" ht="15.75" customHeight="1" x14ac:dyDescent="0.15">
      <c r="A2579" s="2"/>
    </row>
    <row r="2580" spans="1:1" ht="15.75" customHeight="1" x14ac:dyDescent="0.15">
      <c r="A2580" s="2"/>
    </row>
    <row r="2581" spans="1:1" ht="15.75" customHeight="1" x14ac:dyDescent="0.15">
      <c r="A2581" s="2"/>
    </row>
    <row r="2582" spans="1:1" ht="15.75" customHeight="1" x14ac:dyDescent="0.15">
      <c r="A2582" s="2"/>
    </row>
    <row r="2583" spans="1:1" ht="15.75" customHeight="1" x14ac:dyDescent="0.15">
      <c r="A2583" s="2"/>
    </row>
    <row r="2584" spans="1:1" ht="15.75" customHeight="1" x14ac:dyDescent="0.15">
      <c r="A2584" s="2"/>
    </row>
    <row r="2585" spans="1:1" ht="15.75" customHeight="1" x14ac:dyDescent="0.15">
      <c r="A2585" s="2"/>
    </row>
    <row r="2586" spans="1:1" ht="15.75" customHeight="1" x14ac:dyDescent="0.15">
      <c r="A2586" s="2"/>
    </row>
    <row r="2587" spans="1:1" ht="15.75" customHeight="1" x14ac:dyDescent="0.15">
      <c r="A2587" s="2"/>
    </row>
    <row r="2588" spans="1:1" ht="15.75" customHeight="1" x14ac:dyDescent="0.15">
      <c r="A2588" s="2"/>
    </row>
    <row r="2589" spans="1:1" ht="15.75" customHeight="1" x14ac:dyDescent="0.15">
      <c r="A2589" s="2"/>
    </row>
    <row r="2590" spans="1:1" ht="15.75" customHeight="1" x14ac:dyDescent="0.15">
      <c r="A2590" s="2"/>
    </row>
    <row r="2591" spans="1:1" ht="15.75" customHeight="1" x14ac:dyDescent="0.15">
      <c r="A2591" s="2"/>
    </row>
    <row r="2592" spans="1:1" ht="15.75" customHeight="1" x14ac:dyDescent="0.15">
      <c r="A2592" s="2"/>
    </row>
    <row r="2593" spans="1:1" ht="15.75" customHeight="1" x14ac:dyDescent="0.15">
      <c r="A2593" s="2"/>
    </row>
    <row r="2594" spans="1:1" ht="15.75" customHeight="1" x14ac:dyDescent="0.15">
      <c r="A2594" s="2"/>
    </row>
    <row r="2595" spans="1:1" ht="15.75" customHeight="1" x14ac:dyDescent="0.15">
      <c r="A2595" s="2"/>
    </row>
    <row r="2596" spans="1:1" ht="15.75" customHeight="1" x14ac:dyDescent="0.15">
      <c r="A2596" s="2"/>
    </row>
    <row r="2597" spans="1:1" ht="15.75" customHeight="1" x14ac:dyDescent="0.15">
      <c r="A2597" s="2"/>
    </row>
    <row r="2598" spans="1:1" ht="15.75" customHeight="1" x14ac:dyDescent="0.15">
      <c r="A2598" s="2"/>
    </row>
    <row r="2599" spans="1:1" ht="15.75" customHeight="1" x14ac:dyDescent="0.15">
      <c r="A2599" s="2"/>
    </row>
    <row r="2600" spans="1:1" ht="15.75" customHeight="1" x14ac:dyDescent="0.15">
      <c r="A2600" s="2"/>
    </row>
    <row r="2601" spans="1:1" ht="15.75" customHeight="1" x14ac:dyDescent="0.15">
      <c r="A2601" s="2"/>
    </row>
    <row r="2602" spans="1:1" ht="15.75" customHeight="1" x14ac:dyDescent="0.15">
      <c r="A2602" s="2"/>
    </row>
    <row r="2603" spans="1:1" ht="15.75" customHeight="1" x14ac:dyDescent="0.15">
      <c r="A2603" s="2"/>
    </row>
    <row r="2604" spans="1:1" ht="15.75" customHeight="1" x14ac:dyDescent="0.15">
      <c r="A2604" s="2"/>
    </row>
    <row r="2605" spans="1:1" ht="15.75" customHeight="1" x14ac:dyDescent="0.15">
      <c r="A2605" s="2"/>
    </row>
    <row r="2606" spans="1:1" ht="15.75" customHeight="1" x14ac:dyDescent="0.15">
      <c r="A2606" s="2"/>
    </row>
    <row r="2607" spans="1:1" ht="15.75" customHeight="1" x14ac:dyDescent="0.15">
      <c r="A2607" s="2"/>
    </row>
    <row r="2608" spans="1:1" ht="15.75" customHeight="1" x14ac:dyDescent="0.15">
      <c r="A2608" s="2"/>
    </row>
    <row r="2609" spans="1:1" ht="15.75" customHeight="1" x14ac:dyDescent="0.15">
      <c r="A2609" s="2"/>
    </row>
    <row r="2610" spans="1:1" ht="15.75" customHeight="1" x14ac:dyDescent="0.15">
      <c r="A2610" s="2"/>
    </row>
    <row r="2611" spans="1:1" ht="15.75" customHeight="1" x14ac:dyDescent="0.15">
      <c r="A2611" s="2"/>
    </row>
    <row r="2612" spans="1:1" ht="15.75" customHeight="1" x14ac:dyDescent="0.15">
      <c r="A2612" s="2"/>
    </row>
    <row r="2613" spans="1:1" ht="15.75" customHeight="1" x14ac:dyDescent="0.15">
      <c r="A2613" s="2"/>
    </row>
    <row r="2614" spans="1:1" ht="15.75" customHeight="1" x14ac:dyDescent="0.15">
      <c r="A2614" s="2"/>
    </row>
    <row r="2615" spans="1:1" ht="15.75" customHeight="1" x14ac:dyDescent="0.15">
      <c r="A2615" s="2"/>
    </row>
    <row r="2616" spans="1:1" ht="15.75" customHeight="1" x14ac:dyDescent="0.15">
      <c r="A2616" s="2"/>
    </row>
    <row r="2617" spans="1:1" ht="15.75" customHeight="1" x14ac:dyDescent="0.15">
      <c r="A2617" s="2"/>
    </row>
    <row r="2618" spans="1:1" ht="15.75" customHeight="1" x14ac:dyDescent="0.15">
      <c r="A2618" s="2"/>
    </row>
    <row r="2619" spans="1:1" ht="15.75" customHeight="1" x14ac:dyDescent="0.15">
      <c r="A2619" s="2"/>
    </row>
    <row r="2620" spans="1:1" ht="15.75" customHeight="1" x14ac:dyDescent="0.15">
      <c r="A2620" s="2"/>
    </row>
    <row r="2621" spans="1:1" ht="15.75" customHeight="1" x14ac:dyDescent="0.15">
      <c r="A2621" s="2"/>
    </row>
    <row r="2622" spans="1:1" ht="15.75" customHeight="1" x14ac:dyDescent="0.15">
      <c r="A2622" s="2"/>
    </row>
    <row r="2623" spans="1:1" ht="15.75" customHeight="1" x14ac:dyDescent="0.15">
      <c r="A2623" s="2"/>
    </row>
    <row r="2624" spans="1:1" ht="15.75" customHeight="1" x14ac:dyDescent="0.15">
      <c r="A2624" s="2"/>
    </row>
    <row r="2625" spans="1:1" ht="15.75" customHeight="1" x14ac:dyDescent="0.15">
      <c r="A2625" s="2"/>
    </row>
    <row r="2626" spans="1:1" ht="15.75" customHeight="1" x14ac:dyDescent="0.15">
      <c r="A2626" s="2"/>
    </row>
    <row r="2627" spans="1:1" ht="15.75" customHeight="1" x14ac:dyDescent="0.15">
      <c r="A2627" s="2"/>
    </row>
    <row r="2628" spans="1:1" ht="15.75" customHeight="1" x14ac:dyDescent="0.15">
      <c r="A2628" s="2"/>
    </row>
    <row r="2629" spans="1:1" ht="15.75" customHeight="1" x14ac:dyDescent="0.15">
      <c r="A2629" s="2"/>
    </row>
    <row r="2630" spans="1:1" ht="15.75" customHeight="1" x14ac:dyDescent="0.15">
      <c r="A2630" s="2"/>
    </row>
    <row r="2631" spans="1:1" ht="15.75" customHeight="1" x14ac:dyDescent="0.15">
      <c r="A2631" s="2"/>
    </row>
    <row r="2632" spans="1:1" ht="15.75" customHeight="1" x14ac:dyDescent="0.15">
      <c r="A2632" s="2"/>
    </row>
    <row r="2633" spans="1:1" ht="15.75" customHeight="1" x14ac:dyDescent="0.15">
      <c r="A2633" s="2"/>
    </row>
    <row r="2634" spans="1:1" ht="15.75" customHeight="1" x14ac:dyDescent="0.15">
      <c r="A2634" s="2"/>
    </row>
    <row r="2635" spans="1:1" ht="15.75" customHeight="1" x14ac:dyDescent="0.15">
      <c r="A2635" s="2"/>
    </row>
    <row r="2636" spans="1:1" ht="15.75" customHeight="1" x14ac:dyDescent="0.15">
      <c r="A2636" s="2"/>
    </row>
    <row r="2637" spans="1:1" ht="15.75" customHeight="1" x14ac:dyDescent="0.15">
      <c r="A2637" s="2"/>
    </row>
    <row r="2638" spans="1:1" ht="15.75" customHeight="1" x14ac:dyDescent="0.15">
      <c r="A2638" s="2"/>
    </row>
    <row r="2639" spans="1:1" ht="15.75" customHeight="1" x14ac:dyDescent="0.15">
      <c r="A2639" s="2"/>
    </row>
    <row r="2640" spans="1:1" ht="15.75" customHeight="1" x14ac:dyDescent="0.15">
      <c r="A2640" s="2"/>
    </row>
    <row r="2641" spans="1:1" ht="15.75" customHeight="1" x14ac:dyDescent="0.15">
      <c r="A2641" s="2"/>
    </row>
    <row r="2642" spans="1:1" ht="15.75" customHeight="1" x14ac:dyDescent="0.15">
      <c r="A2642" s="2"/>
    </row>
    <row r="2643" spans="1:1" ht="15.75" customHeight="1" x14ac:dyDescent="0.15">
      <c r="A2643" s="2"/>
    </row>
    <row r="2644" spans="1:1" ht="15.75" customHeight="1" x14ac:dyDescent="0.15">
      <c r="A2644" s="2"/>
    </row>
    <row r="2645" spans="1:1" ht="15.75" customHeight="1" x14ac:dyDescent="0.15">
      <c r="A2645" s="2"/>
    </row>
    <row r="2646" spans="1:1" ht="15.75" customHeight="1" x14ac:dyDescent="0.15">
      <c r="A2646" s="2"/>
    </row>
    <row r="2647" spans="1:1" ht="15.75" customHeight="1" x14ac:dyDescent="0.15">
      <c r="A2647" s="2"/>
    </row>
    <row r="2648" spans="1:1" ht="15.75" customHeight="1" x14ac:dyDescent="0.15">
      <c r="A2648" s="2"/>
    </row>
    <row r="2649" spans="1:1" ht="15.75" customHeight="1" x14ac:dyDescent="0.15">
      <c r="A2649" s="2"/>
    </row>
    <row r="2650" spans="1:1" ht="15.75" customHeight="1" x14ac:dyDescent="0.15">
      <c r="A2650" s="2"/>
    </row>
    <row r="2651" spans="1:1" ht="15.75" customHeight="1" x14ac:dyDescent="0.15">
      <c r="A2651" s="2"/>
    </row>
    <row r="2652" spans="1:1" ht="15.75" customHeight="1" x14ac:dyDescent="0.15">
      <c r="A2652" s="2"/>
    </row>
    <row r="2653" spans="1:1" ht="15.75" customHeight="1" x14ac:dyDescent="0.15">
      <c r="A2653" s="2"/>
    </row>
    <row r="2654" spans="1:1" ht="15.75" customHeight="1" x14ac:dyDescent="0.15">
      <c r="A2654" s="2"/>
    </row>
    <row r="2655" spans="1:1" ht="15.75" customHeight="1" x14ac:dyDescent="0.15">
      <c r="A2655" s="2"/>
    </row>
    <row r="2656" spans="1:1" ht="15.75" customHeight="1" x14ac:dyDescent="0.15">
      <c r="A2656" s="2"/>
    </row>
    <row r="2657" spans="1:1" ht="15.75" customHeight="1" x14ac:dyDescent="0.15">
      <c r="A2657" s="2"/>
    </row>
    <row r="2658" spans="1:1" ht="15.75" customHeight="1" x14ac:dyDescent="0.15">
      <c r="A2658" s="2"/>
    </row>
    <row r="2659" spans="1:1" ht="15.75" customHeight="1" x14ac:dyDescent="0.15">
      <c r="A2659" s="2"/>
    </row>
    <row r="2660" spans="1:1" ht="15.75" customHeight="1" x14ac:dyDescent="0.15">
      <c r="A2660" s="2"/>
    </row>
    <row r="2661" spans="1:1" ht="15.75" customHeight="1" x14ac:dyDescent="0.15">
      <c r="A2661" s="2"/>
    </row>
    <row r="2662" spans="1:1" ht="15.75" customHeight="1" x14ac:dyDescent="0.15">
      <c r="A2662" s="2"/>
    </row>
    <row r="2663" spans="1:1" ht="15.75" customHeight="1" x14ac:dyDescent="0.15">
      <c r="A2663" s="2"/>
    </row>
    <row r="2664" spans="1:1" ht="15.75" customHeight="1" x14ac:dyDescent="0.15">
      <c r="A2664" s="2"/>
    </row>
    <row r="2665" spans="1:1" ht="15.75" customHeight="1" x14ac:dyDescent="0.15">
      <c r="A2665" s="2"/>
    </row>
    <row r="2666" spans="1:1" ht="15.75" customHeight="1" x14ac:dyDescent="0.15">
      <c r="A2666" s="2"/>
    </row>
    <row r="2667" spans="1:1" ht="15.75" customHeight="1" x14ac:dyDescent="0.15">
      <c r="A2667" s="2"/>
    </row>
    <row r="2668" spans="1:1" ht="15.75" customHeight="1" x14ac:dyDescent="0.15">
      <c r="A2668" s="2"/>
    </row>
    <row r="2669" spans="1:1" ht="15.75" customHeight="1" x14ac:dyDescent="0.15">
      <c r="A2669" s="2"/>
    </row>
    <row r="2670" spans="1:1" ht="15.75" customHeight="1" x14ac:dyDescent="0.15">
      <c r="A2670" s="2"/>
    </row>
    <row r="2671" spans="1:1" ht="15.75" customHeight="1" x14ac:dyDescent="0.15">
      <c r="A2671" s="2"/>
    </row>
    <row r="2672" spans="1:1" ht="15.75" customHeight="1" x14ac:dyDescent="0.15">
      <c r="A2672" s="2"/>
    </row>
    <row r="2673" spans="1:1" ht="15.75" customHeight="1" x14ac:dyDescent="0.15">
      <c r="A2673" s="2"/>
    </row>
    <row r="2674" spans="1:1" ht="15.75" customHeight="1" x14ac:dyDescent="0.15">
      <c r="A2674" s="2"/>
    </row>
    <row r="2675" spans="1:1" ht="15.75" customHeight="1" x14ac:dyDescent="0.15">
      <c r="A2675" s="2"/>
    </row>
    <row r="2676" spans="1:1" ht="15.75" customHeight="1" x14ac:dyDescent="0.15">
      <c r="A2676" s="2"/>
    </row>
    <row r="2677" spans="1:1" ht="15.75" customHeight="1" x14ac:dyDescent="0.15">
      <c r="A2677" s="2"/>
    </row>
    <row r="2678" spans="1:1" ht="15.75" customHeight="1" x14ac:dyDescent="0.15">
      <c r="A2678" s="2"/>
    </row>
    <row r="2679" spans="1:1" ht="15.75" customHeight="1" x14ac:dyDescent="0.15">
      <c r="A2679" s="2"/>
    </row>
    <row r="2680" spans="1:1" ht="15.75" customHeight="1" x14ac:dyDescent="0.15">
      <c r="A2680" s="2"/>
    </row>
    <row r="2681" spans="1:1" ht="15.75" customHeight="1" x14ac:dyDescent="0.15">
      <c r="A2681" s="2"/>
    </row>
    <row r="2682" spans="1:1" ht="15.75" customHeight="1" x14ac:dyDescent="0.15">
      <c r="A2682" s="2"/>
    </row>
    <row r="2683" spans="1:1" ht="15.75" customHeight="1" x14ac:dyDescent="0.15">
      <c r="A2683" s="2"/>
    </row>
    <row r="2684" spans="1:1" ht="15.75" customHeight="1" x14ac:dyDescent="0.15">
      <c r="A2684" s="2"/>
    </row>
    <row r="2685" spans="1:1" ht="15.75" customHeight="1" x14ac:dyDescent="0.15">
      <c r="A2685" s="2"/>
    </row>
    <row r="2686" spans="1:1" ht="15.75" customHeight="1" x14ac:dyDescent="0.15">
      <c r="A2686" s="2"/>
    </row>
    <row r="2687" spans="1:1" ht="15.75" customHeight="1" x14ac:dyDescent="0.15">
      <c r="A2687" s="2"/>
    </row>
    <row r="2688" spans="1:1" ht="15.75" customHeight="1" x14ac:dyDescent="0.15">
      <c r="A2688" s="2"/>
    </row>
    <row r="2689" spans="1:1" ht="15.75" customHeight="1" x14ac:dyDescent="0.15">
      <c r="A2689" s="2"/>
    </row>
    <row r="2690" spans="1:1" ht="15.75" customHeight="1" x14ac:dyDescent="0.15">
      <c r="A2690" s="2"/>
    </row>
    <row r="2691" spans="1:1" ht="15.75" customHeight="1" x14ac:dyDescent="0.15">
      <c r="A2691" s="2"/>
    </row>
    <row r="2692" spans="1:1" ht="15.75" customHeight="1" x14ac:dyDescent="0.15">
      <c r="A2692" s="2"/>
    </row>
    <row r="2693" spans="1:1" ht="15.75" customHeight="1" x14ac:dyDescent="0.15">
      <c r="A2693" s="2"/>
    </row>
    <row r="2694" spans="1:1" ht="15.75" customHeight="1" x14ac:dyDescent="0.15">
      <c r="A2694" s="2"/>
    </row>
    <row r="2695" spans="1:1" ht="15.75" customHeight="1" x14ac:dyDescent="0.15">
      <c r="A2695" s="2"/>
    </row>
    <row r="2696" spans="1:1" ht="15.75" customHeight="1" x14ac:dyDescent="0.15">
      <c r="A2696" s="2"/>
    </row>
    <row r="2697" spans="1:1" ht="15.75" customHeight="1" x14ac:dyDescent="0.15">
      <c r="A2697" s="2"/>
    </row>
    <row r="2698" spans="1:1" ht="15.75" customHeight="1" x14ac:dyDescent="0.15">
      <c r="A2698" s="2"/>
    </row>
    <row r="2699" spans="1:1" ht="15.75" customHeight="1" x14ac:dyDescent="0.15">
      <c r="A2699" s="2"/>
    </row>
    <row r="2700" spans="1:1" ht="15.75" customHeight="1" x14ac:dyDescent="0.15">
      <c r="A2700" s="2"/>
    </row>
    <row r="2701" spans="1:1" ht="15.75" customHeight="1" x14ac:dyDescent="0.15">
      <c r="A2701" s="2"/>
    </row>
    <row r="2702" spans="1:1" ht="15.75" customHeight="1" x14ac:dyDescent="0.15">
      <c r="A2702" s="2"/>
    </row>
    <row r="2703" spans="1:1" ht="15.75" customHeight="1" x14ac:dyDescent="0.15">
      <c r="A2703" s="2"/>
    </row>
    <row r="2704" spans="1:1" ht="15.75" customHeight="1" x14ac:dyDescent="0.15">
      <c r="A2704" s="2"/>
    </row>
    <row r="2705" spans="1:1" ht="15.75" customHeight="1" x14ac:dyDescent="0.15">
      <c r="A2705" s="2"/>
    </row>
    <row r="2706" spans="1:1" ht="15.75" customHeight="1" x14ac:dyDescent="0.15">
      <c r="A2706" s="2"/>
    </row>
    <row r="2707" spans="1:1" ht="15.75" customHeight="1" x14ac:dyDescent="0.15">
      <c r="A2707" s="2"/>
    </row>
    <row r="2708" spans="1:1" ht="15.75" customHeight="1" x14ac:dyDescent="0.15">
      <c r="A2708" s="2"/>
    </row>
    <row r="2709" spans="1:1" ht="15.75" customHeight="1" x14ac:dyDescent="0.15">
      <c r="A2709" s="2"/>
    </row>
    <row r="2710" spans="1:1" ht="15.75" customHeight="1" x14ac:dyDescent="0.15">
      <c r="A2710" s="2"/>
    </row>
    <row r="2711" spans="1:1" ht="15.75" customHeight="1" x14ac:dyDescent="0.15">
      <c r="A2711" s="2"/>
    </row>
    <row r="2712" spans="1:1" ht="15.75" customHeight="1" x14ac:dyDescent="0.15">
      <c r="A2712" s="2"/>
    </row>
    <row r="2713" spans="1:1" ht="15.75" customHeight="1" x14ac:dyDescent="0.15">
      <c r="A2713" s="2"/>
    </row>
    <row r="2714" spans="1:1" ht="15.75" customHeight="1" x14ac:dyDescent="0.15">
      <c r="A2714" s="2"/>
    </row>
    <row r="2715" spans="1:1" ht="15.75" customHeight="1" x14ac:dyDescent="0.15">
      <c r="A2715" s="2"/>
    </row>
    <row r="2716" spans="1:1" ht="15.75" customHeight="1" x14ac:dyDescent="0.15">
      <c r="A2716" s="2"/>
    </row>
    <row r="2717" spans="1:1" ht="15.75" customHeight="1" x14ac:dyDescent="0.15">
      <c r="A2717" s="2"/>
    </row>
    <row r="2718" spans="1:1" ht="15.75" customHeight="1" x14ac:dyDescent="0.15">
      <c r="A2718" s="2"/>
    </row>
    <row r="2719" spans="1:1" ht="15.75" customHeight="1" x14ac:dyDescent="0.15">
      <c r="A2719" s="2"/>
    </row>
    <row r="2720" spans="1:1" ht="15.75" customHeight="1" x14ac:dyDescent="0.15">
      <c r="A2720" s="2"/>
    </row>
    <row r="2721" spans="1:1" ht="15.75" customHeight="1" x14ac:dyDescent="0.15">
      <c r="A2721" s="2"/>
    </row>
    <row r="2722" spans="1:1" ht="15.75" customHeight="1" x14ac:dyDescent="0.15">
      <c r="A2722" s="2"/>
    </row>
    <row r="2723" spans="1:1" ht="15.75" customHeight="1" x14ac:dyDescent="0.15">
      <c r="A2723" s="2"/>
    </row>
    <row r="2724" spans="1:1" ht="15.75" customHeight="1" x14ac:dyDescent="0.15">
      <c r="A2724" s="2"/>
    </row>
    <row r="2725" spans="1:1" ht="15.75" customHeight="1" x14ac:dyDescent="0.15">
      <c r="A2725" s="2"/>
    </row>
    <row r="2726" spans="1:1" ht="15.75" customHeight="1" x14ac:dyDescent="0.15">
      <c r="A2726" s="2"/>
    </row>
    <row r="2727" spans="1:1" ht="15.75" customHeight="1" x14ac:dyDescent="0.15">
      <c r="A2727" s="2"/>
    </row>
    <row r="2728" spans="1:1" ht="15.75" customHeight="1" x14ac:dyDescent="0.15">
      <c r="A2728" s="2"/>
    </row>
    <row r="2729" spans="1:1" ht="15.75" customHeight="1" x14ac:dyDescent="0.15">
      <c r="A2729" s="2"/>
    </row>
    <row r="2730" spans="1:1" ht="15.75" customHeight="1" x14ac:dyDescent="0.15">
      <c r="A2730" s="2"/>
    </row>
    <row r="2731" spans="1:1" ht="15.75" customHeight="1" x14ac:dyDescent="0.15">
      <c r="A2731" s="2"/>
    </row>
    <row r="2732" spans="1:1" ht="15.75" customHeight="1" x14ac:dyDescent="0.15">
      <c r="A2732" s="2"/>
    </row>
    <row r="2733" spans="1:1" ht="15.75" customHeight="1" x14ac:dyDescent="0.15">
      <c r="A2733" s="2"/>
    </row>
    <row r="2734" spans="1:1" ht="15.75" customHeight="1" x14ac:dyDescent="0.15">
      <c r="A2734" s="2"/>
    </row>
    <row r="2735" spans="1:1" ht="15.75" customHeight="1" x14ac:dyDescent="0.15">
      <c r="A2735" s="2"/>
    </row>
    <row r="2736" spans="1:1" ht="15.75" customHeight="1" x14ac:dyDescent="0.15">
      <c r="A2736" s="2"/>
    </row>
    <row r="2737" spans="1:1" ht="15.75" customHeight="1" x14ac:dyDescent="0.15">
      <c r="A2737" s="2"/>
    </row>
    <row r="2738" spans="1:1" ht="15.75" customHeight="1" x14ac:dyDescent="0.15">
      <c r="A2738" s="2"/>
    </row>
    <row r="2739" spans="1:1" ht="15.75" customHeight="1" x14ac:dyDescent="0.15">
      <c r="A2739" s="2"/>
    </row>
    <row r="2740" spans="1:1" ht="15.75" customHeight="1" x14ac:dyDescent="0.15">
      <c r="A2740" s="2"/>
    </row>
    <row r="2741" spans="1:1" ht="15.75" customHeight="1" x14ac:dyDescent="0.15">
      <c r="A2741" s="2"/>
    </row>
    <row r="2742" spans="1:1" ht="15.75" customHeight="1" x14ac:dyDescent="0.15">
      <c r="A2742" s="2"/>
    </row>
    <row r="2743" spans="1:1" ht="15.75" customHeight="1" x14ac:dyDescent="0.15">
      <c r="A2743" s="2"/>
    </row>
    <row r="2744" spans="1:1" ht="15.75" customHeight="1" x14ac:dyDescent="0.15">
      <c r="A2744" s="2"/>
    </row>
    <row r="2745" spans="1:1" ht="15.75" customHeight="1" x14ac:dyDescent="0.15">
      <c r="A2745" s="2"/>
    </row>
    <row r="2746" spans="1:1" ht="15.75" customHeight="1" x14ac:dyDescent="0.15">
      <c r="A2746" s="2"/>
    </row>
    <row r="2747" spans="1:1" ht="15.75" customHeight="1" x14ac:dyDescent="0.15">
      <c r="A2747" s="2"/>
    </row>
    <row r="2748" spans="1:1" ht="15.75" customHeight="1" x14ac:dyDescent="0.15">
      <c r="A2748" s="2"/>
    </row>
    <row r="2749" spans="1:1" ht="15.75" customHeight="1" x14ac:dyDescent="0.15">
      <c r="A2749" s="2"/>
    </row>
    <row r="2750" spans="1:1" ht="15.75" customHeight="1" x14ac:dyDescent="0.15">
      <c r="A2750" s="2"/>
    </row>
    <row r="2751" spans="1:1" ht="15.75" customHeight="1" x14ac:dyDescent="0.15">
      <c r="A2751" s="2"/>
    </row>
    <row r="2752" spans="1:1" ht="15.75" customHeight="1" x14ac:dyDescent="0.15">
      <c r="A2752" s="2"/>
    </row>
    <row r="2753" spans="1:1" ht="15.75" customHeight="1" x14ac:dyDescent="0.15">
      <c r="A2753" s="2"/>
    </row>
    <row r="2754" spans="1:1" ht="15.75" customHeight="1" x14ac:dyDescent="0.15">
      <c r="A2754" s="2"/>
    </row>
    <row r="2755" spans="1:1" ht="15.75" customHeight="1" x14ac:dyDescent="0.15">
      <c r="A2755" s="2"/>
    </row>
    <row r="2756" spans="1:1" ht="15.75" customHeight="1" x14ac:dyDescent="0.15">
      <c r="A2756" s="2"/>
    </row>
    <row r="2757" spans="1:1" ht="15.75" customHeight="1" x14ac:dyDescent="0.15">
      <c r="A2757" s="2"/>
    </row>
    <row r="2758" spans="1:1" ht="15.75" customHeight="1" x14ac:dyDescent="0.15">
      <c r="A2758" s="2"/>
    </row>
    <row r="2759" spans="1:1" ht="15.75" customHeight="1" x14ac:dyDescent="0.15">
      <c r="A2759" s="2"/>
    </row>
    <row r="2760" spans="1:1" ht="15.75" customHeight="1" x14ac:dyDescent="0.15">
      <c r="A2760" s="2"/>
    </row>
    <row r="2761" spans="1:1" ht="15.75" customHeight="1" x14ac:dyDescent="0.15">
      <c r="A2761" s="2"/>
    </row>
    <row r="2762" spans="1:1" ht="15.75" customHeight="1" x14ac:dyDescent="0.15">
      <c r="A2762" s="2"/>
    </row>
    <row r="2763" spans="1:1" ht="15.75" customHeight="1" x14ac:dyDescent="0.15">
      <c r="A2763" s="2"/>
    </row>
    <row r="2764" spans="1:1" ht="15.75" customHeight="1" x14ac:dyDescent="0.15">
      <c r="A2764" s="2"/>
    </row>
    <row r="2765" spans="1:1" ht="15.75" customHeight="1" x14ac:dyDescent="0.15">
      <c r="A2765" s="2"/>
    </row>
    <row r="2766" spans="1:1" ht="15.75" customHeight="1" x14ac:dyDescent="0.15">
      <c r="A2766" s="2"/>
    </row>
    <row r="2767" spans="1:1" ht="15.75" customHeight="1" x14ac:dyDescent="0.15">
      <c r="A2767" s="2"/>
    </row>
    <row r="2768" spans="1:1" ht="15.75" customHeight="1" x14ac:dyDescent="0.15">
      <c r="A2768" s="2"/>
    </row>
    <row r="2769" spans="1:1" ht="15.75" customHeight="1" x14ac:dyDescent="0.15">
      <c r="A2769" s="2"/>
    </row>
    <row r="2770" spans="1:1" ht="15.75" customHeight="1" x14ac:dyDescent="0.15">
      <c r="A2770" s="2"/>
    </row>
    <row r="2771" spans="1:1" ht="15.75" customHeight="1" x14ac:dyDescent="0.15">
      <c r="A2771" s="2"/>
    </row>
    <row r="2772" spans="1:1" ht="15.75" customHeight="1" x14ac:dyDescent="0.15">
      <c r="A2772" s="2"/>
    </row>
    <row r="2773" spans="1:1" ht="15.75" customHeight="1" x14ac:dyDescent="0.15">
      <c r="A2773" s="2"/>
    </row>
    <row r="2774" spans="1:1" ht="15.75" customHeight="1" x14ac:dyDescent="0.15">
      <c r="A2774" s="2"/>
    </row>
    <row r="2775" spans="1:1" ht="15.75" customHeight="1" x14ac:dyDescent="0.15">
      <c r="A2775" s="2"/>
    </row>
    <row r="2776" spans="1:1" ht="15.75" customHeight="1" x14ac:dyDescent="0.15">
      <c r="A2776" s="2"/>
    </row>
    <row r="2777" spans="1:1" ht="15.75" customHeight="1" x14ac:dyDescent="0.15">
      <c r="A2777" s="2"/>
    </row>
    <row r="2778" spans="1:1" ht="15.75" customHeight="1" x14ac:dyDescent="0.15">
      <c r="A2778" s="2"/>
    </row>
    <row r="2779" spans="1:1" ht="15.75" customHeight="1" x14ac:dyDescent="0.15">
      <c r="A2779" s="2"/>
    </row>
    <row r="2780" spans="1:1" ht="15.75" customHeight="1" x14ac:dyDescent="0.15">
      <c r="A2780" s="2"/>
    </row>
    <row r="2781" spans="1:1" ht="15.75" customHeight="1" x14ac:dyDescent="0.15">
      <c r="A2781" s="2"/>
    </row>
    <row r="2782" spans="1:1" ht="15.75" customHeight="1" x14ac:dyDescent="0.15">
      <c r="A2782" s="2"/>
    </row>
    <row r="2783" spans="1:1" ht="15.75" customHeight="1" x14ac:dyDescent="0.15">
      <c r="A2783" s="2"/>
    </row>
    <row r="2784" spans="1:1" ht="15.75" customHeight="1" x14ac:dyDescent="0.15">
      <c r="A2784" s="2"/>
    </row>
    <row r="2785" spans="1:1" ht="15.75" customHeight="1" x14ac:dyDescent="0.15">
      <c r="A2785" s="2"/>
    </row>
    <row r="2786" spans="1:1" ht="15.75" customHeight="1" x14ac:dyDescent="0.15">
      <c r="A2786" s="2"/>
    </row>
    <row r="2787" spans="1:1" ht="15.75" customHeight="1" x14ac:dyDescent="0.15">
      <c r="A2787" s="2"/>
    </row>
    <row r="2788" spans="1:1" ht="15.75" customHeight="1" x14ac:dyDescent="0.15">
      <c r="A2788" s="2"/>
    </row>
    <row r="2789" spans="1:1" ht="15.75" customHeight="1" x14ac:dyDescent="0.15">
      <c r="A2789" s="2"/>
    </row>
    <row r="2790" spans="1:1" ht="15.75" customHeight="1" x14ac:dyDescent="0.15">
      <c r="A2790" s="2"/>
    </row>
    <row r="2791" spans="1:1" ht="15.75" customHeight="1" x14ac:dyDescent="0.15">
      <c r="A2791" s="2"/>
    </row>
    <row r="2792" spans="1:1" ht="15.75" customHeight="1" x14ac:dyDescent="0.15">
      <c r="A2792" s="2"/>
    </row>
    <row r="2793" spans="1:1" ht="15.75" customHeight="1" x14ac:dyDescent="0.15">
      <c r="A2793" s="2"/>
    </row>
    <row r="2794" spans="1:1" ht="15.75" customHeight="1" x14ac:dyDescent="0.15">
      <c r="A2794" s="2"/>
    </row>
    <row r="2795" spans="1:1" ht="15.75" customHeight="1" x14ac:dyDescent="0.15">
      <c r="A2795" s="2"/>
    </row>
    <row r="2796" spans="1:1" ht="15.75" customHeight="1" x14ac:dyDescent="0.15">
      <c r="A2796" s="2"/>
    </row>
    <row r="2797" spans="1:1" ht="15.75" customHeight="1" x14ac:dyDescent="0.15">
      <c r="A2797" s="2"/>
    </row>
    <row r="2798" spans="1:1" ht="15.75" customHeight="1" x14ac:dyDescent="0.15">
      <c r="A2798" s="2"/>
    </row>
    <row r="2799" spans="1:1" ht="15.75" customHeight="1" x14ac:dyDescent="0.15">
      <c r="A2799" s="2"/>
    </row>
    <row r="2800" spans="1:1" ht="15.75" customHeight="1" x14ac:dyDescent="0.15">
      <c r="A2800" s="2"/>
    </row>
    <row r="2801" spans="1:1" ht="15.75" customHeight="1" x14ac:dyDescent="0.15">
      <c r="A2801" s="2"/>
    </row>
    <row r="2802" spans="1:1" ht="15.75" customHeight="1" x14ac:dyDescent="0.15">
      <c r="A2802" s="2"/>
    </row>
    <row r="2803" spans="1:1" ht="15.75" customHeight="1" x14ac:dyDescent="0.15">
      <c r="A2803" s="2"/>
    </row>
    <row r="2804" spans="1:1" ht="15.75" customHeight="1" x14ac:dyDescent="0.15">
      <c r="A2804" s="2"/>
    </row>
    <row r="2805" spans="1:1" ht="15.75" customHeight="1" x14ac:dyDescent="0.15">
      <c r="A2805" s="2"/>
    </row>
    <row r="2806" spans="1:1" ht="15.75" customHeight="1" x14ac:dyDescent="0.15">
      <c r="A2806" s="2"/>
    </row>
    <row r="2807" spans="1:1" ht="15.75" customHeight="1" x14ac:dyDescent="0.15">
      <c r="A2807" s="2"/>
    </row>
    <row r="2808" spans="1:1" ht="15.75" customHeight="1" x14ac:dyDescent="0.15">
      <c r="A2808" s="2"/>
    </row>
    <row r="2809" spans="1:1" ht="15.75" customHeight="1" x14ac:dyDescent="0.15">
      <c r="A2809" s="2"/>
    </row>
    <row r="2810" spans="1:1" ht="15.75" customHeight="1" x14ac:dyDescent="0.15">
      <c r="A2810" s="2"/>
    </row>
    <row r="2811" spans="1:1" ht="15.75" customHeight="1" x14ac:dyDescent="0.15">
      <c r="A2811" s="2"/>
    </row>
    <row r="2812" spans="1:1" ht="15.75" customHeight="1" x14ac:dyDescent="0.15">
      <c r="A2812" s="2"/>
    </row>
    <row r="2813" spans="1:1" ht="15.75" customHeight="1" x14ac:dyDescent="0.15">
      <c r="A2813" s="2"/>
    </row>
    <row r="2814" spans="1:1" ht="15.75" customHeight="1" x14ac:dyDescent="0.15">
      <c r="A2814" s="2"/>
    </row>
    <row r="2815" spans="1:1" ht="15.75" customHeight="1" x14ac:dyDescent="0.15">
      <c r="A2815" s="2"/>
    </row>
    <row r="2816" spans="1:1" ht="15.75" customHeight="1" x14ac:dyDescent="0.15">
      <c r="A2816" s="2"/>
    </row>
    <row r="2817" spans="1:1" ht="15.75" customHeight="1" x14ac:dyDescent="0.15">
      <c r="A2817" s="2"/>
    </row>
    <row r="2818" spans="1:1" ht="15.75" customHeight="1" x14ac:dyDescent="0.15">
      <c r="A2818" s="2"/>
    </row>
    <row r="2819" spans="1:1" ht="15.75" customHeight="1" x14ac:dyDescent="0.15">
      <c r="A2819" s="2"/>
    </row>
    <row r="2820" spans="1:1" ht="15.75" customHeight="1" x14ac:dyDescent="0.15">
      <c r="A2820" s="2"/>
    </row>
    <row r="2821" spans="1:1" ht="15.75" customHeight="1" x14ac:dyDescent="0.15">
      <c r="A2821" s="2"/>
    </row>
    <row r="2822" spans="1:1" ht="15.75" customHeight="1" x14ac:dyDescent="0.15">
      <c r="A2822" s="2"/>
    </row>
    <row r="2823" spans="1:1" ht="15.75" customHeight="1" x14ac:dyDescent="0.15">
      <c r="A2823" s="2"/>
    </row>
    <row r="2824" spans="1:1" ht="15.75" customHeight="1" x14ac:dyDescent="0.15">
      <c r="A2824" s="2"/>
    </row>
    <row r="2825" spans="1:1" ht="15.75" customHeight="1" x14ac:dyDescent="0.15">
      <c r="A2825" s="2"/>
    </row>
    <row r="2826" spans="1:1" ht="15.75" customHeight="1" x14ac:dyDescent="0.15">
      <c r="A2826" s="2"/>
    </row>
    <row r="2827" spans="1:1" ht="15.75" customHeight="1" x14ac:dyDescent="0.15">
      <c r="A2827" s="2"/>
    </row>
    <row r="2828" spans="1:1" ht="15.75" customHeight="1" x14ac:dyDescent="0.15">
      <c r="A2828" s="2"/>
    </row>
    <row r="2829" spans="1:1" ht="15.75" customHeight="1" x14ac:dyDescent="0.15">
      <c r="A2829" s="2"/>
    </row>
    <row r="2830" spans="1:1" ht="15.75" customHeight="1" x14ac:dyDescent="0.15">
      <c r="A2830" s="2"/>
    </row>
    <row r="2831" spans="1:1" ht="15.75" customHeight="1" x14ac:dyDescent="0.15">
      <c r="A2831" s="2"/>
    </row>
    <row r="2832" spans="1:1" ht="15.75" customHeight="1" x14ac:dyDescent="0.15">
      <c r="A2832" s="2"/>
    </row>
    <row r="2833" spans="1:1" ht="15.75" customHeight="1" x14ac:dyDescent="0.15">
      <c r="A2833" s="2"/>
    </row>
    <row r="2834" spans="1:1" ht="15.75" customHeight="1" x14ac:dyDescent="0.15">
      <c r="A2834" s="2"/>
    </row>
    <row r="2835" spans="1:1" ht="15.75" customHeight="1" x14ac:dyDescent="0.15">
      <c r="A2835" s="2"/>
    </row>
    <row r="2836" spans="1:1" ht="15.75" customHeight="1" x14ac:dyDescent="0.15">
      <c r="A2836" s="2"/>
    </row>
    <row r="2837" spans="1:1" ht="15.75" customHeight="1" x14ac:dyDescent="0.15">
      <c r="A2837" s="2"/>
    </row>
    <row r="2838" spans="1:1" ht="15.75" customHeight="1" x14ac:dyDescent="0.15">
      <c r="A2838" s="2"/>
    </row>
    <row r="2839" spans="1:1" ht="15.75" customHeight="1" x14ac:dyDescent="0.15">
      <c r="A2839" s="2"/>
    </row>
    <row r="2840" spans="1:1" ht="15.75" customHeight="1" x14ac:dyDescent="0.15">
      <c r="A2840" s="2"/>
    </row>
    <row r="2841" spans="1:1" ht="15.75" customHeight="1" x14ac:dyDescent="0.15">
      <c r="A2841" s="2"/>
    </row>
    <row r="2842" spans="1:1" ht="15.75" customHeight="1" x14ac:dyDescent="0.15">
      <c r="A2842" s="2"/>
    </row>
    <row r="2843" spans="1:1" ht="15.75" customHeight="1" x14ac:dyDescent="0.15">
      <c r="A2843" s="2"/>
    </row>
    <row r="2844" spans="1:1" ht="15.75" customHeight="1" x14ac:dyDescent="0.15">
      <c r="A2844" s="2"/>
    </row>
    <row r="2845" spans="1:1" ht="15.75" customHeight="1" x14ac:dyDescent="0.15">
      <c r="A2845" s="2"/>
    </row>
    <row r="2846" spans="1:1" ht="15.75" customHeight="1" x14ac:dyDescent="0.15">
      <c r="A2846" s="2"/>
    </row>
    <row r="2847" spans="1:1" ht="15.75" customHeight="1" x14ac:dyDescent="0.15">
      <c r="A2847" s="2"/>
    </row>
    <row r="2848" spans="1:1" ht="15.75" customHeight="1" x14ac:dyDescent="0.15">
      <c r="A2848" s="2"/>
    </row>
    <row r="2849" spans="1:1" ht="15.75" customHeight="1" x14ac:dyDescent="0.15">
      <c r="A2849" s="2"/>
    </row>
    <row r="2850" spans="1:1" ht="15.75" customHeight="1" x14ac:dyDescent="0.15">
      <c r="A2850" s="2"/>
    </row>
    <row r="2851" spans="1:1" ht="15.75" customHeight="1" x14ac:dyDescent="0.15">
      <c r="A2851" s="2"/>
    </row>
    <row r="2852" spans="1:1" ht="15.75" customHeight="1" x14ac:dyDescent="0.15">
      <c r="A2852" s="2"/>
    </row>
    <row r="2853" spans="1:1" ht="15.75" customHeight="1" x14ac:dyDescent="0.15">
      <c r="A2853" s="2"/>
    </row>
    <row r="2854" spans="1:1" ht="15.75" customHeight="1" x14ac:dyDescent="0.15">
      <c r="A2854" s="2"/>
    </row>
    <row r="2855" spans="1:1" ht="15.75" customHeight="1" x14ac:dyDescent="0.15">
      <c r="A2855" s="2"/>
    </row>
    <row r="2856" spans="1:1" ht="15.75" customHeight="1" x14ac:dyDescent="0.15">
      <c r="A2856" s="2"/>
    </row>
    <row r="2857" spans="1:1" ht="15.75" customHeight="1" x14ac:dyDescent="0.15">
      <c r="A2857" s="2"/>
    </row>
    <row r="2858" spans="1:1" ht="15.75" customHeight="1" x14ac:dyDescent="0.15">
      <c r="A2858" s="2"/>
    </row>
    <row r="2859" spans="1:1" ht="15.75" customHeight="1" x14ac:dyDescent="0.15">
      <c r="A2859" s="2"/>
    </row>
    <row r="2860" spans="1:1" ht="15.75" customHeight="1" x14ac:dyDescent="0.15">
      <c r="A2860" s="2"/>
    </row>
    <row r="2861" spans="1:1" ht="15.75" customHeight="1" x14ac:dyDescent="0.15">
      <c r="A2861" s="2"/>
    </row>
    <row r="2862" spans="1:1" ht="15.75" customHeight="1" x14ac:dyDescent="0.15">
      <c r="A2862" s="2"/>
    </row>
    <row r="2863" spans="1:1" ht="15.75" customHeight="1" x14ac:dyDescent="0.15">
      <c r="A2863" s="2"/>
    </row>
    <row r="2864" spans="1:1" ht="15.75" customHeight="1" x14ac:dyDescent="0.15">
      <c r="A2864" s="2"/>
    </row>
    <row r="2865" spans="1:1" ht="15.75" customHeight="1" x14ac:dyDescent="0.15">
      <c r="A2865" s="2"/>
    </row>
    <row r="2866" spans="1:1" ht="15.75" customHeight="1" x14ac:dyDescent="0.15">
      <c r="A2866" s="2"/>
    </row>
    <row r="2867" spans="1:1" ht="15.75" customHeight="1" x14ac:dyDescent="0.15">
      <c r="A2867" s="2"/>
    </row>
    <row r="2868" spans="1:1" ht="15.75" customHeight="1" x14ac:dyDescent="0.15">
      <c r="A2868" s="2"/>
    </row>
    <row r="2869" spans="1:1" ht="15.75" customHeight="1" x14ac:dyDescent="0.15">
      <c r="A2869" s="2"/>
    </row>
    <row r="2870" spans="1:1" ht="15.75" customHeight="1" x14ac:dyDescent="0.15">
      <c r="A2870" s="2"/>
    </row>
    <row r="2871" spans="1:1" ht="15.75" customHeight="1" x14ac:dyDescent="0.15">
      <c r="A2871" s="2"/>
    </row>
    <row r="2872" spans="1:1" ht="15.75" customHeight="1" x14ac:dyDescent="0.15">
      <c r="A2872" s="2"/>
    </row>
    <row r="2873" spans="1:1" ht="15.75" customHeight="1" x14ac:dyDescent="0.15">
      <c r="A2873" s="2"/>
    </row>
    <row r="2874" spans="1:1" ht="15.75" customHeight="1" x14ac:dyDescent="0.15">
      <c r="A2874" s="2"/>
    </row>
    <row r="2875" spans="1:1" ht="15.75" customHeight="1" x14ac:dyDescent="0.15">
      <c r="A2875" s="2"/>
    </row>
    <row r="2876" spans="1:1" ht="15.75" customHeight="1" x14ac:dyDescent="0.15">
      <c r="A2876" s="2"/>
    </row>
    <row r="2877" spans="1:1" ht="15.75" customHeight="1" x14ac:dyDescent="0.15">
      <c r="A2877" s="2"/>
    </row>
    <row r="2878" spans="1:1" ht="15.75" customHeight="1" x14ac:dyDescent="0.15">
      <c r="A2878" s="2"/>
    </row>
    <row r="2879" spans="1:1" ht="15.75" customHeight="1" x14ac:dyDescent="0.15">
      <c r="A2879" s="2"/>
    </row>
    <row r="2880" spans="1:1" ht="15.75" customHeight="1" x14ac:dyDescent="0.15">
      <c r="A2880" s="2"/>
    </row>
    <row r="2881" spans="1:1" ht="15.75" customHeight="1" x14ac:dyDescent="0.15">
      <c r="A2881" s="2"/>
    </row>
    <row r="2882" spans="1:1" ht="15.75" customHeight="1" x14ac:dyDescent="0.15">
      <c r="A2882" s="2"/>
    </row>
    <row r="2883" spans="1:1" ht="15.75" customHeight="1" x14ac:dyDescent="0.15">
      <c r="A2883" s="2"/>
    </row>
    <row r="2884" spans="1:1" ht="15.75" customHeight="1" x14ac:dyDescent="0.15">
      <c r="A2884" s="2"/>
    </row>
    <row r="2885" spans="1:1" ht="15.75" customHeight="1" x14ac:dyDescent="0.15">
      <c r="A2885" s="2"/>
    </row>
    <row r="2886" spans="1:1" ht="15.75" customHeight="1" x14ac:dyDescent="0.15">
      <c r="A2886" s="2"/>
    </row>
    <row r="2887" spans="1:1" ht="15.75" customHeight="1" x14ac:dyDescent="0.15">
      <c r="A2887" s="2"/>
    </row>
    <row r="2888" spans="1:1" ht="15.75" customHeight="1" x14ac:dyDescent="0.15">
      <c r="A2888" s="2"/>
    </row>
    <row r="2889" spans="1:1" ht="15.75" customHeight="1" x14ac:dyDescent="0.15">
      <c r="A2889" s="2"/>
    </row>
    <row r="2890" spans="1:1" ht="15.75" customHeight="1" x14ac:dyDescent="0.15">
      <c r="A2890" s="2"/>
    </row>
    <row r="2891" spans="1:1" ht="15.75" customHeight="1" x14ac:dyDescent="0.15">
      <c r="A2891" s="2"/>
    </row>
    <row r="2892" spans="1:1" ht="15.75" customHeight="1" x14ac:dyDescent="0.15">
      <c r="A2892" s="2"/>
    </row>
    <row r="2893" spans="1:1" ht="15.75" customHeight="1" x14ac:dyDescent="0.15">
      <c r="A2893" s="2"/>
    </row>
    <row r="2894" spans="1:1" ht="15.75" customHeight="1" x14ac:dyDescent="0.15">
      <c r="A2894" s="2"/>
    </row>
    <row r="2895" spans="1:1" ht="15.75" customHeight="1" x14ac:dyDescent="0.15">
      <c r="A2895" s="2"/>
    </row>
    <row r="2896" spans="1:1" ht="15.75" customHeight="1" x14ac:dyDescent="0.15">
      <c r="A2896" s="2"/>
    </row>
    <row r="2897" spans="1:1" ht="15.75" customHeight="1" x14ac:dyDescent="0.15">
      <c r="A2897" s="2"/>
    </row>
    <row r="2898" spans="1:1" ht="15.75" customHeight="1" x14ac:dyDescent="0.15">
      <c r="A2898" s="2"/>
    </row>
    <row r="2899" spans="1:1" ht="15.75" customHeight="1" x14ac:dyDescent="0.15">
      <c r="A2899" s="2"/>
    </row>
    <row r="2900" spans="1:1" ht="15.75" customHeight="1" x14ac:dyDescent="0.15">
      <c r="A2900" s="2"/>
    </row>
    <row r="2901" spans="1:1" ht="15.75" customHeight="1" x14ac:dyDescent="0.15">
      <c r="A2901" s="2"/>
    </row>
    <row r="2902" spans="1:1" ht="15.75" customHeight="1" x14ac:dyDescent="0.15">
      <c r="A2902" s="2"/>
    </row>
    <row r="2903" spans="1:1" ht="15.75" customHeight="1" x14ac:dyDescent="0.15">
      <c r="A2903" s="2"/>
    </row>
    <row r="2904" spans="1:1" ht="15.75" customHeight="1" x14ac:dyDescent="0.15">
      <c r="A2904" s="2"/>
    </row>
    <row r="2905" spans="1:1" ht="15.75" customHeight="1" x14ac:dyDescent="0.15">
      <c r="A2905" s="2"/>
    </row>
    <row r="2906" spans="1:1" ht="15.75" customHeight="1" x14ac:dyDescent="0.15">
      <c r="A2906" s="2"/>
    </row>
    <row r="2907" spans="1:1" ht="15.75" customHeight="1" x14ac:dyDescent="0.15">
      <c r="A2907" s="2"/>
    </row>
    <row r="2908" spans="1:1" ht="15.75" customHeight="1" x14ac:dyDescent="0.15">
      <c r="A2908" s="2"/>
    </row>
    <row r="2909" spans="1:1" ht="15.75" customHeight="1" x14ac:dyDescent="0.15">
      <c r="A2909" s="2"/>
    </row>
    <row r="2910" spans="1:1" ht="15.75" customHeight="1" x14ac:dyDescent="0.15">
      <c r="A2910" s="2"/>
    </row>
    <row r="2911" spans="1:1" ht="15.75" customHeight="1" x14ac:dyDescent="0.15">
      <c r="A2911" s="2"/>
    </row>
    <row r="2912" spans="1:1" ht="15.75" customHeight="1" x14ac:dyDescent="0.15">
      <c r="A2912" s="2"/>
    </row>
    <row r="2913" spans="1:1" ht="15.75" customHeight="1" x14ac:dyDescent="0.15">
      <c r="A2913" s="2"/>
    </row>
    <row r="2914" spans="1:1" ht="15.75" customHeight="1" x14ac:dyDescent="0.15">
      <c r="A2914" s="2"/>
    </row>
    <row r="2915" spans="1:1" ht="15.75" customHeight="1" x14ac:dyDescent="0.15">
      <c r="A2915" s="2"/>
    </row>
    <row r="2916" spans="1:1" ht="15.75" customHeight="1" x14ac:dyDescent="0.15">
      <c r="A2916" s="2"/>
    </row>
    <row r="2917" spans="1:1" ht="15.75" customHeight="1" x14ac:dyDescent="0.15">
      <c r="A2917" s="2"/>
    </row>
    <row r="2918" spans="1:1" ht="15.75" customHeight="1" x14ac:dyDescent="0.15">
      <c r="A2918" s="2"/>
    </row>
    <row r="2919" spans="1:1" ht="15.75" customHeight="1" x14ac:dyDescent="0.15">
      <c r="A2919" s="2"/>
    </row>
    <row r="2920" spans="1:1" ht="15.75" customHeight="1" x14ac:dyDescent="0.15">
      <c r="A2920" s="2"/>
    </row>
    <row r="2921" spans="1:1" ht="15.75" customHeight="1" x14ac:dyDescent="0.15">
      <c r="A2921" s="2"/>
    </row>
    <row r="2922" spans="1:1" ht="15.75" customHeight="1" x14ac:dyDescent="0.15">
      <c r="A2922" s="2"/>
    </row>
    <row r="2923" spans="1:1" ht="15.75" customHeight="1" x14ac:dyDescent="0.15">
      <c r="A2923" s="2"/>
    </row>
    <row r="2924" spans="1:1" ht="15.75" customHeight="1" x14ac:dyDescent="0.15">
      <c r="A2924" s="2"/>
    </row>
    <row r="2925" spans="1:1" ht="15.75" customHeight="1" x14ac:dyDescent="0.15">
      <c r="A2925" s="2"/>
    </row>
    <row r="2926" spans="1:1" ht="15.75" customHeight="1" x14ac:dyDescent="0.15">
      <c r="A2926" s="2"/>
    </row>
    <row r="2927" spans="1:1" ht="15.75" customHeight="1" x14ac:dyDescent="0.15">
      <c r="A2927" s="2"/>
    </row>
    <row r="2928" spans="1:1" ht="15.75" customHeight="1" x14ac:dyDescent="0.15">
      <c r="A2928" s="2"/>
    </row>
    <row r="2929" spans="1:1" ht="15.75" customHeight="1" x14ac:dyDescent="0.15">
      <c r="A2929" s="2"/>
    </row>
    <row r="2930" spans="1:1" ht="15.75" customHeight="1" x14ac:dyDescent="0.15">
      <c r="A2930" s="2"/>
    </row>
    <row r="2931" spans="1:1" ht="15.75" customHeight="1" x14ac:dyDescent="0.15">
      <c r="A2931" s="2"/>
    </row>
    <row r="2932" spans="1:1" ht="15.75" customHeight="1" x14ac:dyDescent="0.15">
      <c r="A2932" s="2"/>
    </row>
    <row r="2933" spans="1:1" ht="15.75" customHeight="1" x14ac:dyDescent="0.15">
      <c r="A2933" s="2"/>
    </row>
    <row r="2934" spans="1:1" ht="15.75" customHeight="1" x14ac:dyDescent="0.15">
      <c r="A2934" s="2"/>
    </row>
    <row r="2935" spans="1:1" ht="15.75" customHeight="1" x14ac:dyDescent="0.15">
      <c r="A2935" s="2"/>
    </row>
    <row r="2936" spans="1:1" ht="15.75" customHeight="1" x14ac:dyDescent="0.15">
      <c r="A2936" s="2"/>
    </row>
    <row r="2937" spans="1:1" ht="15.75" customHeight="1" x14ac:dyDescent="0.15">
      <c r="A2937" s="2"/>
    </row>
    <row r="2938" spans="1:1" ht="15.75" customHeight="1" x14ac:dyDescent="0.15">
      <c r="A2938" s="2"/>
    </row>
    <row r="2939" spans="1:1" ht="15.75" customHeight="1" x14ac:dyDescent="0.15">
      <c r="A2939" s="2"/>
    </row>
    <row r="2940" spans="1:1" ht="15.75" customHeight="1" x14ac:dyDescent="0.15">
      <c r="A2940" s="2"/>
    </row>
    <row r="2941" spans="1:1" ht="15.75" customHeight="1" x14ac:dyDescent="0.15">
      <c r="A2941" s="2"/>
    </row>
    <row r="2942" spans="1:1" ht="15.75" customHeight="1" x14ac:dyDescent="0.15">
      <c r="A2942" s="2"/>
    </row>
    <row r="2943" spans="1:1" ht="15.75" customHeight="1" x14ac:dyDescent="0.15">
      <c r="A2943" s="2"/>
    </row>
    <row r="2944" spans="1:1" ht="15.75" customHeight="1" x14ac:dyDescent="0.15">
      <c r="A2944" s="2"/>
    </row>
    <row r="2945" spans="1:1" ht="15.75" customHeight="1" x14ac:dyDescent="0.15">
      <c r="A2945" s="2"/>
    </row>
    <row r="2946" spans="1:1" ht="15.75" customHeight="1" x14ac:dyDescent="0.15">
      <c r="A2946" s="2"/>
    </row>
    <row r="2947" spans="1:1" ht="15.75" customHeight="1" x14ac:dyDescent="0.15">
      <c r="A2947" s="2"/>
    </row>
    <row r="2948" spans="1:1" ht="15.75" customHeight="1" x14ac:dyDescent="0.15">
      <c r="A2948" s="2"/>
    </row>
    <row r="2949" spans="1:1" ht="15.75" customHeight="1" x14ac:dyDescent="0.15">
      <c r="A2949" s="2"/>
    </row>
    <row r="2950" spans="1:1" ht="15.75" customHeight="1" x14ac:dyDescent="0.15">
      <c r="A2950" s="2"/>
    </row>
    <row r="2951" spans="1:1" ht="15.75" customHeight="1" x14ac:dyDescent="0.15">
      <c r="A2951" s="2"/>
    </row>
    <row r="2952" spans="1:1" ht="15.75" customHeight="1" x14ac:dyDescent="0.15">
      <c r="A2952" s="2"/>
    </row>
    <row r="2953" spans="1:1" ht="15.75" customHeight="1" x14ac:dyDescent="0.15">
      <c r="A2953" s="2"/>
    </row>
    <row r="2954" spans="1:1" ht="15.75" customHeight="1" x14ac:dyDescent="0.15">
      <c r="A2954" s="2"/>
    </row>
    <row r="2955" spans="1:1" ht="15.75" customHeight="1" x14ac:dyDescent="0.15">
      <c r="A2955" s="2"/>
    </row>
    <row r="2956" spans="1:1" ht="15.75" customHeight="1" x14ac:dyDescent="0.15">
      <c r="A2956" s="2"/>
    </row>
    <row r="2957" spans="1:1" ht="15.75" customHeight="1" x14ac:dyDescent="0.15">
      <c r="A2957" s="2"/>
    </row>
    <row r="2958" spans="1:1" ht="15.75" customHeight="1" x14ac:dyDescent="0.15">
      <c r="A2958" s="2"/>
    </row>
    <row r="2959" spans="1:1" ht="15.75" customHeight="1" x14ac:dyDescent="0.15">
      <c r="A2959" s="2"/>
    </row>
    <row r="2960" spans="1:1" ht="15.75" customHeight="1" x14ac:dyDescent="0.15">
      <c r="A2960" s="2"/>
    </row>
    <row r="2961" spans="1:1" ht="15.75" customHeight="1" x14ac:dyDescent="0.15">
      <c r="A2961" s="2"/>
    </row>
    <row r="2962" spans="1:1" ht="15.75" customHeight="1" x14ac:dyDescent="0.15">
      <c r="A2962" s="2"/>
    </row>
    <row r="2963" spans="1:1" ht="15.75" customHeight="1" x14ac:dyDescent="0.15">
      <c r="A2963" s="2"/>
    </row>
    <row r="2964" spans="1:1" ht="15.75" customHeight="1" x14ac:dyDescent="0.15">
      <c r="A2964" s="2"/>
    </row>
    <row r="2965" spans="1:1" ht="15.75" customHeight="1" x14ac:dyDescent="0.15">
      <c r="A2965" s="2"/>
    </row>
    <row r="2966" spans="1:1" ht="15.75" customHeight="1" x14ac:dyDescent="0.15">
      <c r="A2966" s="2"/>
    </row>
    <row r="2967" spans="1:1" ht="15.75" customHeight="1" x14ac:dyDescent="0.15">
      <c r="A2967" s="2"/>
    </row>
    <row r="2968" spans="1:1" ht="15.75" customHeight="1" x14ac:dyDescent="0.15">
      <c r="A2968" s="2"/>
    </row>
    <row r="2969" spans="1:1" ht="15.75" customHeight="1" x14ac:dyDescent="0.15">
      <c r="A2969" s="2"/>
    </row>
    <row r="2970" spans="1:1" ht="15.75" customHeight="1" x14ac:dyDescent="0.15">
      <c r="A2970" s="2"/>
    </row>
    <row r="2971" spans="1:1" ht="15.75" customHeight="1" x14ac:dyDescent="0.15">
      <c r="A2971" s="2"/>
    </row>
    <row r="2972" spans="1:1" ht="15.75" customHeight="1" x14ac:dyDescent="0.15">
      <c r="A2972" s="2"/>
    </row>
    <row r="2973" spans="1:1" ht="15.75" customHeight="1" x14ac:dyDescent="0.15">
      <c r="A2973" s="2"/>
    </row>
    <row r="2974" spans="1:1" ht="15.75" customHeight="1" x14ac:dyDescent="0.15">
      <c r="A2974" s="2"/>
    </row>
    <row r="2975" spans="1:1" ht="15.75" customHeight="1" x14ac:dyDescent="0.15">
      <c r="A2975" s="2"/>
    </row>
    <row r="2976" spans="1:1" ht="15.75" customHeight="1" x14ac:dyDescent="0.15">
      <c r="A2976" s="2"/>
    </row>
    <row r="2977" spans="1:1" ht="15.75" customHeight="1" x14ac:dyDescent="0.15">
      <c r="A2977" s="2"/>
    </row>
    <row r="2978" spans="1:1" ht="15.75" customHeight="1" x14ac:dyDescent="0.15">
      <c r="A2978" s="2"/>
    </row>
    <row r="2979" spans="1:1" ht="15.75" customHeight="1" x14ac:dyDescent="0.15">
      <c r="A2979" s="2"/>
    </row>
    <row r="2980" spans="1:1" ht="15.75" customHeight="1" x14ac:dyDescent="0.15">
      <c r="A2980" s="2"/>
    </row>
    <row r="2981" spans="1:1" ht="15.75" customHeight="1" x14ac:dyDescent="0.15">
      <c r="A2981" s="2"/>
    </row>
    <row r="2982" spans="1:1" ht="15.75" customHeight="1" x14ac:dyDescent="0.15">
      <c r="A2982" s="2"/>
    </row>
    <row r="2983" spans="1:1" ht="15.75" customHeight="1" x14ac:dyDescent="0.15">
      <c r="A2983" s="2"/>
    </row>
    <row r="2984" spans="1:1" ht="15.75" customHeight="1" x14ac:dyDescent="0.15">
      <c r="A2984" s="2"/>
    </row>
    <row r="2985" spans="1:1" ht="15.75" customHeight="1" x14ac:dyDescent="0.15">
      <c r="A2985" s="2"/>
    </row>
    <row r="2986" spans="1:1" ht="15.75" customHeight="1" x14ac:dyDescent="0.15">
      <c r="A2986" s="2"/>
    </row>
    <row r="2987" spans="1:1" ht="15.75" customHeight="1" x14ac:dyDescent="0.15">
      <c r="A2987" s="2"/>
    </row>
    <row r="2988" spans="1:1" ht="15.75" customHeight="1" x14ac:dyDescent="0.15">
      <c r="A2988" s="2"/>
    </row>
    <row r="2989" spans="1:1" ht="15.75" customHeight="1" x14ac:dyDescent="0.15">
      <c r="A2989" s="2"/>
    </row>
    <row r="2990" spans="1:1" ht="15.75" customHeight="1" x14ac:dyDescent="0.15">
      <c r="A2990" s="2"/>
    </row>
    <row r="2991" spans="1:1" ht="15.75" customHeight="1" x14ac:dyDescent="0.15">
      <c r="A2991" s="2"/>
    </row>
    <row r="2992" spans="1:1" ht="15.75" customHeight="1" x14ac:dyDescent="0.15">
      <c r="A2992" s="2"/>
    </row>
    <row r="2993" spans="1:1" ht="15.75" customHeight="1" x14ac:dyDescent="0.15">
      <c r="A2993" s="2"/>
    </row>
    <row r="2994" spans="1:1" ht="15.75" customHeight="1" x14ac:dyDescent="0.15">
      <c r="A2994" s="2"/>
    </row>
    <row r="2995" spans="1:1" ht="15.75" customHeight="1" x14ac:dyDescent="0.15">
      <c r="A2995" s="2"/>
    </row>
    <row r="2996" spans="1:1" ht="15.75" customHeight="1" x14ac:dyDescent="0.15">
      <c r="A2996" s="2"/>
    </row>
    <row r="2997" spans="1:1" ht="15.75" customHeight="1" x14ac:dyDescent="0.15">
      <c r="A2997" s="2"/>
    </row>
    <row r="2998" spans="1:1" ht="15.75" customHeight="1" x14ac:dyDescent="0.15">
      <c r="A2998" s="2"/>
    </row>
    <row r="2999" spans="1:1" ht="15.75" customHeight="1" x14ac:dyDescent="0.15">
      <c r="A2999" s="2"/>
    </row>
    <row r="3000" spans="1:1" ht="15.75" customHeight="1" x14ac:dyDescent="0.15">
      <c r="A3000" s="2"/>
    </row>
    <row r="3001" spans="1:1" ht="15.75" customHeight="1" x14ac:dyDescent="0.15">
      <c r="A3001" s="2"/>
    </row>
    <row r="3002" spans="1:1" ht="15.75" customHeight="1" x14ac:dyDescent="0.15">
      <c r="A3002" s="2"/>
    </row>
    <row r="3003" spans="1:1" ht="15.75" customHeight="1" x14ac:dyDescent="0.15">
      <c r="A3003" s="2"/>
    </row>
    <row r="3004" spans="1:1" ht="15.75" customHeight="1" x14ac:dyDescent="0.15">
      <c r="A3004" s="2"/>
    </row>
    <row r="3005" spans="1:1" ht="15.75" customHeight="1" x14ac:dyDescent="0.15">
      <c r="A3005" s="2"/>
    </row>
    <row r="3006" spans="1:1" ht="15.75" customHeight="1" x14ac:dyDescent="0.15">
      <c r="A3006" s="2"/>
    </row>
    <row r="3007" spans="1:1" ht="15.75" customHeight="1" x14ac:dyDescent="0.15">
      <c r="A3007" s="2"/>
    </row>
    <row r="3008" spans="1:1" ht="15.75" customHeight="1" x14ac:dyDescent="0.15">
      <c r="A3008" s="2"/>
    </row>
    <row r="3009" spans="1:1" ht="15.75" customHeight="1" x14ac:dyDescent="0.15">
      <c r="A3009" s="2"/>
    </row>
    <row r="3010" spans="1:1" ht="15.75" customHeight="1" x14ac:dyDescent="0.15">
      <c r="A3010" s="2"/>
    </row>
    <row r="3011" spans="1:1" ht="15.75" customHeight="1" x14ac:dyDescent="0.15">
      <c r="A3011" s="2"/>
    </row>
    <row r="3012" spans="1:1" ht="15.75" customHeight="1" x14ac:dyDescent="0.15">
      <c r="A3012" s="2"/>
    </row>
    <row r="3013" spans="1:1" ht="15.75" customHeight="1" x14ac:dyDescent="0.15">
      <c r="A3013" s="2"/>
    </row>
    <row r="3014" spans="1:1" ht="15.75" customHeight="1" x14ac:dyDescent="0.15">
      <c r="A3014" s="2"/>
    </row>
    <row r="3015" spans="1:1" ht="15.75" customHeight="1" x14ac:dyDescent="0.15">
      <c r="A3015" s="2"/>
    </row>
    <row r="3016" spans="1:1" ht="15.75" customHeight="1" x14ac:dyDescent="0.15">
      <c r="A3016" s="2"/>
    </row>
    <row r="3017" spans="1:1" ht="15.75" customHeight="1" x14ac:dyDescent="0.15">
      <c r="A3017" s="2"/>
    </row>
    <row r="3018" spans="1:1" ht="15.75" customHeight="1" x14ac:dyDescent="0.15">
      <c r="A3018" s="2"/>
    </row>
    <row r="3019" spans="1:1" ht="15.75" customHeight="1" x14ac:dyDescent="0.15">
      <c r="A3019" s="2"/>
    </row>
    <row r="3020" spans="1:1" ht="15.75" customHeight="1" x14ac:dyDescent="0.15">
      <c r="A3020" s="2"/>
    </row>
    <row r="3021" spans="1:1" ht="15.75" customHeight="1" x14ac:dyDescent="0.15">
      <c r="A3021" s="2"/>
    </row>
    <row r="3022" spans="1:1" ht="15.75" customHeight="1" x14ac:dyDescent="0.15">
      <c r="A3022" s="2"/>
    </row>
    <row r="3023" spans="1:1" ht="15.75" customHeight="1" x14ac:dyDescent="0.15">
      <c r="A3023" s="2"/>
    </row>
    <row r="3024" spans="1:1" ht="15.75" customHeight="1" x14ac:dyDescent="0.15">
      <c r="A3024" s="2"/>
    </row>
    <row r="3025" spans="1:1" ht="15.75" customHeight="1" x14ac:dyDescent="0.15">
      <c r="A3025" s="2"/>
    </row>
    <row r="3026" spans="1:1" ht="15.75" customHeight="1" x14ac:dyDescent="0.15">
      <c r="A3026" s="2"/>
    </row>
    <row r="3027" spans="1:1" ht="15.75" customHeight="1" x14ac:dyDescent="0.15">
      <c r="A3027" s="2"/>
    </row>
    <row r="3028" spans="1:1" ht="15.75" customHeight="1" x14ac:dyDescent="0.15">
      <c r="A3028" s="2"/>
    </row>
    <row r="3029" spans="1:1" ht="15.75" customHeight="1" x14ac:dyDescent="0.15">
      <c r="A3029" s="2"/>
    </row>
    <row r="3030" spans="1:1" ht="15.75" customHeight="1" x14ac:dyDescent="0.15">
      <c r="A3030" s="2"/>
    </row>
    <row r="3031" spans="1:1" ht="15.75" customHeight="1" x14ac:dyDescent="0.15">
      <c r="A3031" s="2"/>
    </row>
    <row r="3032" spans="1:1" ht="15.75" customHeight="1" x14ac:dyDescent="0.15">
      <c r="A3032" s="2"/>
    </row>
    <row r="3033" spans="1:1" ht="15.75" customHeight="1" x14ac:dyDescent="0.15">
      <c r="A3033" s="2"/>
    </row>
    <row r="3034" spans="1:1" ht="15.75" customHeight="1" x14ac:dyDescent="0.15">
      <c r="A3034" s="2"/>
    </row>
    <row r="3035" spans="1:1" ht="15.75" customHeight="1" x14ac:dyDescent="0.15">
      <c r="A3035" s="2"/>
    </row>
    <row r="3036" spans="1:1" ht="15.75" customHeight="1" x14ac:dyDescent="0.15">
      <c r="A3036" s="2"/>
    </row>
    <row r="3037" spans="1:1" ht="15.75" customHeight="1" x14ac:dyDescent="0.15">
      <c r="A3037" s="2"/>
    </row>
    <row r="3038" spans="1:1" ht="15.75" customHeight="1" x14ac:dyDescent="0.15">
      <c r="A3038" s="2"/>
    </row>
    <row r="3039" spans="1:1" ht="15.75" customHeight="1" x14ac:dyDescent="0.15">
      <c r="A3039" s="2"/>
    </row>
    <row r="3040" spans="1:1" ht="15.75" customHeight="1" x14ac:dyDescent="0.15">
      <c r="A3040" s="2"/>
    </row>
    <row r="3041" spans="1:1" ht="15.75" customHeight="1" x14ac:dyDescent="0.15">
      <c r="A3041" s="2"/>
    </row>
    <row r="3042" spans="1:1" ht="15.75" customHeight="1" x14ac:dyDescent="0.15">
      <c r="A3042" s="2"/>
    </row>
    <row r="3043" spans="1:1" ht="15.75" customHeight="1" x14ac:dyDescent="0.15">
      <c r="A3043" s="2"/>
    </row>
    <row r="3044" spans="1:1" ht="15.75" customHeight="1" x14ac:dyDescent="0.15">
      <c r="A3044" s="2"/>
    </row>
    <row r="3045" spans="1:1" ht="15.75" customHeight="1" x14ac:dyDescent="0.15">
      <c r="A3045" s="2"/>
    </row>
    <row r="3046" spans="1:1" ht="15.75" customHeight="1" x14ac:dyDescent="0.15">
      <c r="A3046" s="2"/>
    </row>
    <row r="3047" spans="1:1" ht="15.75" customHeight="1" x14ac:dyDescent="0.15">
      <c r="A3047" s="2"/>
    </row>
    <row r="3048" spans="1:1" ht="15.75" customHeight="1" x14ac:dyDescent="0.15">
      <c r="A3048" s="2"/>
    </row>
    <row r="3049" spans="1:1" ht="15.75" customHeight="1" x14ac:dyDescent="0.15">
      <c r="A3049" s="2"/>
    </row>
    <row r="3050" spans="1:1" ht="15.75" customHeight="1" x14ac:dyDescent="0.15">
      <c r="A3050" s="2"/>
    </row>
    <row r="3051" spans="1:1" ht="15.75" customHeight="1" x14ac:dyDescent="0.15">
      <c r="A3051" s="2"/>
    </row>
    <row r="3052" spans="1:1" ht="15.75" customHeight="1" x14ac:dyDescent="0.15">
      <c r="A3052" s="2"/>
    </row>
    <row r="3053" spans="1:1" ht="15.75" customHeight="1" x14ac:dyDescent="0.15">
      <c r="A3053" s="2"/>
    </row>
    <row r="3054" spans="1:1" ht="15.75" customHeight="1" x14ac:dyDescent="0.15">
      <c r="A3054" s="2"/>
    </row>
    <row r="3055" spans="1:1" ht="15.75" customHeight="1" x14ac:dyDescent="0.15">
      <c r="A3055" s="2"/>
    </row>
    <row r="3056" spans="1:1" ht="15.75" customHeight="1" x14ac:dyDescent="0.15">
      <c r="A3056" s="2"/>
    </row>
    <row r="3057" spans="1:1" ht="15.75" customHeight="1" x14ac:dyDescent="0.15">
      <c r="A3057" s="2"/>
    </row>
    <row r="3058" spans="1:1" ht="15.75" customHeight="1" x14ac:dyDescent="0.15">
      <c r="A3058" s="2"/>
    </row>
    <row r="3059" spans="1:1" ht="15.75" customHeight="1" x14ac:dyDescent="0.15">
      <c r="A3059" s="2"/>
    </row>
    <row r="3060" spans="1:1" ht="15.75" customHeight="1" x14ac:dyDescent="0.15">
      <c r="A3060" s="2"/>
    </row>
    <row r="3061" spans="1:1" ht="15.75" customHeight="1" x14ac:dyDescent="0.15">
      <c r="A3061" s="2"/>
    </row>
    <row r="3062" spans="1:1" ht="15.75" customHeight="1" x14ac:dyDescent="0.15">
      <c r="A3062" s="2"/>
    </row>
    <row r="3063" spans="1:1" ht="15.75" customHeight="1" x14ac:dyDescent="0.15">
      <c r="A3063" s="2"/>
    </row>
    <row r="3064" spans="1:1" ht="15.75" customHeight="1" x14ac:dyDescent="0.15">
      <c r="A3064" s="2"/>
    </row>
    <row r="3065" spans="1:1" ht="15.75" customHeight="1" x14ac:dyDescent="0.15">
      <c r="A3065" s="2"/>
    </row>
    <row r="3066" spans="1:1" ht="15.75" customHeight="1" x14ac:dyDescent="0.15">
      <c r="A3066" s="2"/>
    </row>
    <row r="3067" spans="1:1" ht="15.75" customHeight="1" x14ac:dyDescent="0.15">
      <c r="A3067" s="2"/>
    </row>
    <row r="3068" spans="1:1" ht="15.75" customHeight="1" x14ac:dyDescent="0.15">
      <c r="A3068" s="2"/>
    </row>
    <row r="3069" spans="1:1" ht="15.75" customHeight="1" x14ac:dyDescent="0.15">
      <c r="A3069" s="2"/>
    </row>
    <row r="3070" spans="1:1" ht="15.75" customHeight="1" x14ac:dyDescent="0.15">
      <c r="A3070" s="2"/>
    </row>
    <row r="3071" spans="1:1" ht="15.75" customHeight="1" x14ac:dyDescent="0.15">
      <c r="A3071" s="2"/>
    </row>
    <row r="3072" spans="1:1" ht="15.75" customHeight="1" x14ac:dyDescent="0.15">
      <c r="A3072" s="2"/>
    </row>
    <row r="3073" spans="1:1" ht="15.75" customHeight="1" x14ac:dyDescent="0.15">
      <c r="A3073" s="2"/>
    </row>
    <row r="3074" spans="1:1" ht="15.75" customHeight="1" x14ac:dyDescent="0.15">
      <c r="A3074" s="2"/>
    </row>
    <row r="3075" spans="1:1" ht="15.75" customHeight="1" x14ac:dyDescent="0.15">
      <c r="A3075" s="2"/>
    </row>
    <row r="3076" spans="1:1" ht="15.75" customHeight="1" x14ac:dyDescent="0.15">
      <c r="A3076" s="2"/>
    </row>
    <row r="3077" spans="1:1" ht="15.75" customHeight="1" x14ac:dyDescent="0.15">
      <c r="A3077" s="2"/>
    </row>
    <row r="3078" spans="1:1" ht="15.75" customHeight="1" x14ac:dyDescent="0.15">
      <c r="A3078" s="2"/>
    </row>
    <row r="3079" spans="1:1" ht="15.75" customHeight="1" x14ac:dyDescent="0.15">
      <c r="A3079" s="2"/>
    </row>
    <row r="3080" spans="1:1" ht="15.75" customHeight="1" x14ac:dyDescent="0.15">
      <c r="A3080" s="2"/>
    </row>
    <row r="3081" spans="1:1" ht="15.75" customHeight="1" x14ac:dyDescent="0.15">
      <c r="A3081" s="2"/>
    </row>
    <row r="3082" spans="1:1" ht="15.75" customHeight="1" x14ac:dyDescent="0.15">
      <c r="A3082" s="2"/>
    </row>
    <row r="3083" spans="1:1" ht="15.75" customHeight="1" x14ac:dyDescent="0.15">
      <c r="A3083" s="2"/>
    </row>
    <row r="3084" spans="1:1" ht="15.75" customHeight="1" x14ac:dyDescent="0.15">
      <c r="A3084" s="2"/>
    </row>
    <row r="3085" spans="1:1" ht="15.75" customHeight="1" x14ac:dyDescent="0.15">
      <c r="A3085" s="2"/>
    </row>
    <row r="3086" spans="1:1" ht="15.75" customHeight="1" x14ac:dyDescent="0.15">
      <c r="A3086" s="2"/>
    </row>
    <row r="3087" spans="1:1" ht="15.75" customHeight="1" x14ac:dyDescent="0.15">
      <c r="A3087" s="2"/>
    </row>
    <row r="3088" spans="1:1" ht="15.75" customHeight="1" x14ac:dyDescent="0.15">
      <c r="A3088" s="2"/>
    </row>
    <row r="3089" spans="1:1" ht="15.75" customHeight="1" x14ac:dyDescent="0.15">
      <c r="A3089" s="2"/>
    </row>
    <row r="3090" spans="1:1" ht="15.75" customHeight="1" x14ac:dyDescent="0.15">
      <c r="A3090" s="2"/>
    </row>
    <row r="3091" spans="1:1" ht="15.75" customHeight="1" x14ac:dyDescent="0.15">
      <c r="A3091" s="2"/>
    </row>
    <row r="3092" spans="1:1" ht="15.75" customHeight="1" x14ac:dyDescent="0.15">
      <c r="A3092" s="2"/>
    </row>
    <row r="3093" spans="1:1" ht="15.75" customHeight="1" x14ac:dyDescent="0.15">
      <c r="A3093" s="2"/>
    </row>
    <row r="3094" spans="1:1" ht="15.75" customHeight="1" x14ac:dyDescent="0.15">
      <c r="A3094" s="2"/>
    </row>
    <row r="3095" spans="1:1" ht="15.75" customHeight="1" x14ac:dyDescent="0.15">
      <c r="A3095" s="2"/>
    </row>
    <row r="3096" spans="1:1" ht="15.75" customHeight="1" x14ac:dyDescent="0.15">
      <c r="A3096" s="2"/>
    </row>
    <row r="3097" spans="1:1" ht="15.75" customHeight="1" x14ac:dyDescent="0.15">
      <c r="A3097" s="2"/>
    </row>
    <row r="3098" spans="1:1" ht="15.75" customHeight="1" x14ac:dyDescent="0.15">
      <c r="A3098" s="2"/>
    </row>
    <row r="3099" spans="1:1" ht="15.75" customHeight="1" x14ac:dyDescent="0.15">
      <c r="A3099" s="2"/>
    </row>
    <row r="3100" spans="1:1" ht="15.75" customHeight="1" x14ac:dyDescent="0.15">
      <c r="A3100" s="2"/>
    </row>
    <row r="3101" spans="1:1" ht="15.75" customHeight="1" x14ac:dyDescent="0.15">
      <c r="A3101" s="2"/>
    </row>
    <row r="3102" spans="1:1" ht="15.75" customHeight="1" x14ac:dyDescent="0.15">
      <c r="A3102" s="2"/>
    </row>
    <row r="3103" spans="1:1" ht="15.75" customHeight="1" x14ac:dyDescent="0.15">
      <c r="A3103" s="2"/>
    </row>
    <row r="3104" spans="1:1" ht="15.75" customHeight="1" x14ac:dyDescent="0.15">
      <c r="A3104" s="2"/>
    </row>
    <row r="3105" spans="1:1" ht="15.75" customHeight="1" x14ac:dyDescent="0.15">
      <c r="A3105" s="2"/>
    </row>
    <row r="3106" spans="1:1" ht="15.75" customHeight="1" x14ac:dyDescent="0.15">
      <c r="A3106" s="2"/>
    </row>
    <row r="3107" spans="1:1" ht="15.75" customHeight="1" x14ac:dyDescent="0.15">
      <c r="A3107" s="2"/>
    </row>
    <row r="3108" spans="1:1" ht="15.75" customHeight="1" x14ac:dyDescent="0.15">
      <c r="A3108" s="2"/>
    </row>
    <row r="3109" spans="1:1" ht="15.75" customHeight="1" x14ac:dyDescent="0.15">
      <c r="A3109" s="2"/>
    </row>
    <row r="3110" spans="1:1" ht="15.75" customHeight="1" x14ac:dyDescent="0.15">
      <c r="A3110" s="2"/>
    </row>
    <row r="3111" spans="1:1" ht="15.75" customHeight="1" x14ac:dyDescent="0.15">
      <c r="A3111" s="2"/>
    </row>
    <row r="3112" spans="1:1" ht="15.75" customHeight="1" x14ac:dyDescent="0.15">
      <c r="A3112" s="2"/>
    </row>
    <row r="3113" spans="1:1" ht="15.75" customHeight="1" x14ac:dyDescent="0.15">
      <c r="A3113" s="2"/>
    </row>
    <row r="3114" spans="1:1" ht="15.75" customHeight="1" x14ac:dyDescent="0.15">
      <c r="A3114" s="2"/>
    </row>
    <row r="3115" spans="1:1" ht="15.75" customHeight="1" x14ac:dyDescent="0.15">
      <c r="A3115" s="2"/>
    </row>
    <row r="3116" spans="1:1" ht="15.75" customHeight="1" x14ac:dyDescent="0.15">
      <c r="A3116" s="2"/>
    </row>
    <row r="3117" spans="1:1" ht="15.75" customHeight="1" x14ac:dyDescent="0.15">
      <c r="A3117" s="2"/>
    </row>
    <row r="3118" spans="1:1" ht="15.75" customHeight="1" x14ac:dyDescent="0.15">
      <c r="A3118" s="2"/>
    </row>
    <row r="3119" spans="1:1" ht="15.75" customHeight="1" x14ac:dyDescent="0.15">
      <c r="A3119" s="2"/>
    </row>
    <row r="3120" spans="1:1" ht="15.75" customHeight="1" x14ac:dyDescent="0.15">
      <c r="A3120" s="2"/>
    </row>
    <row r="3121" spans="1:1" ht="15.75" customHeight="1" x14ac:dyDescent="0.15">
      <c r="A3121" s="2"/>
    </row>
    <row r="3122" spans="1:1" ht="15.75" customHeight="1" x14ac:dyDescent="0.15">
      <c r="A3122" s="2"/>
    </row>
    <row r="3123" spans="1:1" ht="15.75" customHeight="1" x14ac:dyDescent="0.15">
      <c r="A3123" s="2"/>
    </row>
    <row r="3124" spans="1:1" ht="15.75" customHeight="1" x14ac:dyDescent="0.15">
      <c r="A3124" s="2"/>
    </row>
    <row r="3125" spans="1:1" ht="15.75" customHeight="1" x14ac:dyDescent="0.15">
      <c r="A3125" s="2"/>
    </row>
    <row r="3126" spans="1:1" ht="15.75" customHeight="1" x14ac:dyDescent="0.15">
      <c r="A3126" s="2"/>
    </row>
    <row r="3127" spans="1:1" ht="15.75" customHeight="1" x14ac:dyDescent="0.15">
      <c r="A3127" s="2"/>
    </row>
    <row r="3128" spans="1:1" ht="15.75" customHeight="1" x14ac:dyDescent="0.15">
      <c r="A3128" s="2"/>
    </row>
    <row r="3129" spans="1:1" ht="15.75" customHeight="1" x14ac:dyDescent="0.15">
      <c r="A3129" s="2"/>
    </row>
    <row r="3130" spans="1:1" ht="15.75" customHeight="1" x14ac:dyDescent="0.15">
      <c r="A3130" s="2"/>
    </row>
    <row r="3131" spans="1:1" ht="15.75" customHeight="1" x14ac:dyDescent="0.15">
      <c r="A3131" s="2"/>
    </row>
    <row r="3132" spans="1:1" ht="15.75" customHeight="1" x14ac:dyDescent="0.15">
      <c r="A3132" s="2"/>
    </row>
    <row r="3133" spans="1:1" ht="15.75" customHeight="1" x14ac:dyDescent="0.15">
      <c r="A3133" s="2"/>
    </row>
    <row r="3134" spans="1:1" ht="15.75" customHeight="1" x14ac:dyDescent="0.15">
      <c r="A3134" s="2"/>
    </row>
    <row r="3135" spans="1:1" ht="15.75" customHeight="1" x14ac:dyDescent="0.15">
      <c r="A3135" s="2"/>
    </row>
    <row r="3136" spans="1:1" ht="15.75" customHeight="1" x14ac:dyDescent="0.15">
      <c r="A3136" s="2"/>
    </row>
    <row r="3137" spans="1:1" ht="15.75" customHeight="1" x14ac:dyDescent="0.15">
      <c r="A3137" s="2"/>
    </row>
    <row r="3138" spans="1:1" ht="15.75" customHeight="1" x14ac:dyDescent="0.15">
      <c r="A3138" s="2"/>
    </row>
    <row r="3139" spans="1:1" ht="15.75" customHeight="1" x14ac:dyDescent="0.15">
      <c r="A3139" s="2"/>
    </row>
    <row r="3140" spans="1:1" ht="15.75" customHeight="1" x14ac:dyDescent="0.15">
      <c r="A3140" s="2"/>
    </row>
    <row r="3141" spans="1:1" ht="15.75" customHeight="1" x14ac:dyDescent="0.15">
      <c r="A3141" s="2"/>
    </row>
    <row r="3142" spans="1:1" ht="15.75" customHeight="1" x14ac:dyDescent="0.15">
      <c r="A3142" s="2"/>
    </row>
    <row r="3143" spans="1:1" ht="15.75" customHeight="1" x14ac:dyDescent="0.15">
      <c r="A3143" s="2"/>
    </row>
    <row r="3144" spans="1:1" ht="15.75" customHeight="1" x14ac:dyDescent="0.15">
      <c r="A3144" s="2"/>
    </row>
    <row r="3145" spans="1:1" ht="15.75" customHeight="1" x14ac:dyDescent="0.15">
      <c r="A3145" s="2"/>
    </row>
    <row r="3146" spans="1:1" ht="15.75" customHeight="1" x14ac:dyDescent="0.15">
      <c r="A3146" s="2"/>
    </row>
    <row r="3147" spans="1:1" ht="15.75" customHeight="1" x14ac:dyDescent="0.15">
      <c r="A3147" s="2"/>
    </row>
    <row r="3148" spans="1:1" ht="15.75" customHeight="1" x14ac:dyDescent="0.15">
      <c r="A3148" s="2"/>
    </row>
    <row r="3149" spans="1:1" ht="15.75" customHeight="1" x14ac:dyDescent="0.15">
      <c r="A3149" s="2"/>
    </row>
    <row r="3150" spans="1:1" ht="15.75" customHeight="1" x14ac:dyDescent="0.15">
      <c r="A3150" s="2"/>
    </row>
    <row r="3151" spans="1:1" ht="15.75" customHeight="1" x14ac:dyDescent="0.15">
      <c r="A3151" s="2"/>
    </row>
    <row r="3152" spans="1:1" ht="15.75" customHeight="1" x14ac:dyDescent="0.15">
      <c r="A3152" s="2"/>
    </row>
    <row r="3153" spans="1:1" ht="15.75" customHeight="1" x14ac:dyDescent="0.15">
      <c r="A3153" s="2"/>
    </row>
    <row r="3154" spans="1:1" ht="15.75" customHeight="1" x14ac:dyDescent="0.15">
      <c r="A3154" s="2"/>
    </row>
    <row r="3155" spans="1:1" ht="15.75" customHeight="1" x14ac:dyDescent="0.15">
      <c r="A3155" s="2"/>
    </row>
    <row r="3156" spans="1:1" ht="15.75" customHeight="1" x14ac:dyDescent="0.15">
      <c r="A3156" s="2"/>
    </row>
    <row r="3157" spans="1:1" ht="15.75" customHeight="1" x14ac:dyDescent="0.15">
      <c r="A3157" s="2"/>
    </row>
    <row r="3158" spans="1:1" ht="15.75" customHeight="1" x14ac:dyDescent="0.15">
      <c r="A3158" s="2"/>
    </row>
    <row r="3159" spans="1:1" ht="15.75" customHeight="1" x14ac:dyDescent="0.15">
      <c r="A3159" s="2"/>
    </row>
    <row r="3160" spans="1:1" ht="15.75" customHeight="1" x14ac:dyDescent="0.15">
      <c r="A3160" s="2"/>
    </row>
    <row r="3161" spans="1:1" ht="15.75" customHeight="1" x14ac:dyDescent="0.15">
      <c r="A3161" s="2"/>
    </row>
    <row r="3162" spans="1:1" ht="15.75" customHeight="1" x14ac:dyDescent="0.15">
      <c r="A3162" s="2"/>
    </row>
    <row r="3163" spans="1:1" ht="15.75" customHeight="1" x14ac:dyDescent="0.15">
      <c r="A3163" s="2"/>
    </row>
    <row r="3164" spans="1:1" ht="15.75" customHeight="1" x14ac:dyDescent="0.15">
      <c r="A3164" s="2"/>
    </row>
    <row r="3165" spans="1:1" ht="15.75" customHeight="1" x14ac:dyDescent="0.15">
      <c r="A3165" s="2"/>
    </row>
    <row r="3166" spans="1:1" ht="15.75" customHeight="1" x14ac:dyDescent="0.15">
      <c r="A3166" s="2"/>
    </row>
    <row r="3167" spans="1:1" ht="15.75" customHeight="1" x14ac:dyDescent="0.15">
      <c r="A3167" s="2"/>
    </row>
    <row r="3168" spans="1:1" ht="15.75" customHeight="1" x14ac:dyDescent="0.15">
      <c r="A3168" s="2"/>
    </row>
    <row r="3169" spans="1:1" ht="15.75" customHeight="1" x14ac:dyDescent="0.15">
      <c r="A3169" s="2"/>
    </row>
    <row r="3170" spans="1:1" ht="15.75" customHeight="1" x14ac:dyDescent="0.15">
      <c r="A3170" s="2"/>
    </row>
    <row r="3171" spans="1:1" ht="15.75" customHeight="1" x14ac:dyDescent="0.15">
      <c r="A3171" s="2"/>
    </row>
    <row r="3172" spans="1:1" ht="15.75" customHeight="1" x14ac:dyDescent="0.15">
      <c r="A3172" s="2"/>
    </row>
    <row r="3173" spans="1:1" ht="15.75" customHeight="1" x14ac:dyDescent="0.15">
      <c r="A3173" s="2"/>
    </row>
    <row r="3174" spans="1:1" ht="15.75" customHeight="1" x14ac:dyDescent="0.15">
      <c r="A3174" s="2"/>
    </row>
    <row r="3175" spans="1:1" ht="15.75" customHeight="1" x14ac:dyDescent="0.15">
      <c r="A3175" s="2"/>
    </row>
    <row r="3176" spans="1:1" ht="15.75" customHeight="1" x14ac:dyDescent="0.15">
      <c r="A3176" s="2"/>
    </row>
    <row r="3177" spans="1:1" ht="15.75" customHeight="1" x14ac:dyDescent="0.15">
      <c r="A3177" s="2"/>
    </row>
    <row r="3178" spans="1:1" ht="15.75" customHeight="1" x14ac:dyDescent="0.15">
      <c r="A3178" s="2"/>
    </row>
    <row r="3179" spans="1:1" ht="15.75" customHeight="1" x14ac:dyDescent="0.15">
      <c r="A3179" s="2"/>
    </row>
    <row r="3180" spans="1:1" ht="15.75" customHeight="1" x14ac:dyDescent="0.15">
      <c r="A3180" s="2"/>
    </row>
    <row r="3181" spans="1:1" ht="15.75" customHeight="1" x14ac:dyDescent="0.15">
      <c r="A3181" s="2"/>
    </row>
    <row r="3182" spans="1:1" ht="15.75" customHeight="1" x14ac:dyDescent="0.15">
      <c r="A3182" s="2"/>
    </row>
    <row r="3183" spans="1:1" ht="15.75" customHeight="1" x14ac:dyDescent="0.15">
      <c r="A3183" s="2"/>
    </row>
    <row r="3184" spans="1:1" ht="15.75" customHeight="1" x14ac:dyDescent="0.15">
      <c r="A3184" s="2"/>
    </row>
    <row r="3185" spans="1:1" ht="15.75" customHeight="1" x14ac:dyDescent="0.15">
      <c r="A3185" s="2"/>
    </row>
    <row r="3186" spans="1:1" ht="15.75" customHeight="1" x14ac:dyDescent="0.15">
      <c r="A3186" s="2"/>
    </row>
    <row r="3187" spans="1:1" ht="15.75" customHeight="1" x14ac:dyDescent="0.15">
      <c r="A3187" s="2"/>
    </row>
    <row r="3188" spans="1:1" ht="15.75" customHeight="1" x14ac:dyDescent="0.15">
      <c r="A3188" s="2"/>
    </row>
    <row r="3189" spans="1:1" ht="15.75" customHeight="1" x14ac:dyDescent="0.15">
      <c r="A3189" s="2"/>
    </row>
    <row r="3190" spans="1:1" ht="15.75" customHeight="1" x14ac:dyDescent="0.15">
      <c r="A3190" s="2"/>
    </row>
    <row r="3191" spans="1:1" ht="15.75" customHeight="1" x14ac:dyDescent="0.15">
      <c r="A3191" s="2"/>
    </row>
    <row r="3192" spans="1:1" ht="15.75" customHeight="1" x14ac:dyDescent="0.15">
      <c r="A3192" s="2"/>
    </row>
    <row r="3193" spans="1:1" ht="15.75" customHeight="1" x14ac:dyDescent="0.15">
      <c r="A3193" s="2"/>
    </row>
    <row r="3194" spans="1:1" ht="15.75" customHeight="1" x14ac:dyDescent="0.15">
      <c r="A3194" s="2"/>
    </row>
    <row r="3195" spans="1:1" ht="15.75" customHeight="1" x14ac:dyDescent="0.15">
      <c r="A3195" s="2"/>
    </row>
    <row r="3196" spans="1:1" ht="15.75" customHeight="1" x14ac:dyDescent="0.15">
      <c r="A3196" s="2"/>
    </row>
    <row r="3197" spans="1:1" ht="15.75" customHeight="1" x14ac:dyDescent="0.15">
      <c r="A3197" s="2"/>
    </row>
    <row r="3198" spans="1:1" ht="15.75" customHeight="1" x14ac:dyDescent="0.15">
      <c r="A3198" s="2"/>
    </row>
    <row r="3199" spans="1:1" ht="15.75" customHeight="1" x14ac:dyDescent="0.15">
      <c r="A3199" s="2"/>
    </row>
    <row r="3200" spans="1:1" ht="15.75" customHeight="1" x14ac:dyDescent="0.15">
      <c r="A3200" s="2"/>
    </row>
    <row r="3201" spans="1:1" ht="15.75" customHeight="1" x14ac:dyDescent="0.15">
      <c r="A3201" s="2"/>
    </row>
    <row r="3202" spans="1:1" ht="15.75" customHeight="1" x14ac:dyDescent="0.15">
      <c r="A3202" s="2"/>
    </row>
    <row r="3203" spans="1:1" ht="15.75" customHeight="1" x14ac:dyDescent="0.15">
      <c r="A3203" s="2"/>
    </row>
    <row r="3204" spans="1:1" ht="15.75" customHeight="1" x14ac:dyDescent="0.15">
      <c r="A3204" s="2"/>
    </row>
    <row r="3205" spans="1:1" ht="15.75" customHeight="1" x14ac:dyDescent="0.15">
      <c r="A3205" s="2"/>
    </row>
    <row r="3206" spans="1:1" ht="15.75" customHeight="1" x14ac:dyDescent="0.15">
      <c r="A3206" s="2"/>
    </row>
    <row r="3207" spans="1:1" ht="15.75" customHeight="1" x14ac:dyDescent="0.15">
      <c r="A3207" s="2"/>
    </row>
    <row r="3208" spans="1:1" ht="15.75" customHeight="1" x14ac:dyDescent="0.15">
      <c r="A3208" s="2"/>
    </row>
    <row r="3209" spans="1:1" ht="15.75" customHeight="1" x14ac:dyDescent="0.15">
      <c r="A3209" s="2"/>
    </row>
    <row r="3210" spans="1:1" ht="15.75" customHeight="1" x14ac:dyDescent="0.15">
      <c r="A3210" s="2"/>
    </row>
    <row r="3211" spans="1:1" ht="15.75" customHeight="1" x14ac:dyDescent="0.15">
      <c r="A3211" s="2"/>
    </row>
    <row r="3212" spans="1:1" ht="15.75" customHeight="1" x14ac:dyDescent="0.15">
      <c r="A3212" s="2"/>
    </row>
    <row r="3213" spans="1:1" ht="15.75" customHeight="1" x14ac:dyDescent="0.15">
      <c r="A3213" s="2"/>
    </row>
    <row r="3214" spans="1:1" ht="15.75" customHeight="1" x14ac:dyDescent="0.15">
      <c r="A3214" s="2"/>
    </row>
    <row r="3215" spans="1:1" ht="15.75" customHeight="1" x14ac:dyDescent="0.15">
      <c r="A3215" s="2"/>
    </row>
    <row r="3216" spans="1:1" ht="15.75" customHeight="1" x14ac:dyDescent="0.15">
      <c r="A3216" s="2"/>
    </row>
    <row r="3217" spans="1:1" ht="15.75" customHeight="1" x14ac:dyDescent="0.15">
      <c r="A3217" s="2"/>
    </row>
    <row r="3218" spans="1:1" ht="15.75" customHeight="1" x14ac:dyDescent="0.15">
      <c r="A3218" s="2"/>
    </row>
    <row r="3219" spans="1:1" ht="15.75" customHeight="1" x14ac:dyDescent="0.15">
      <c r="A3219" s="2"/>
    </row>
    <row r="3220" spans="1:1" ht="15.75" customHeight="1" x14ac:dyDescent="0.15">
      <c r="A3220" s="2"/>
    </row>
    <row r="3221" spans="1:1" ht="15.75" customHeight="1" x14ac:dyDescent="0.15">
      <c r="A3221" s="2"/>
    </row>
    <row r="3222" spans="1:1" ht="15.75" customHeight="1" x14ac:dyDescent="0.15">
      <c r="A3222" s="2"/>
    </row>
    <row r="3223" spans="1:1" ht="15.75" customHeight="1" x14ac:dyDescent="0.15">
      <c r="A3223" s="2"/>
    </row>
    <row r="3224" spans="1:1" ht="15.75" customHeight="1" x14ac:dyDescent="0.15">
      <c r="A3224" s="2"/>
    </row>
    <row r="3225" spans="1:1" ht="15.75" customHeight="1" x14ac:dyDescent="0.15">
      <c r="A3225" s="2"/>
    </row>
    <row r="3226" spans="1:1" ht="15.75" customHeight="1" x14ac:dyDescent="0.15">
      <c r="A3226" s="2"/>
    </row>
    <row r="3227" spans="1:1" ht="15.75" customHeight="1" x14ac:dyDescent="0.15">
      <c r="A3227" s="2"/>
    </row>
    <row r="3228" spans="1:1" ht="15.75" customHeight="1" x14ac:dyDescent="0.15">
      <c r="A3228" s="2"/>
    </row>
    <row r="3229" spans="1:1" ht="15.75" customHeight="1" x14ac:dyDescent="0.15">
      <c r="A3229" s="2"/>
    </row>
    <row r="3230" spans="1:1" ht="15.75" customHeight="1" x14ac:dyDescent="0.15">
      <c r="A3230" s="2"/>
    </row>
    <row r="3231" spans="1:1" ht="15.75" customHeight="1" x14ac:dyDescent="0.15">
      <c r="A3231" s="2"/>
    </row>
    <row r="3232" spans="1:1" ht="15.75" customHeight="1" x14ac:dyDescent="0.15">
      <c r="A3232" s="2"/>
    </row>
    <row r="3233" spans="1:1" ht="15.75" customHeight="1" x14ac:dyDescent="0.15">
      <c r="A3233" s="2"/>
    </row>
    <row r="3234" spans="1:1" ht="15.75" customHeight="1" x14ac:dyDescent="0.15">
      <c r="A3234" s="2"/>
    </row>
    <row r="3235" spans="1:1" ht="15.75" customHeight="1" x14ac:dyDescent="0.15">
      <c r="A3235" s="2"/>
    </row>
    <row r="3236" spans="1:1" ht="15.75" customHeight="1" x14ac:dyDescent="0.15">
      <c r="A3236" s="2"/>
    </row>
    <row r="3237" spans="1:1" ht="15.75" customHeight="1" x14ac:dyDescent="0.15">
      <c r="A3237" s="2"/>
    </row>
    <row r="3238" spans="1:1" ht="15.75" customHeight="1" x14ac:dyDescent="0.15">
      <c r="A3238" s="2"/>
    </row>
    <row r="3239" spans="1:1" ht="15.75" customHeight="1" x14ac:dyDescent="0.15">
      <c r="A3239" s="2"/>
    </row>
    <row r="3240" spans="1:1" ht="15.75" customHeight="1" x14ac:dyDescent="0.15">
      <c r="A3240" s="2"/>
    </row>
    <row r="3241" spans="1:1" ht="15.75" customHeight="1" x14ac:dyDescent="0.15">
      <c r="A3241" s="2"/>
    </row>
    <row r="3242" spans="1:1" ht="15.75" customHeight="1" x14ac:dyDescent="0.15">
      <c r="A3242" s="2"/>
    </row>
    <row r="3243" spans="1:1" ht="15.75" customHeight="1" x14ac:dyDescent="0.15">
      <c r="A3243" s="2"/>
    </row>
    <row r="3244" spans="1:1" ht="15.75" customHeight="1" x14ac:dyDescent="0.15">
      <c r="A3244" s="2"/>
    </row>
    <row r="3245" spans="1:1" ht="15.75" customHeight="1" x14ac:dyDescent="0.15">
      <c r="A3245" s="2"/>
    </row>
    <row r="3246" spans="1:1" ht="15.75" customHeight="1" x14ac:dyDescent="0.15">
      <c r="A3246" s="2"/>
    </row>
    <row r="3247" spans="1:1" ht="15.75" customHeight="1" x14ac:dyDescent="0.15">
      <c r="A3247" s="2"/>
    </row>
    <row r="3248" spans="1:1" ht="15.75" customHeight="1" x14ac:dyDescent="0.15">
      <c r="A3248" s="2"/>
    </row>
    <row r="3249" spans="1:1" ht="15.75" customHeight="1" x14ac:dyDescent="0.15">
      <c r="A3249" s="2"/>
    </row>
    <row r="3250" spans="1:1" ht="15.75" customHeight="1" x14ac:dyDescent="0.15">
      <c r="A3250" s="2"/>
    </row>
    <row r="3251" spans="1:1" ht="15.75" customHeight="1" x14ac:dyDescent="0.15">
      <c r="A3251" s="2"/>
    </row>
    <row r="3252" spans="1:1" ht="15.75" customHeight="1" x14ac:dyDescent="0.15">
      <c r="A3252" s="2"/>
    </row>
    <row r="3253" spans="1:1" ht="15.75" customHeight="1" x14ac:dyDescent="0.15">
      <c r="A3253" s="2"/>
    </row>
    <row r="3254" spans="1:1" ht="15.75" customHeight="1" x14ac:dyDescent="0.15">
      <c r="A3254" s="2"/>
    </row>
    <row r="3255" spans="1:1" ht="15.75" customHeight="1" x14ac:dyDescent="0.15">
      <c r="A3255" s="2"/>
    </row>
    <row r="3256" spans="1:1" ht="15.75" customHeight="1" x14ac:dyDescent="0.15">
      <c r="A3256" s="2"/>
    </row>
    <row r="3257" spans="1:1" ht="15.75" customHeight="1" x14ac:dyDescent="0.15">
      <c r="A3257" s="2"/>
    </row>
    <row r="3258" spans="1:1" ht="15.75" customHeight="1" x14ac:dyDescent="0.15">
      <c r="A3258" s="2"/>
    </row>
    <row r="3259" spans="1:1" ht="15.75" customHeight="1" x14ac:dyDescent="0.15">
      <c r="A3259" s="2"/>
    </row>
    <row r="3260" spans="1:1" ht="15.75" customHeight="1" x14ac:dyDescent="0.15">
      <c r="A3260" s="2"/>
    </row>
    <row r="3261" spans="1:1" ht="15.75" customHeight="1" x14ac:dyDescent="0.15">
      <c r="A3261" s="2"/>
    </row>
    <row r="3262" spans="1:1" ht="15.75" customHeight="1" x14ac:dyDescent="0.15">
      <c r="A3262" s="2"/>
    </row>
    <row r="3263" spans="1:1" ht="15.75" customHeight="1" x14ac:dyDescent="0.15">
      <c r="A3263" s="2"/>
    </row>
    <row r="3264" spans="1:1" ht="15.75" customHeight="1" x14ac:dyDescent="0.15">
      <c r="A3264" s="2"/>
    </row>
    <row r="3265" spans="1:1" ht="15.75" customHeight="1" x14ac:dyDescent="0.15">
      <c r="A3265" s="2"/>
    </row>
    <row r="3266" spans="1:1" ht="15.75" customHeight="1" x14ac:dyDescent="0.15">
      <c r="A3266" s="2"/>
    </row>
    <row r="3267" spans="1:1" ht="15.75" customHeight="1" x14ac:dyDescent="0.15">
      <c r="A3267" s="2"/>
    </row>
    <row r="3268" spans="1:1" ht="15.75" customHeight="1" x14ac:dyDescent="0.15">
      <c r="A3268" s="2"/>
    </row>
    <row r="3269" spans="1:1" ht="15.75" customHeight="1" x14ac:dyDescent="0.15">
      <c r="A3269" s="2"/>
    </row>
    <row r="3270" spans="1:1" ht="15.75" customHeight="1" x14ac:dyDescent="0.15">
      <c r="A3270" s="2"/>
    </row>
    <row r="3271" spans="1:1" ht="15.75" customHeight="1" x14ac:dyDescent="0.15">
      <c r="A3271" s="2"/>
    </row>
    <row r="3272" spans="1:1" ht="15.75" customHeight="1" x14ac:dyDescent="0.15">
      <c r="A3272" s="2"/>
    </row>
    <row r="3273" spans="1:1" ht="15.75" customHeight="1" x14ac:dyDescent="0.15">
      <c r="A3273" s="2"/>
    </row>
    <row r="3274" spans="1:1" ht="15.75" customHeight="1" x14ac:dyDescent="0.15">
      <c r="A3274" s="2"/>
    </row>
    <row r="3275" spans="1:1" ht="15.75" customHeight="1" x14ac:dyDescent="0.15">
      <c r="A3275" s="2"/>
    </row>
    <row r="3276" spans="1:1" ht="15.75" customHeight="1" x14ac:dyDescent="0.15">
      <c r="A3276" s="2"/>
    </row>
    <row r="3277" spans="1:1" ht="15.75" customHeight="1" x14ac:dyDescent="0.15">
      <c r="A3277" s="2"/>
    </row>
    <row r="3278" spans="1:1" ht="15.75" customHeight="1" x14ac:dyDescent="0.15">
      <c r="A3278" s="2"/>
    </row>
    <row r="3279" spans="1:1" ht="15.75" customHeight="1" x14ac:dyDescent="0.15">
      <c r="A3279" s="2"/>
    </row>
    <row r="3280" spans="1:1" ht="15.75" customHeight="1" x14ac:dyDescent="0.15">
      <c r="A3280" s="2"/>
    </row>
    <row r="3281" spans="1:1" ht="15.75" customHeight="1" x14ac:dyDescent="0.15">
      <c r="A3281" s="2"/>
    </row>
    <row r="3282" spans="1:1" ht="15.75" customHeight="1" x14ac:dyDescent="0.15">
      <c r="A3282" s="2"/>
    </row>
    <row r="3283" spans="1:1" ht="15.75" customHeight="1" x14ac:dyDescent="0.15">
      <c r="A3283" s="2"/>
    </row>
    <row r="3284" spans="1:1" ht="15.75" customHeight="1" x14ac:dyDescent="0.15">
      <c r="A3284" s="2"/>
    </row>
    <row r="3285" spans="1:1" ht="15.75" customHeight="1" x14ac:dyDescent="0.15">
      <c r="A3285" s="2"/>
    </row>
    <row r="3286" spans="1:1" ht="15.75" customHeight="1" x14ac:dyDescent="0.15">
      <c r="A3286" s="2"/>
    </row>
    <row r="3287" spans="1:1" ht="15.75" customHeight="1" x14ac:dyDescent="0.15">
      <c r="A3287" s="2"/>
    </row>
    <row r="3288" spans="1:1" ht="15.75" customHeight="1" x14ac:dyDescent="0.15">
      <c r="A3288" s="2"/>
    </row>
    <row r="3289" spans="1:1" ht="15.75" customHeight="1" x14ac:dyDescent="0.15">
      <c r="A3289" s="2"/>
    </row>
    <row r="3290" spans="1:1" ht="15.75" customHeight="1" x14ac:dyDescent="0.15">
      <c r="A3290" s="2"/>
    </row>
    <row r="3291" spans="1:1" ht="15.75" customHeight="1" x14ac:dyDescent="0.15">
      <c r="A3291" s="2"/>
    </row>
    <row r="3292" spans="1:1" ht="15.75" customHeight="1" x14ac:dyDescent="0.15">
      <c r="A3292" s="2"/>
    </row>
    <row r="3293" spans="1:1" ht="15.75" customHeight="1" x14ac:dyDescent="0.15">
      <c r="A3293" s="2"/>
    </row>
    <row r="3294" spans="1:1" ht="15.75" customHeight="1" x14ac:dyDescent="0.15">
      <c r="A3294" s="2"/>
    </row>
    <row r="3295" spans="1:1" ht="15.75" customHeight="1" x14ac:dyDescent="0.15">
      <c r="A3295" s="2"/>
    </row>
    <row r="3296" spans="1:1" ht="15.75" customHeight="1" x14ac:dyDescent="0.15">
      <c r="A3296" s="2"/>
    </row>
    <row r="3297" spans="1:1" ht="15.75" customHeight="1" x14ac:dyDescent="0.15">
      <c r="A3297" s="2"/>
    </row>
    <row r="3298" spans="1:1" ht="15.75" customHeight="1" x14ac:dyDescent="0.15">
      <c r="A3298" s="2"/>
    </row>
    <row r="3299" spans="1:1" ht="15.75" customHeight="1" x14ac:dyDescent="0.15">
      <c r="A3299" s="2"/>
    </row>
    <row r="3300" spans="1:1" ht="15.75" customHeight="1" x14ac:dyDescent="0.15">
      <c r="A3300" s="2"/>
    </row>
    <row r="3301" spans="1:1" ht="15.75" customHeight="1" x14ac:dyDescent="0.15">
      <c r="A3301" s="2"/>
    </row>
    <row r="3302" spans="1:1" ht="15.75" customHeight="1" x14ac:dyDescent="0.15">
      <c r="A3302" s="2"/>
    </row>
    <row r="3303" spans="1:1" ht="15.75" customHeight="1" x14ac:dyDescent="0.15">
      <c r="A3303" s="2"/>
    </row>
    <row r="3304" spans="1:1" ht="15.75" customHeight="1" x14ac:dyDescent="0.15">
      <c r="A3304" s="2"/>
    </row>
    <row r="3305" spans="1:1" ht="15.75" customHeight="1" x14ac:dyDescent="0.15">
      <c r="A3305" s="2"/>
    </row>
    <row r="3306" spans="1:1" ht="15.75" customHeight="1" x14ac:dyDescent="0.15">
      <c r="A3306" s="2"/>
    </row>
    <row r="3307" spans="1:1" ht="15.75" customHeight="1" x14ac:dyDescent="0.15">
      <c r="A3307" s="2"/>
    </row>
    <row r="3308" spans="1:1" ht="15.75" customHeight="1" x14ac:dyDescent="0.15">
      <c r="A3308" s="2"/>
    </row>
    <row r="3309" spans="1:1" ht="15.75" customHeight="1" x14ac:dyDescent="0.15">
      <c r="A3309" s="2"/>
    </row>
    <row r="3310" spans="1:1" ht="15.75" customHeight="1" x14ac:dyDescent="0.15">
      <c r="A3310" s="2"/>
    </row>
    <row r="3311" spans="1:1" ht="15.75" customHeight="1" x14ac:dyDescent="0.15">
      <c r="A3311" s="2"/>
    </row>
    <row r="3312" spans="1:1" ht="15.75" customHeight="1" x14ac:dyDescent="0.15">
      <c r="A3312" s="2"/>
    </row>
    <row r="3313" spans="1:1" ht="15.75" customHeight="1" x14ac:dyDescent="0.15">
      <c r="A3313" s="2"/>
    </row>
    <row r="3314" spans="1:1" ht="15.75" customHeight="1" x14ac:dyDescent="0.15">
      <c r="A3314" s="2"/>
    </row>
    <row r="3315" spans="1:1" ht="15.75" customHeight="1" x14ac:dyDescent="0.15">
      <c r="A3315" s="2"/>
    </row>
    <row r="3316" spans="1:1" ht="15.75" customHeight="1" x14ac:dyDescent="0.15">
      <c r="A3316" s="2"/>
    </row>
    <row r="3317" spans="1:1" ht="15.75" customHeight="1" x14ac:dyDescent="0.15">
      <c r="A3317" s="2"/>
    </row>
    <row r="3318" spans="1:1" ht="15.75" customHeight="1" x14ac:dyDescent="0.15">
      <c r="A3318" s="2"/>
    </row>
    <row r="3319" spans="1:1" ht="15.75" customHeight="1" x14ac:dyDescent="0.15">
      <c r="A3319" s="2"/>
    </row>
    <row r="3320" spans="1:1" ht="15.75" customHeight="1" x14ac:dyDescent="0.15">
      <c r="A3320" s="2"/>
    </row>
    <row r="3321" spans="1:1" ht="15.75" customHeight="1" x14ac:dyDescent="0.15">
      <c r="A3321" s="2"/>
    </row>
    <row r="3322" spans="1:1" ht="15.75" customHeight="1" x14ac:dyDescent="0.15">
      <c r="A3322" s="2"/>
    </row>
    <row r="3323" spans="1:1" ht="15.75" customHeight="1" x14ac:dyDescent="0.15">
      <c r="A3323" s="2"/>
    </row>
    <row r="3324" spans="1:1" ht="15.75" customHeight="1" x14ac:dyDescent="0.15">
      <c r="A3324" s="2"/>
    </row>
    <row r="3325" spans="1:1" ht="15.75" customHeight="1" x14ac:dyDescent="0.15">
      <c r="A3325" s="2"/>
    </row>
    <row r="3326" spans="1:1" ht="15.75" customHeight="1" x14ac:dyDescent="0.15">
      <c r="A3326" s="2"/>
    </row>
    <row r="3327" spans="1:1" ht="15.75" customHeight="1" x14ac:dyDescent="0.15">
      <c r="A3327" s="2"/>
    </row>
    <row r="3328" spans="1:1" ht="15.75" customHeight="1" x14ac:dyDescent="0.15">
      <c r="A3328" s="2"/>
    </row>
    <row r="3329" spans="1:1" ht="15.75" customHeight="1" x14ac:dyDescent="0.15">
      <c r="A3329" s="2"/>
    </row>
    <row r="3330" spans="1:1" ht="15.75" customHeight="1" x14ac:dyDescent="0.15">
      <c r="A3330" s="2"/>
    </row>
    <row r="3331" spans="1:1" ht="15.75" customHeight="1" x14ac:dyDescent="0.15">
      <c r="A3331" s="2"/>
    </row>
    <row r="3332" spans="1:1" ht="15.75" customHeight="1" x14ac:dyDescent="0.15">
      <c r="A3332" s="2"/>
    </row>
    <row r="3333" spans="1:1" ht="15.75" customHeight="1" x14ac:dyDescent="0.15">
      <c r="A3333" s="2"/>
    </row>
    <row r="3334" spans="1:1" ht="15.75" customHeight="1" x14ac:dyDescent="0.15">
      <c r="A3334" s="2"/>
    </row>
    <row r="3335" spans="1:1" ht="15.75" customHeight="1" x14ac:dyDescent="0.15">
      <c r="A3335" s="2"/>
    </row>
    <row r="3336" spans="1:1" ht="15.75" customHeight="1" x14ac:dyDescent="0.15">
      <c r="A3336" s="2"/>
    </row>
    <row r="3337" spans="1:1" ht="15.75" customHeight="1" x14ac:dyDescent="0.15">
      <c r="A3337" s="2"/>
    </row>
    <row r="3338" spans="1:1" ht="15.75" customHeight="1" x14ac:dyDescent="0.15">
      <c r="A3338" s="2"/>
    </row>
    <row r="3339" spans="1:1" ht="15.75" customHeight="1" x14ac:dyDescent="0.15">
      <c r="A3339" s="2"/>
    </row>
    <row r="3340" spans="1:1" ht="15.75" customHeight="1" x14ac:dyDescent="0.15">
      <c r="A3340" s="2"/>
    </row>
    <row r="3341" spans="1:1" ht="15.75" customHeight="1" x14ac:dyDescent="0.15">
      <c r="A3341" s="2"/>
    </row>
    <row r="3342" spans="1:1" ht="15.75" customHeight="1" x14ac:dyDescent="0.15">
      <c r="A3342" s="2"/>
    </row>
    <row r="3343" spans="1:1" ht="15.75" customHeight="1" x14ac:dyDescent="0.15">
      <c r="A3343" s="2"/>
    </row>
    <row r="3344" spans="1:1" ht="15.75" customHeight="1" x14ac:dyDescent="0.15">
      <c r="A3344" s="2"/>
    </row>
    <row r="3345" spans="1:1" ht="15.75" customHeight="1" x14ac:dyDescent="0.15">
      <c r="A3345" s="2"/>
    </row>
    <row r="3346" spans="1:1" ht="15.75" customHeight="1" x14ac:dyDescent="0.15">
      <c r="A3346" s="2"/>
    </row>
    <row r="3347" spans="1:1" ht="15.75" customHeight="1" x14ac:dyDescent="0.15">
      <c r="A3347" s="2"/>
    </row>
    <row r="3348" spans="1:1" ht="15.75" customHeight="1" x14ac:dyDescent="0.15">
      <c r="A3348" s="2"/>
    </row>
    <row r="3349" spans="1:1" ht="15.75" customHeight="1" x14ac:dyDescent="0.15">
      <c r="A3349" s="2"/>
    </row>
    <row r="3350" spans="1:1" ht="15.75" customHeight="1" x14ac:dyDescent="0.15">
      <c r="A3350" s="2"/>
    </row>
    <row r="3351" spans="1:1" ht="15.75" customHeight="1" x14ac:dyDescent="0.15">
      <c r="A3351" s="2"/>
    </row>
    <row r="3352" spans="1:1" ht="15.75" customHeight="1" x14ac:dyDescent="0.15">
      <c r="A3352" s="2"/>
    </row>
    <row r="3353" spans="1:1" ht="15.75" customHeight="1" x14ac:dyDescent="0.15">
      <c r="A3353" s="2"/>
    </row>
    <row r="3354" spans="1:1" ht="15.75" customHeight="1" x14ac:dyDescent="0.15">
      <c r="A3354" s="2"/>
    </row>
    <row r="3355" spans="1:1" ht="15.75" customHeight="1" x14ac:dyDescent="0.15">
      <c r="A3355" s="2"/>
    </row>
    <row r="3356" spans="1:1" ht="15.75" customHeight="1" x14ac:dyDescent="0.15">
      <c r="A3356" s="2"/>
    </row>
    <row r="3357" spans="1:1" ht="15.75" customHeight="1" x14ac:dyDescent="0.15">
      <c r="A3357" s="2"/>
    </row>
    <row r="3358" spans="1:1" ht="15.75" customHeight="1" x14ac:dyDescent="0.15">
      <c r="A3358" s="2"/>
    </row>
    <row r="3359" spans="1:1" ht="15.75" customHeight="1" x14ac:dyDescent="0.15">
      <c r="A3359" s="2"/>
    </row>
    <row r="3360" spans="1:1" ht="15.75" customHeight="1" x14ac:dyDescent="0.15">
      <c r="A3360" s="2"/>
    </row>
    <row r="3361" spans="1:1" ht="15.75" customHeight="1" x14ac:dyDescent="0.15">
      <c r="A3361" s="2"/>
    </row>
    <row r="3362" spans="1:1" ht="15.75" customHeight="1" x14ac:dyDescent="0.15">
      <c r="A3362" s="2"/>
    </row>
    <row r="3363" spans="1:1" ht="15.75" customHeight="1" x14ac:dyDescent="0.15">
      <c r="A3363" s="2"/>
    </row>
    <row r="3364" spans="1:1" ht="15.75" customHeight="1" x14ac:dyDescent="0.15">
      <c r="A3364" s="2"/>
    </row>
    <row r="3365" spans="1:1" ht="15.75" customHeight="1" x14ac:dyDescent="0.15">
      <c r="A3365" s="2"/>
    </row>
    <row r="3366" spans="1:1" ht="15.75" customHeight="1" x14ac:dyDescent="0.15">
      <c r="A3366" s="2"/>
    </row>
    <row r="3367" spans="1:1" ht="15.75" customHeight="1" x14ac:dyDescent="0.15">
      <c r="A3367" s="2"/>
    </row>
    <row r="3368" spans="1:1" ht="15.75" customHeight="1" x14ac:dyDescent="0.15">
      <c r="A3368" s="2"/>
    </row>
    <row r="3369" spans="1:1" ht="15.75" customHeight="1" x14ac:dyDescent="0.15">
      <c r="A3369" s="2"/>
    </row>
    <row r="3370" spans="1:1" ht="15.75" customHeight="1" x14ac:dyDescent="0.15">
      <c r="A3370" s="2"/>
    </row>
    <row r="3371" spans="1:1" ht="15.75" customHeight="1" x14ac:dyDescent="0.15">
      <c r="A3371" s="2"/>
    </row>
    <row r="3372" spans="1:1" ht="15.75" customHeight="1" x14ac:dyDescent="0.15">
      <c r="A3372" s="2"/>
    </row>
    <row r="3373" spans="1:1" ht="15.75" customHeight="1" x14ac:dyDescent="0.15">
      <c r="A3373" s="2"/>
    </row>
    <row r="3374" spans="1:1" ht="15.75" customHeight="1" x14ac:dyDescent="0.15">
      <c r="A3374" s="2"/>
    </row>
    <row r="3375" spans="1:1" ht="15.75" customHeight="1" x14ac:dyDescent="0.15">
      <c r="A3375" s="2"/>
    </row>
    <row r="3376" spans="1:1" ht="15.75" customHeight="1" x14ac:dyDescent="0.15">
      <c r="A3376" s="2"/>
    </row>
    <row r="3377" spans="1:1" ht="15.75" customHeight="1" x14ac:dyDescent="0.15">
      <c r="A3377" s="2"/>
    </row>
    <row r="3378" spans="1:1" ht="15.75" customHeight="1" x14ac:dyDescent="0.15">
      <c r="A3378" s="2"/>
    </row>
    <row r="3379" spans="1:1" ht="15.75" customHeight="1" x14ac:dyDescent="0.15">
      <c r="A3379" s="2"/>
    </row>
    <row r="3380" spans="1:1" ht="15.75" customHeight="1" x14ac:dyDescent="0.15">
      <c r="A3380" s="2"/>
    </row>
    <row r="3381" spans="1:1" ht="15.75" customHeight="1" x14ac:dyDescent="0.15">
      <c r="A3381" s="2"/>
    </row>
    <row r="3382" spans="1:1" ht="15.75" customHeight="1" x14ac:dyDescent="0.15">
      <c r="A3382" s="2"/>
    </row>
    <row r="3383" spans="1:1" ht="15.75" customHeight="1" x14ac:dyDescent="0.15">
      <c r="A3383" s="2"/>
    </row>
    <row r="3384" spans="1:1" ht="15.75" customHeight="1" x14ac:dyDescent="0.15">
      <c r="A3384" s="2"/>
    </row>
    <row r="3385" spans="1:1" ht="15.75" customHeight="1" x14ac:dyDescent="0.15">
      <c r="A3385" s="2"/>
    </row>
    <row r="3386" spans="1:1" ht="15.75" customHeight="1" x14ac:dyDescent="0.15">
      <c r="A3386" s="2"/>
    </row>
    <row r="3387" spans="1:1" ht="15.75" customHeight="1" x14ac:dyDescent="0.15">
      <c r="A3387" s="2"/>
    </row>
    <row r="3388" spans="1:1" ht="15.75" customHeight="1" x14ac:dyDescent="0.15">
      <c r="A3388" s="2"/>
    </row>
    <row r="3389" spans="1:1" ht="15.75" customHeight="1" x14ac:dyDescent="0.15">
      <c r="A3389" s="2"/>
    </row>
    <row r="3390" spans="1:1" ht="15.75" customHeight="1" x14ac:dyDescent="0.15">
      <c r="A3390" s="2"/>
    </row>
    <row r="3391" spans="1:1" ht="15.75" customHeight="1" x14ac:dyDescent="0.15">
      <c r="A3391" s="2"/>
    </row>
    <row r="3392" spans="1:1" ht="15.75" customHeight="1" x14ac:dyDescent="0.15">
      <c r="A3392" s="2"/>
    </row>
    <row r="3393" spans="1:1" ht="15.75" customHeight="1" x14ac:dyDescent="0.15">
      <c r="A3393" s="2"/>
    </row>
    <row r="3394" spans="1:1" ht="15.75" customHeight="1" x14ac:dyDescent="0.15">
      <c r="A3394" s="2"/>
    </row>
    <row r="3395" spans="1:1" ht="15.75" customHeight="1" x14ac:dyDescent="0.15">
      <c r="A3395" s="2"/>
    </row>
    <row r="3396" spans="1:1" ht="15.75" customHeight="1" x14ac:dyDescent="0.15">
      <c r="A3396" s="2"/>
    </row>
    <row r="3397" spans="1:1" ht="15.75" customHeight="1" x14ac:dyDescent="0.15">
      <c r="A3397" s="2"/>
    </row>
    <row r="3398" spans="1:1" ht="15.75" customHeight="1" x14ac:dyDescent="0.15">
      <c r="A3398" s="2"/>
    </row>
    <row r="3399" spans="1:1" ht="15.75" customHeight="1" x14ac:dyDescent="0.15">
      <c r="A3399" s="2"/>
    </row>
    <row r="3400" spans="1:1" ht="15.75" customHeight="1" x14ac:dyDescent="0.15">
      <c r="A3400" s="2"/>
    </row>
    <row r="3401" spans="1:1" ht="15.75" customHeight="1" x14ac:dyDescent="0.15">
      <c r="A3401" s="2"/>
    </row>
    <row r="3402" spans="1:1" ht="15.75" customHeight="1" x14ac:dyDescent="0.15">
      <c r="A3402" s="2"/>
    </row>
    <row r="3403" spans="1:1" ht="15.75" customHeight="1" x14ac:dyDescent="0.15">
      <c r="A3403" s="2"/>
    </row>
    <row r="3404" spans="1:1" ht="15.75" customHeight="1" x14ac:dyDescent="0.15">
      <c r="A3404" s="2"/>
    </row>
    <row r="3405" spans="1:1" ht="15.75" customHeight="1" x14ac:dyDescent="0.15">
      <c r="A3405" s="2"/>
    </row>
    <row r="3406" spans="1:1" ht="15.75" customHeight="1" x14ac:dyDescent="0.15">
      <c r="A3406" s="2"/>
    </row>
    <row r="3407" spans="1:1" ht="15.75" customHeight="1" x14ac:dyDescent="0.15">
      <c r="A3407" s="2"/>
    </row>
    <row r="3408" spans="1:1" ht="15.75" customHeight="1" x14ac:dyDescent="0.15">
      <c r="A3408" s="2"/>
    </row>
    <row r="3409" spans="1:1" ht="15.75" customHeight="1" x14ac:dyDescent="0.15">
      <c r="A3409" s="2"/>
    </row>
    <row r="3410" spans="1:1" ht="15.75" customHeight="1" x14ac:dyDescent="0.15">
      <c r="A3410" s="2"/>
    </row>
    <row r="3411" spans="1:1" ht="15.75" customHeight="1" x14ac:dyDescent="0.15">
      <c r="A3411" s="2"/>
    </row>
    <row r="3412" spans="1:1" ht="15.75" customHeight="1" x14ac:dyDescent="0.15">
      <c r="A3412" s="2"/>
    </row>
    <row r="3413" spans="1:1" ht="15.75" customHeight="1" x14ac:dyDescent="0.15">
      <c r="A3413" s="2"/>
    </row>
    <row r="3414" spans="1:1" ht="15.75" customHeight="1" x14ac:dyDescent="0.15">
      <c r="A3414" s="2"/>
    </row>
    <row r="3415" spans="1:1" ht="15.75" customHeight="1" x14ac:dyDescent="0.15">
      <c r="A3415" s="2"/>
    </row>
    <row r="3416" spans="1:1" ht="15.75" customHeight="1" x14ac:dyDescent="0.15">
      <c r="A3416" s="2"/>
    </row>
    <row r="3417" spans="1:1" ht="15.75" customHeight="1" x14ac:dyDescent="0.15">
      <c r="A3417" s="2"/>
    </row>
    <row r="3418" spans="1:1" ht="15.75" customHeight="1" x14ac:dyDescent="0.15">
      <c r="A3418" s="2"/>
    </row>
    <row r="3419" spans="1:1" ht="15.75" customHeight="1" x14ac:dyDescent="0.15">
      <c r="A3419" s="2"/>
    </row>
    <row r="3420" spans="1:1" ht="15.75" customHeight="1" x14ac:dyDescent="0.15">
      <c r="A3420" s="2"/>
    </row>
    <row r="3421" spans="1:1" ht="15.75" customHeight="1" x14ac:dyDescent="0.15">
      <c r="A3421" s="2"/>
    </row>
    <row r="3422" spans="1:1" ht="15.75" customHeight="1" x14ac:dyDescent="0.15">
      <c r="A3422" s="2"/>
    </row>
    <row r="3423" spans="1:1" ht="15.75" customHeight="1" x14ac:dyDescent="0.15">
      <c r="A3423" s="2"/>
    </row>
    <row r="3424" spans="1:1" ht="15.75" customHeight="1" x14ac:dyDescent="0.15">
      <c r="A3424" s="2"/>
    </row>
    <row r="3425" spans="1:1" ht="15.75" customHeight="1" x14ac:dyDescent="0.15">
      <c r="A3425" s="2"/>
    </row>
    <row r="3426" spans="1:1" ht="15.75" customHeight="1" x14ac:dyDescent="0.15">
      <c r="A3426" s="2"/>
    </row>
    <row r="3427" spans="1:1" ht="15.75" customHeight="1" x14ac:dyDescent="0.15">
      <c r="A3427" s="2"/>
    </row>
    <row r="3428" spans="1:1" ht="15.75" customHeight="1" x14ac:dyDescent="0.15">
      <c r="A3428" s="2"/>
    </row>
    <row r="3429" spans="1:1" ht="15.75" customHeight="1" x14ac:dyDescent="0.15">
      <c r="A3429" s="2"/>
    </row>
    <row r="3430" spans="1:1" ht="15.75" customHeight="1" x14ac:dyDescent="0.15">
      <c r="A3430" s="2"/>
    </row>
    <row r="3431" spans="1:1" ht="15.75" customHeight="1" x14ac:dyDescent="0.15">
      <c r="A3431" s="2"/>
    </row>
    <row r="3432" spans="1:1" ht="15.75" customHeight="1" x14ac:dyDescent="0.15">
      <c r="A3432" s="2"/>
    </row>
    <row r="3433" spans="1:1" ht="15.75" customHeight="1" x14ac:dyDescent="0.15">
      <c r="A3433" s="2"/>
    </row>
    <row r="3434" spans="1:1" ht="15.75" customHeight="1" x14ac:dyDescent="0.15">
      <c r="A3434" s="2"/>
    </row>
    <row r="3435" spans="1:1" ht="15.75" customHeight="1" x14ac:dyDescent="0.15">
      <c r="A3435" s="2"/>
    </row>
    <row r="3436" spans="1:1" ht="15.75" customHeight="1" x14ac:dyDescent="0.15">
      <c r="A3436" s="2"/>
    </row>
    <row r="3437" spans="1:1" ht="15.75" customHeight="1" x14ac:dyDescent="0.15">
      <c r="A3437" s="2"/>
    </row>
    <row r="3438" spans="1:1" ht="15.75" customHeight="1" x14ac:dyDescent="0.15">
      <c r="A3438" s="2"/>
    </row>
    <row r="3439" spans="1:1" ht="15.75" customHeight="1" x14ac:dyDescent="0.15">
      <c r="A3439" s="2"/>
    </row>
    <row r="3440" spans="1:1" ht="15.75" customHeight="1" x14ac:dyDescent="0.15">
      <c r="A3440" s="2"/>
    </row>
    <row r="3441" spans="1:1" ht="15.75" customHeight="1" x14ac:dyDescent="0.15">
      <c r="A3441" s="2"/>
    </row>
    <row r="3442" spans="1:1" ht="15.75" customHeight="1" x14ac:dyDescent="0.15">
      <c r="A3442" s="2"/>
    </row>
    <row r="3443" spans="1:1" ht="15.75" customHeight="1" x14ac:dyDescent="0.15">
      <c r="A3443" s="2"/>
    </row>
    <row r="3444" spans="1:1" ht="15.75" customHeight="1" x14ac:dyDescent="0.15">
      <c r="A3444" s="2"/>
    </row>
    <row r="3445" spans="1:1" ht="15.75" customHeight="1" x14ac:dyDescent="0.15">
      <c r="A3445" s="2"/>
    </row>
    <row r="3446" spans="1:1" ht="15.75" customHeight="1" x14ac:dyDescent="0.15">
      <c r="A3446" s="2"/>
    </row>
    <row r="3447" spans="1:1" ht="15.75" customHeight="1" x14ac:dyDescent="0.15">
      <c r="A3447" s="2"/>
    </row>
    <row r="3448" spans="1:1" ht="15.75" customHeight="1" x14ac:dyDescent="0.15">
      <c r="A3448" s="2"/>
    </row>
    <row r="3449" spans="1:1" ht="15.75" customHeight="1" x14ac:dyDescent="0.15">
      <c r="A3449" s="2"/>
    </row>
    <row r="3450" spans="1:1" ht="15.75" customHeight="1" x14ac:dyDescent="0.15">
      <c r="A3450" s="2"/>
    </row>
    <row r="3451" spans="1:1" ht="15.75" customHeight="1" x14ac:dyDescent="0.15">
      <c r="A3451" s="2"/>
    </row>
    <row r="3452" spans="1:1" ht="15.75" customHeight="1" x14ac:dyDescent="0.15">
      <c r="A3452" s="2"/>
    </row>
    <row r="3453" spans="1:1" ht="15.75" customHeight="1" x14ac:dyDescent="0.15">
      <c r="A3453" s="2"/>
    </row>
    <row r="3454" spans="1:1" ht="15.75" customHeight="1" x14ac:dyDescent="0.15">
      <c r="A3454" s="2"/>
    </row>
    <row r="3455" spans="1:1" ht="15.75" customHeight="1" x14ac:dyDescent="0.15">
      <c r="A3455" s="2"/>
    </row>
    <row r="3456" spans="1:1" ht="15.75" customHeight="1" x14ac:dyDescent="0.15">
      <c r="A3456" s="2"/>
    </row>
    <row r="3457" spans="1:1" ht="15.75" customHeight="1" x14ac:dyDescent="0.15">
      <c r="A3457" s="2"/>
    </row>
    <row r="3458" spans="1:1" ht="15.75" customHeight="1" x14ac:dyDescent="0.15">
      <c r="A3458" s="2"/>
    </row>
    <row r="3459" spans="1:1" ht="15.75" customHeight="1" x14ac:dyDescent="0.15">
      <c r="A3459" s="2"/>
    </row>
    <row r="3460" spans="1:1" ht="15.75" customHeight="1" x14ac:dyDescent="0.15">
      <c r="A3460" s="2"/>
    </row>
    <row r="3461" spans="1:1" ht="15.75" customHeight="1" x14ac:dyDescent="0.15">
      <c r="A3461" s="2"/>
    </row>
    <row r="3462" spans="1:1" ht="15.75" customHeight="1" x14ac:dyDescent="0.15">
      <c r="A3462" s="2"/>
    </row>
    <row r="3463" spans="1:1" ht="15.75" customHeight="1" x14ac:dyDescent="0.15">
      <c r="A3463" s="2"/>
    </row>
    <row r="3464" spans="1:1" ht="15.75" customHeight="1" x14ac:dyDescent="0.15">
      <c r="A3464" s="2"/>
    </row>
    <row r="3465" spans="1:1" ht="15.75" customHeight="1" x14ac:dyDescent="0.15">
      <c r="A3465" s="2"/>
    </row>
    <row r="3466" spans="1:1" ht="15.75" customHeight="1" x14ac:dyDescent="0.15">
      <c r="A3466" s="2"/>
    </row>
    <row r="3467" spans="1:1" ht="15.75" customHeight="1" x14ac:dyDescent="0.15">
      <c r="A3467" s="2"/>
    </row>
    <row r="3468" spans="1:1" ht="15.75" customHeight="1" x14ac:dyDescent="0.15">
      <c r="A3468" s="2"/>
    </row>
    <row r="3469" spans="1:1" ht="15.75" customHeight="1" x14ac:dyDescent="0.15">
      <c r="A3469" s="2"/>
    </row>
    <row r="3470" spans="1:1" ht="15.75" customHeight="1" x14ac:dyDescent="0.15">
      <c r="A3470" s="2"/>
    </row>
    <row r="3471" spans="1:1" ht="15.75" customHeight="1" x14ac:dyDescent="0.15">
      <c r="A3471" s="2"/>
    </row>
    <row r="3472" spans="1:1" ht="15.75" customHeight="1" x14ac:dyDescent="0.15">
      <c r="A3472" s="2"/>
    </row>
    <row r="3473" spans="1:1" ht="15.75" customHeight="1" x14ac:dyDescent="0.15">
      <c r="A3473" s="2"/>
    </row>
    <row r="3474" spans="1:1" ht="15.75" customHeight="1" x14ac:dyDescent="0.15">
      <c r="A3474" s="2"/>
    </row>
    <row r="3475" spans="1:1" ht="15.75" customHeight="1" x14ac:dyDescent="0.15">
      <c r="A3475" s="2"/>
    </row>
    <row r="3476" spans="1:1" ht="15.75" customHeight="1" x14ac:dyDescent="0.15">
      <c r="A3476" s="2"/>
    </row>
    <row r="3477" spans="1:1" ht="15.75" customHeight="1" x14ac:dyDescent="0.15">
      <c r="A3477" s="2"/>
    </row>
    <row r="3478" spans="1:1" ht="15.75" customHeight="1" x14ac:dyDescent="0.15">
      <c r="A3478" s="2"/>
    </row>
    <row r="3479" spans="1:1" ht="15.75" customHeight="1" x14ac:dyDescent="0.15">
      <c r="A3479" s="2"/>
    </row>
    <row r="3480" spans="1:1" ht="15.75" customHeight="1" x14ac:dyDescent="0.15">
      <c r="A3480" s="2"/>
    </row>
    <row r="3481" spans="1:1" ht="15.75" customHeight="1" x14ac:dyDescent="0.15">
      <c r="A3481" s="2"/>
    </row>
    <row r="3482" spans="1:1" ht="15.75" customHeight="1" x14ac:dyDescent="0.15">
      <c r="A3482" s="2"/>
    </row>
    <row r="3483" spans="1:1" ht="15.75" customHeight="1" x14ac:dyDescent="0.15">
      <c r="A3483" s="2"/>
    </row>
    <row r="3484" spans="1:1" ht="15.75" customHeight="1" x14ac:dyDescent="0.15">
      <c r="A3484" s="2"/>
    </row>
    <row r="3485" spans="1:1" ht="15.75" customHeight="1" x14ac:dyDescent="0.15">
      <c r="A3485" s="2"/>
    </row>
    <row r="3486" spans="1:1" ht="15.75" customHeight="1" x14ac:dyDescent="0.15">
      <c r="A3486" s="2"/>
    </row>
    <row r="3487" spans="1:1" ht="15.75" customHeight="1" x14ac:dyDescent="0.15">
      <c r="A3487" s="2"/>
    </row>
    <row r="3488" spans="1:1" ht="15.75" customHeight="1" x14ac:dyDescent="0.15">
      <c r="A3488" s="2"/>
    </row>
    <row r="3489" spans="1:1" ht="15.75" customHeight="1" x14ac:dyDescent="0.15">
      <c r="A3489" s="2"/>
    </row>
    <row r="3490" spans="1:1" ht="15.75" customHeight="1" x14ac:dyDescent="0.15">
      <c r="A3490" s="2"/>
    </row>
    <row r="3491" spans="1:1" ht="15.75" customHeight="1" x14ac:dyDescent="0.15">
      <c r="A3491" s="2"/>
    </row>
    <row r="3492" spans="1:1" ht="15.75" customHeight="1" x14ac:dyDescent="0.15">
      <c r="A3492" s="2"/>
    </row>
    <row r="3493" spans="1:1" ht="15.75" customHeight="1" x14ac:dyDescent="0.15">
      <c r="A3493" s="2"/>
    </row>
    <row r="3494" spans="1:1" ht="15.75" customHeight="1" x14ac:dyDescent="0.15">
      <c r="A3494" s="2"/>
    </row>
    <row r="3495" spans="1:1" ht="15.75" customHeight="1" x14ac:dyDescent="0.15">
      <c r="A3495" s="2"/>
    </row>
    <row r="3496" spans="1:1" ht="15.75" customHeight="1" x14ac:dyDescent="0.15">
      <c r="A3496" s="2"/>
    </row>
    <row r="3497" spans="1:1" ht="15.75" customHeight="1" x14ac:dyDescent="0.15">
      <c r="A3497" s="2"/>
    </row>
    <row r="3498" spans="1:1" ht="15.75" customHeight="1" x14ac:dyDescent="0.15">
      <c r="A3498" s="2"/>
    </row>
    <row r="3499" spans="1:1" ht="15.75" customHeight="1" x14ac:dyDescent="0.15">
      <c r="A3499" s="2"/>
    </row>
    <row r="3500" spans="1:1" ht="15.75" customHeight="1" x14ac:dyDescent="0.15">
      <c r="A3500" s="2"/>
    </row>
    <row r="3501" spans="1:1" ht="15.75" customHeight="1" x14ac:dyDescent="0.15">
      <c r="A3501" s="2"/>
    </row>
    <row r="3502" spans="1:1" ht="15.75" customHeight="1" x14ac:dyDescent="0.15">
      <c r="A3502" s="2"/>
    </row>
    <row r="3503" spans="1:1" ht="15.75" customHeight="1" x14ac:dyDescent="0.15">
      <c r="A3503" s="2"/>
    </row>
    <row r="3504" spans="1:1" ht="15.75" customHeight="1" x14ac:dyDescent="0.15">
      <c r="A3504" s="2"/>
    </row>
    <row r="3505" spans="1:1" ht="15.75" customHeight="1" x14ac:dyDescent="0.15">
      <c r="A3505" s="2"/>
    </row>
    <row r="3506" spans="1:1" ht="15.75" customHeight="1" x14ac:dyDescent="0.15">
      <c r="A3506" s="2"/>
    </row>
    <row r="3507" spans="1:1" ht="15.75" customHeight="1" x14ac:dyDescent="0.15">
      <c r="A3507" s="2"/>
    </row>
    <row r="3508" spans="1:1" ht="15.75" customHeight="1" x14ac:dyDescent="0.15">
      <c r="A3508" s="2"/>
    </row>
    <row r="3509" spans="1:1" ht="15.75" customHeight="1" x14ac:dyDescent="0.15">
      <c r="A3509" s="2"/>
    </row>
    <row r="3510" spans="1:1" ht="15.75" customHeight="1" x14ac:dyDescent="0.15">
      <c r="A3510" s="2"/>
    </row>
    <row r="3511" spans="1:1" ht="15.75" customHeight="1" x14ac:dyDescent="0.15">
      <c r="A3511" s="2"/>
    </row>
    <row r="3512" spans="1:1" ht="15.75" customHeight="1" x14ac:dyDescent="0.15">
      <c r="A3512" s="2"/>
    </row>
    <row r="3513" spans="1:1" ht="15.75" customHeight="1" x14ac:dyDescent="0.15">
      <c r="A3513" s="2"/>
    </row>
    <row r="3514" spans="1:1" ht="15.75" customHeight="1" x14ac:dyDescent="0.15">
      <c r="A3514" s="2"/>
    </row>
    <row r="3515" spans="1:1" ht="15.75" customHeight="1" x14ac:dyDescent="0.15">
      <c r="A3515" s="2"/>
    </row>
    <row r="3516" spans="1:1" ht="15.75" customHeight="1" x14ac:dyDescent="0.15">
      <c r="A3516" s="2"/>
    </row>
    <row r="3517" spans="1:1" ht="15.75" customHeight="1" x14ac:dyDescent="0.15">
      <c r="A3517" s="2"/>
    </row>
    <row r="3518" spans="1:1" ht="15.75" customHeight="1" x14ac:dyDescent="0.15">
      <c r="A3518" s="2"/>
    </row>
    <row r="3519" spans="1:1" ht="15.75" customHeight="1" x14ac:dyDescent="0.15">
      <c r="A3519" s="2"/>
    </row>
    <row r="3520" spans="1:1" ht="15.75" customHeight="1" x14ac:dyDescent="0.15">
      <c r="A3520" s="2"/>
    </row>
    <row r="3521" spans="1:1" ht="15.75" customHeight="1" x14ac:dyDescent="0.15">
      <c r="A3521" s="2"/>
    </row>
    <row r="3522" spans="1:1" ht="15.75" customHeight="1" x14ac:dyDescent="0.15">
      <c r="A3522" s="2"/>
    </row>
    <row r="3523" spans="1:1" ht="15.75" customHeight="1" x14ac:dyDescent="0.15">
      <c r="A3523" s="2"/>
    </row>
    <row r="3524" spans="1:1" ht="15.75" customHeight="1" x14ac:dyDescent="0.15">
      <c r="A3524" s="2"/>
    </row>
    <row r="3525" spans="1:1" ht="15.75" customHeight="1" x14ac:dyDescent="0.15">
      <c r="A3525" s="2"/>
    </row>
    <row r="3526" spans="1:1" ht="15.75" customHeight="1" x14ac:dyDescent="0.15">
      <c r="A3526" s="2"/>
    </row>
    <row r="3527" spans="1:1" ht="15.75" customHeight="1" x14ac:dyDescent="0.15">
      <c r="A3527" s="2"/>
    </row>
    <row r="3528" spans="1:1" ht="15.75" customHeight="1" x14ac:dyDescent="0.15">
      <c r="A3528" s="2"/>
    </row>
    <row r="3529" spans="1:1" ht="15.75" customHeight="1" x14ac:dyDescent="0.15">
      <c r="A3529" s="2"/>
    </row>
    <row r="3530" spans="1:1" ht="15.75" customHeight="1" x14ac:dyDescent="0.15">
      <c r="A3530" s="2"/>
    </row>
    <row r="3531" spans="1:1" ht="15.75" customHeight="1" x14ac:dyDescent="0.15">
      <c r="A3531" s="2"/>
    </row>
    <row r="3532" spans="1:1" ht="15.75" customHeight="1" x14ac:dyDescent="0.15">
      <c r="A3532" s="2"/>
    </row>
    <row r="3533" spans="1:1" ht="15.75" customHeight="1" x14ac:dyDescent="0.15">
      <c r="A3533" s="2"/>
    </row>
    <row r="3534" spans="1:1" ht="15.75" customHeight="1" x14ac:dyDescent="0.15">
      <c r="A3534" s="2"/>
    </row>
    <row r="3535" spans="1:1" ht="15.75" customHeight="1" x14ac:dyDescent="0.15">
      <c r="A3535" s="2"/>
    </row>
    <row r="3536" spans="1:1" ht="15.75" customHeight="1" x14ac:dyDescent="0.15">
      <c r="A3536" s="2"/>
    </row>
    <row r="3537" spans="1:1" ht="15.75" customHeight="1" x14ac:dyDescent="0.15">
      <c r="A3537" s="2"/>
    </row>
    <row r="3538" spans="1:1" ht="15.75" customHeight="1" x14ac:dyDescent="0.15">
      <c r="A3538" s="2"/>
    </row>
    <row r="3539" spans="1:1" ht="15.75" customHeight="1" x14ac:dyDescent="0.15">
      <c r="A3539" s="2"/>
    </row>
    <row r="3540" spans="1:1" ht="15.75" customHeight="1" x14ac:dyDescent="0.15">
      <c r="A3540" s="2"/>
    </row>
    <row r="3541" spans="1:1" ht="15.75" customHeight="1" x14ac:dyDescent="0.15">
      <c r="A3541" s="2"/>
    </row>
    <row r="3542" spans="1:1" ht="15.75" customHeight="1" x14ac:dyDescent="0.15">
      <c r="A3542" s="2"/>
    </row>
    <row r="3543" spans="1:1" ht="15.75" customHeight="1" x14ac:dyDescent="0.15">
      <c r="A3543" s="2"/>
    </row>
    <row r="3544" spans="1:1" ht="15.75" customHeight="1" x14ac:dyDescent="0.15">
      <c r="A3544" s="2"/>
    </row>
    <row r="3545" spans="1:1" ht="15.75" customHeight="1" x14ac:dyDescent="0.15">
      <c r="A3545" s="2"/>
    </row>
    <row r="3546" spans="1:1" ht="15.75" customHeight="1" x14ac:dyDescent="0.15">
      <c r="A3546" s="2"/>
    </row>
    <row r="3547" spans="1:1" ht="15.75" customHeight="1" x14ac:dyDescent="0.15">
      <c r="A3547" s="2"/>
    </row>
    <row r="3548" spans="1:1" ht="15.75" customHeight="1" x14ac:dyDescent="0.15">
      <c r="A3548" s="2"/>
    </row>
    <row r="3549" spans="1:1" ht="15.75" customHeight="1" x14ac:dyDescent="0.15">
      <c r="A3549" s="2"/>
    </row>
    <row r="3550" spans="1:1" ht="15.75" customHeight="1" x14ac:dyDescent="0.15">
      <c r="A3550" s="2"/>
    </row>
    <row r="3551" spans="1:1" ht="15.75" customHeight="1" x14ac:dyDescent="0.15">
      <c r="A3551" s="2"/>
    </row>
    <row r="3552" spans="1:1" ht="15.75" customHeight="1" x14ac:dyDescent="0.15">
      <c r="A3552" s="2"/>
    </row>
    <row r="3553" spans="1:1" ht="15.75" customHeight="1" x14ac:dyDescent="0.15">
      <c r="A3553" s="2"/>
    </row>
    <row r="3554" spans="1:1" ht="15.75" customHeight="1" x14ac:dyDescent="0.15">
      <c r="A3554" s="2"/>
    </row>
    <row r="3555" spans="1:1" ht="15.75" customHeight="1" x14ac:dyDescent="0.15">
      <c r="A3555" s="2"/>
    </row>
    <row r="3556" spans="1:1" ht="15.75" customHeight="1" x14ac:dyDescent="0.15">
      <c r="A3556" s="2"/>
    </row>
    <row r="3557" spans="1:1" ht="15.75" customHeight="1" x14ac:dyDescent="0.15">
      <c r="A3557" s="2"/>
    </row>
    <row r="3558" spans="1:1" ht="15.75" customHeight="1" x14ac:dyDescent="0.15">
      <c r="A3558" s="2"/>
    </row>
    <row r="3559" spans="1:1" ht="15.75" customHeight="1" x14ac:dyDescent="0.15">
      <c r="A3559" s="2"/>
    </row>
    <row r="3560" spans="1:1" ht="15.75" customHeight="1" x14ac:dyDescent="0.15">
      <c r="A3560" s="2"/>
    </row>
    <row r="3561" spans="1:1" ht="15.75" customHeight="1" x14ac:dyDescent="0.15">
      <c r="A3561" s="2"/>
    </row>
    <row r="3562" spans="1:1" ht="15.75" customHeight="1" x14ac:dyDescent="0.15">
      <c r="A3562" s="2"/>
    </row>
    <row r="3563" spans="1:1" ht="15.75" customHeight="1" x14ac:dyDescent="0.15">
      <c r="A3563" s="2"/>
    </row>
    <row r="3564" spans="1:1" ht="15.75" customHeight="1" x14ac:dyDescent="0.15">
      <c r="A3564" s="2"/>
    </row>
    <row r="3565" spans="1:1" ht="15.75" customHeight="1" x14ac:dyDescent="0.15">
      <c r="A3565" s="2"/>
    </row>
    <row r="3566" spans="1:1" ht="15.75" customHeight="1" x14ac:dyDescent="0.15">
      <c r="A3566" s="2"/>
    </row>
    <row r="3567" spans="1:1" ht="15.75" customHeight="1" x14ac:dyDescent="0.15">
      <c r="A3567" s="2"/>
    </row>
    <row r="3568" spans="1:1" ht="15.75" customHeight="1" x14ac:dyDescent="0.15">
      <c r="A3568" s="2"/>
    </row>
    <row r="3569" spans="1:1" ht="15.75" customHeight="1" x14ac:dyDescent="0.15">
      <c r="A3569" s="2"/>
    </row>
    <row r="3570" spans="1:1" ht="15.75" customHeight="1" x14ac:dyDescent="0.15">
      <c r="A3570" s="2"/>
    </row>
    <row r="3571" spans="1:1" ht="15.75" customHeight="1" x14ac:dyDescent="0.15">
      <c r="A3571" s="2"/>
    </row>
    <row r="3572" spans="1:1" ht="15.75" customHeight="1" x14ac:dyDescent="0.15">
      <c r="A3572" s="2"/>
    </row>
    <row r="3573" spans="1:1" ht="15.75" customHeight="1" x14ac:dyDescent="0.15">
      <c r="A3573" s="2"/>
    </row>
    <row r="3574" spans="1:1" ht="15.75" customHeight="1" x14ac:dyDescent="0.15">
      <c r="A3574" s="2"/>
    </row>
    <row r="3575" spans="1:1" ht="15.75" customHeight="1" x14ac:dyDescent="0.15">
      <c r="A3575" s="2"/>
    </row>
    <row r="3576" spans="1:1" ht="15.75" customHeight="1" x14ac:dyDescent="0.15">
      <c r="A3576" s="2"/>
    </row>
    <row r="3577" spans="1:1" ht="15.75" customHeight="1" x14ac:dyDescent="0.15">
      <c r="A3577" s="2"/>
    </row>
    <row r="3578" spans="1:1" ht="15.75" customHeight="1" x14ac:dyDescent="0.15">
      <c r="A3578" s="2"/>
    </row>
    <row r="3579" spans="1:1" ht="15.75" customHeight="1" x14ac:dyDescent="0.15">
      <c r="A3579" s="2"/>
    </row>
    <row r="3580" spans="1:1" ht="15.75" customHeight="1" x14ac:dyDescent="0.15">
      <c r="A3580" s="2"/>
    </row>
    <row r="3581" spans="1:1" ht="15.75" customHeight="1" x14ac:dyDescent="0.15">
      <c r="A3581" s="2"/>
    </row>
    <row r="3582" spans="1:1" ht="15.75" customHeight="1" x14ac:dyDescent="0.15">
      <c r="A3582" s="2"/>
    </row>
    <row r="3583" spans="1:1" ht="15.75" customHeight="1" x14ac:dyDescent="0.15">
      <c r="A3583" s="2"/>
    </row>
    <row r="3584" spans="1:1" ht="15.75" customHeight="1" x14ac:dyDescent="0.15">
      <c r="A3584" s="2"/>
    </row>
    <row r="3585" spans="1:1" ht="15.75" customHeight="1" x14ac:dyDescent="0.15">
      <c r="A3585" s="2"/>
    </row>
    <row r="3586" spans="1:1" ht="15.75" customHeight="1" x14ac:dyDescent="0.15">
      <c r="A3586" s="2"/>
    </row>
    <row r="3587" spans="1:1" ht="15.75" customHeight="1" x14ac:dyDescent="0.15">
      <c r="A3587" s="2"/>
    </row>
    <row r="3588" spans="1:1" ht="15.75" customHeight="1" x14ac:dyDescent="0.15">
      <c r="A3588" s="2"/>
    </row>
    <row r="3589" spans="1:1" ht="15.75" customHeight="1" x14ac:dyDescent="0.15">
      <c r="A3589" s="2"/>
    </row>
    <row r="3590" spans="1:1" ht="15.75" customHeight="1" x14ac:dyDescent="0.15">
      <c r="A3590" s="2"/>
    </row>
    <row r="3591" spans="1:1" ht="15.75" customHeight="1" x14ac:dyDescent="0.15">
      <c r="A3591" s="2"/>
    </row>
    <row r="3592" spans="1:1" ht="15.75" customHeight="1" x14ac:dyDescent="0.15">
      <c r="A3592" s="2"/>
    </row>
    <row r="3593" spans="1:1" ht="15.75" customHeight="1" x14ac:dyDescent="0.15">
      <c r="A3593" s="2"/>
    </row>
    <row r="3594" spans="1:1" ht="15.75" customHeight="1" x14ac:dyDescent="0.15">
      <c r="A3594" s="2"/>
    </row>
    <row r="3595" spans="1:1" ht="15.75" customHeight="1" x14ac:dyDescent="0.15">
      <c r="A3595" s="2"/>
    </row>
    <row r="3596" spans="1:1" ht="15.75" customHeight="1" x14ac:dyDescent="0.15">
      <c r="A3596" s="2"/>
    </row>
    <row r="3597" spans="1:1" ht="15.75" customHeight="1" x14ac:dyDescent="0.15">
      <c r="A3597" s="2"/>
    </row>
    <row r="3598" spans="1:1" ht="15.75" customHeight="1" x14ac:dyDescent="0.15">
      <c r="A3598" s="2"/>
    </row>
    <row r="3599" spans="1:1" ht="15.75" customHeight="1" x14ac:dyDescent="0.15">
      <c r="A3599" s="2"/>
    </row>
    <row r="3600" spans="1:1" ht="15.75" customHeight="1" x14ac:dyDescent="0.15">
      <c r="A3600" s="2"/>
    </row>
    <row r="3601" spans="1:1" ht="15.75" customHeight="1" x14ac:dyDescent="0.15">
      <c r="A3601" s="2"/>
    </row>
    <row r="3602" spans="1:1" ht="15.75" customHeight="1" x14ac:dyDescent="0.15">
      <c r="A3602" s="2"/>
    </row>
    <row r="3603" spans="1:1" ht="15.75" customHeight="1" x14ac:dyDescent="0.15">
      <c r="A3603" s="2"/>
    </row>
    <row r="3604" spans="1:1" ht="15.75" customHeight="1" x14ac:dyDescent="0.15">
      <c r="A3604" s="2"/>
    </row>
    <row r="3605" spans="1:1" ht="15.75" customHeight="1" x14ac:dyDescent="0.15">
      <c r="A3605" s="2"/>
    </row>
    <row r="3606" spans="1:1" ht="15.75" customHeight="1" x14ac:dyDescent="0.15">
      <c r="A3606" s="2"/>
    </row>
    <row r="3607" spans="1:1" ht="15.75" customHeight="1" x14ac:dyDescent="0.15">
      <c r="A3607" s="2"/>
    </row>
    <row r="3608" spans="1:1" ht="15.75" customHeight="1" x14ac:dyDescent="0.15">
      <c r="A3608" s="2"/>
    </row>
    <row r="3609" spans="1:1" ht="15.75" customHeight="1" x14ac:dyDescent="0.15">
      <c r="A3609" s="2"/>
    </row>
    <row r="3610" spans="1:1" ht="15.75" customHeight="1" x14ac:dyDescent="0.15">
      <c r="A3610" s="2"/>
    </row>
    <row r="3611" spans="1:1" ht="15.75" customHeight="1" x14ac:dyDescent="0.15">
      <c r="A3611" s="2"/>
    </row>
    <row r="3612" spans="1:1" ht="15.75" customHeight="1" x14ac:dyDescent="0.15">
      <c r="A3612" s="2"/>
    </row>
    <row r="3613" spans="1:1" ht="15.75" customHeight="1" x14ac:dyDescent="0.15">
      <c r="A3613" s="2"/>
    </row>
    <row r="3614" spans="1:1" ht="15.75" customHeight="1" x14ac:dyDescent="0.15">
      <c r="A3614" s="2"/>
    </row>
    <row r="3615" spans="1:1" ht="15.75" customHeight="1" x14ac:dyDescent="0.15">
      <c r="A3615" s="2"/>
    </row>
    <row r="3616" spans="1:1" ht="15.75" customHeight="1" x14ac:dyDescent="0.15">
      <c r="A3616" s="2"/>
    </row>
    <row r="3617" spans="1:1" ht="15.75" customHeight="1" x14ac:dyDescent="0.15">
      <c r="A3617" s="2"/>
    </row>
    <row r="3618" spans="1:1" ht="15.75" customHeight="1" x14ac:dyDescent="0.15">
      <c r="A3618" s="2"/>
    </row>
    <row r="3619" spans="1:1" ht="15.75" customHeight="1" x14ac:dyDescent="0.15">
      <c r="A3619" s="2"/>
    </row>
    <row r="3620" spans="1:1" ht="15.75" customHeight="1" x14ac:dyDescent="0.15">
      <c r="A3620" s="2"/>
    </row>
    <row r="3621" spans="1:1" ht="15.75" customHeight="1" x14ac:dyDescent="0.15">
      <c r="A3621" s="2"/>
    </row>
    <row r="3622" spans="1:1" ht="15.75" customHeight="1" x14ac:dyDescent="0.15">
      <c r="A3622" s="2"/>
    </row>
    <row r="3623" spans="1:1" ht="15.75" customHeight="1" x14ac:dyDescent="0.15">
      <c r="A3623" s="2"/>
    </row>
    <row r="3624" spans="1:1" ht="15.75" customHeight="1" x14ac:dyDescent="0.15">
      <c r="A3624" s="2"/>
    </row>
    <row r="3625" spans="1:1" ht="15.75" customHeight="1" x14ac:dyDescent="0.15">
      <c r="A3625" s="2"/>
    </row>
    <row r="3626" spans="1:1" ht="15.75" customHeight="1" x14ac:dyDescent="0.15">
      <c r="A3626" s="2"/>
    </row>
    <row r="3627" spans="1:1" ht="15.75" customHeight="1" x14ac:dyDescent="0.15">
      <c r="A3627" s="2"/>
    </row>
    <row r="3628" spans="1:1" ht="15.75" customHeight="1" x14ac:dyDescent="0.15">
      <c r="A3628" s="2"/>
    </row>
    <row r="3629" spans="1:1" ht="15.75" customHeight="1" x14ac:dyDescent="0.15">
      <c r="A3629" s="2"/>
    </row>
    <row r="3630" spans="1:1" ht="15.75" customHeight="1" x14ac:dyDescent="0.15">
      <c r="A3630" s="2"/>
    </row>
    <row r="3631" spans="1:1" ht="15.75" customHeight="1" x14ac:dyDescent="0.15">
      <c r="A3631" s="2"/>
    </row>
    <row r="3632" spans="1:1" ht="15.75" customHeight="1" x14ac:dyDescent="0.15">
      <c r="A3632" s="2"/>
    </row>
    <row r="3633" spans="1:1" ht="15.75" customHeight="1" x14ac:dyDescent="0.15">
      <c r="A3633" s="2"/>
    </row>
    <row r="3634" spans="1:1" ht="15.75" customHeight="1" x14ac:dyDescent="0.15">
      <c r="A3634" s="2"/>
    </row>
    <row r="3635" spans="1:1" ht="15.75" customHeight="1" x14ac:dyDescent="0.15">
      <c r="A3635" s="2"/>
    </row>
    <row r="3636" spans="1:1" ht="15.75" customHeight="1" x14ac:dyDescent="0.15">
      <c r="A3636" s="2"/>
    </row>
    <row r="3637" spans="1:1" ht="15.75" customHeight="1" x14ac:dyDescent="0.15">
      <c r="A3637" s="2"/>
    </row>
    <row r="3638" spans="1:1" ht="15.75" customHeight="1" x14ac:dyDescent="0.15">
      <c r="A3638" s="2"/>
    </row>
    <row r="3639" spans="1:1" ht="15.75" customHeight="1" x14ac:dyDescent="0.15">
      <c r="A3639" s="2"/>
    </row>
    <row r="3640" spans="1:1" ht="15.75" customHeight="1" x14ac:dyDescent="0.15">
      <c r="A3640" s="2"/>
    </row>
    <row r="3641" spans="1:1" ht="15.75" customHeight="1" x14ac:dyDescent="0.15">
      <c r="A3641" s="2"/>
    </row>
    <row r="3642" spans="1:1" ht="15.75" customHeight="1" x14ac:dyDescent="0.15">
      <c r="A3642" s="2"/>
    </row>
    <row r="3643" spans="1:1" ht="15.75" customHeight="1" x14ac:dyDescent="0.15">
      <c r="A3643" s="2"/>
    </row>
    <row r="3644" spans="1:1" ht="15.75" customHeight="1" x14ac:dyDescent="0.15">
      <c r="A3644" s="2"/>
    </row>
    <row r="3645" spans="1:1" ht="15.75" customHeight="1" x14ac:dyDescent="0.15">
      <c r="A3645" s="2"/>
    </row>
    <row r="3646" spans="1:1" ht="15.75" customHeight="1" x14ac:dyDescent="0.15">
      <c r="A3646" s="2"/>
    </row>
    <row r="3647" spans="1:1" ht="15.75" customHeight="1" x14ac:dyDescent="0.15">
      <c r="A3647" s="2"/>
    </row>
    <row r="3648" spans="1:1" ht="15.75" customHeight="1" x14ac:dyDescent="0.15">
      <c r="A3648" s="2"/>
    </row>
    <row r="3649" spans="1:1" ht="15.75" customHeight="1" x14ac:dyDescent="0.15">
      <c r="A3649" s="2"/>
    </row>
    <row r="3650" spans="1:1" ht="15.75" customHeight="1" x14ac:dyDescent="0.15">
      <c r="A3650" s="2"/>
    </row>
    <row r="3651" spans="1:1" ht="15.75" customHeight="1" x14ac:dyDescent="0.15">
      <c r="A3651" s="2"/>
    </row>
    <row r="3652" spans="1:1" ht="15.75" customHeight="1" x14ac:dyDescent="0.15">
      <c r="A3652" s="2"/>
    </row>
    <row r="3653" spans="1:1" ht="15.75" customHeight="1" x14ac:dyDescent="0.15">
      <c r="A3653" s="2"/>
    </row>
    <row r="3654" spans="1:1" ht="15.75" customHeight="1" x14ac:dyDescent="0.15">
      <c r="A3654" s="2"/>
    </row>
    <row r="3655" spans="1:1" ht="15.75" customHeight="1" x14ac:dyDescent="0.15">
      <c r="A3655" s="2"/>
    </row>
    <row r="3656" spans="1:1" ht="15.75" customHeight="1" x14ac:dyDescent="0.15">
      <c r="A3656" s="2"/>
    </row>
    <row r="3657" spans="1:1" ht="15.75" customHeight="1" x14ac:dyDescent="0.15">
      <c r="A3657" s="2"/>
    </row>
    <row r="3658" spans="1:1" ht="15.75" customHeight="1" x14ac:dyDescent="0.15">
      <c r="A3658" s="2"/>
    </row>
    <row r="3659" spans="1:1" ht="15.75" customHeight="1" x14ac:dyDescent="0.15">
      <c r="A3659" s="2"/>
    </row>
    <row r="3660" spans="1:1" ht="15.75" customHeight="1" x14ac:dyDescent="0.15">
      <c r="A3660" s="2"/>
    </row>
    <row r="3661" spans="1:1" ht="15.75" customHeight="1" x14ac:dyDescent="0.15">
      <c r="A3661" s="2"/>
    </row>
    <row r="3662" spans="1:1" ht="15.75" customHeight="1" x14ac:dyDescent="0.15">
      <c r="A3662" s="2"/>
    </row>
    <row r="3663" spans="1:1" ht="15.75" customHeight="1" x14ac:dyDescent="0.15">
      <c r="A3663" s="2"/>
    </row>
    <row r="3664" spans="1:1" ht="15.75" customHeight="1" x14ac:dyDescent="0.15">
      <c r="A3664" s="2"/>
    </row>
    <row r="3665" spans="1:1" ht="15.75" customHeight="1" x14ac:dyDescent="0.15">
      <c r="A3665" s="2"/>
    </row>
    <row r="3666" spans="1:1" ht="15.75" customHeight="1" x14ac:dyDescent="0.15">
      <c r="A3666" s="2"/>
    </row>
    <row r="3667" spans="1:1" ht="15.75" customHeight="1" x14ac:dyDescent="0.15">
      <c r="A3667" s="2"/>
    </row>
    <row r="3668" spans="1:1" ht="15.75" customHeight="1" x14ac:dyDescent="0.15">
      <c r="A3668" s="2"/>
    </row>
    <row r="3669" spans="1:1" ht="15.75" customHeight="1" x14ac:dyDescent="0.15">
      <c r="A3669" s="2"/>
    </row>
    <row r="3670" spans="1:1" ht="15.75" customHeight="1" x14ac:dyDescent="0.15">
      <c r="A3670" s="2"/>
    </row>
    <row r="3671" spans="1:1" ht="15.75" customHeight="1" x14ac:dyDescent="0.15">
      <c r="A3671" s="2"/>
    </row>
    <row r="3672" spans="1:1" ht="15.75" customHeight="1" x14ac:dyDescent="0.15">
      <c r="A3672" s="2"/>
    </row>
    <row r="3673" spans="1:1" ht="15.75" customHeight="1" x14ac:dyDescent="0.15">
      <c r="A3673" s="2"/>
    </row>
    <row r="3674" spans="1:1" ht="15.75" customHeight="1" x14ac:dyDescent="0.15">
      <c r="A3674" s="2"/>
    </row>
    <row r="3675" spans="1:1" ht="15.75" customHeight="1" x14ac:dyDescent="0.15">
      <c r="A3675" s="2"/>
    </row>
    <row r="3676" spans="1:1" ht="15.75" customHeight="1" x14ac:dyDescent="0.15">
      <c r="A3676" s="2"/>
    </row>
    <row r="3677" spans="1:1" ht="15.75" customHeight="1" x14ac:dyDescent="0.15">
      <c r="A3677" s="2"/>
    </row>
    <row r="3678" spans="1:1" ht="15.75" customHeight="1" x14ac:dyDescent="0.15">
      <c r="A3678" s="2"/>
    </row>
    <row r="3679" spans="1:1" ht="15.75" customHeight="1" x14ac:dyDescent="0.15">
      <c r="A3679" s="2"/>
    </row>
    <row r="3680" spans="1:1" ht="15.75" customHeight="1" x14ac:dyDescent="0.15">
      <c r="A3680" s="2"/>
    </row>
    <row r="3681" spans="1:1" ht="15.75" customHeight="1" x14ac:dyDescent="0.15">
      <c r="A3681" s="2"/>
    </row>
    <row r="3682" spans="1:1" ht="15.75" customHeight="1" x14ac:dyDescent="0.15">
      <c r="A3682" s="2"/>
    </row>
    <row r="3683" spans="1:1" ht="15.75" customHeight="1" x14ac:dyDescent="0.15">
      <c r="A3683" s="2"/>
    </row>
    <row r="3684" spans="1:1" ht="15.75" customHeight="1" x14ac:dyDescent="0.15">
      <c r="A3684" s="2"/>
    </row>
    <row r="3685" spans="1:1" ht="15.75" customHeight="1" x14ac:dyDescent="0.15">
      <c r="A3685" s="2"/>
    </row>
    <row r="3686" spans="1:1" ht="15.75" customHeight="1" x14ac:dyDescent="0.15">
      <c r="A3686" s="2"/>
    </row>
    <row r="3687" spans="1:1" ht="15.75" customHeight="1" x14ac:dyDescent="0.15">
      <c r="A3687" s="2"/>
    </row>
    <row r="3688" spans="1:1" ht="15.75" customHeight="1" x14ac:dyDescent="0.15">
      <c r="A3688" s="2"/>
    </row>
    <row r="3689" spans="1:1" ht="15.75" customHeight="1" x14ac:dyDescent="0.15">
      <c r="A3689" s="2"/>
    </row>
    <row r="3690" spans="1:1" ht="15.75" customHeight="1" x14ac:dyDescent="0.15">
      <c r="A3690" s="2"/>
    </row>
    <row r="3691" spans="1:1" ht="15.75" customHeight="1" x14ac:dyDescent="0.15">
      <c r="A3691" s="2"/>
    </row>
    <row r="3692" spans="1:1" ht="15.75" customHeight="1" x14ac:dyDescent="0.15">
      <c r="A3692" s="2"/>
    </row>
    <row r="3693" spans="1:1" ht="15.75" customHeight="1" x14ac:dyDescent="0.15">
      <c r="A3693" s="2"/>
    </row>
    <row r="3694" spans="1:1" ht="15.75" customHeight="1" x14ac:dyDescent="0.15">
      <c r="A3694" s="2"/>
    </row>
    <row r="3695" spans="1:1" ht="15.75" customHeight="1" x14ac:dyDescent="0.15">
      <c r="A3695" s="2"/>
    </row>
    <row r="3696" spans="1:1" ht="15.75" customHeight="1" x14ac:dyDescent="0.15">
      <c r="A3696" s="2"/>
    </row>
    <row r="3697" spans="1:1" ht="15.75" customHeight="1" x14ac:dyDescent="0.15">
      <c r="A3697" s="2"/>
    </row>
    <row r="3698" spans="1:1" ht="15.75" customHeight="1" x14ac:dyDescent="0.15">
      <c r="A3698" s="2"/>
    </row>
    <row r="3699" spans="1:1" ht="15.75" customHeight="1" x14ac:dyDescent="0.15">
      <c r="A3699" s="2"/>
    </row>
    <row r="3700" spans="1:1" ht="15.75" customHeight="1" x14ac:dyDescent="0.15">
      <c r="A3700" s="2"/>
    </row>
    <row r="3701" spans="1:1" ht="15.75" customHeight="1" x14ac:dyDescent="0.15">
      <c r="A3701" s="2"/>
    </row>
    <row r="3702" spans="1:1" ht="15.75" customHeight="1" x14ac:dyDescent="0.15">
      <c r="A3702" s="2"/>
    </row>
    <row r="3703" spans="1:1" ht="15.75" customHeight="1" x14ac:dyDescent="0.15">
      <c r="A3703" s="2"/>
    </row>
    <row r="3704" spans="1:1" ht="15.75" customHeight="1" x14ac:dyDescent="0.15">
      <c r="A3704" s="2"/>
    </row>
    <row r="3705" spans="1:1" ht="15.75" customHeight="1" x14ac:dyDescent="0.15">
      <c r="A3705" s="2"/>
    </row>
    <row r="3706" spans="1:1" ht="15.75" customHeight="1" x14ac:dyDescent="0.15">
      <c r="A3706" s="2"/>
    </row>
    <row r="3707" spans="1:1" ht="15.75" customHeight="1" x14ac:dyDescent="0.15">
      <c r="A3707" s="2"/>
    </row>
    <row r="3708" spans="1:1" ht="15.75" customHeight="1" x14ac:dyDescent="0.15">
      <c r="A3708" s="2"/>
    </row>
    <row r="3709" spans="1:1" ht="15.75" customHeight="1" x14ac:dyDescent="0.15">
      <c r="A3709" s="2"/>
    </row>
    <row r="3710" spans="1:1" ht="15.75" customHeight="1" x14ac:dyDescent="0.15">
      <c r="A3710" s="2"/>
    </row>
    <row r="3711" spans="1:1" ht="15.75" customHeight="1" x14ac:dyDescent="0.15">
      <c r="A3711" s="2"/>
    </row>
    <row r="3712" spans="1:1" ht="15.75" customHeight="1" x14ac:dyDescent="0.15">
      <c r="A3712" s="2"/>
    </row>
    <row r="3713" spans="1:1" ht="15.75" customHeight="1" x14ac:dyDescent="0.15">
      <c r="A3713" s="2"/>
    </row>
    <row r="3714" spans="1:1" ht="15.75" customHeight="1" x14ac:dyDescent="0.15">
      <c r="A3714" s="2"/>
    </row>
    <row r="3715" spans="1:1" ht="15.75" customHeight="1" x14ac:dyDescent="0.15">
      <c r="A3715" s="2"/>
    </row>
    <row r="3716" spans="1:1" ht="15.75" customHeight="1" x14ac:dyDescent="0.15">
      <c r="A3716" s="2"/>
    </row>
    <row r="3717" spans="1:1" ht="15.75" customHeight="1" x14ac:dyDescent="0.15">
      <c r="A3717" s="2"/>
    </row>
    <row r="3718" spans="1:1" ht="15.75" customHeight="1" x14ac:dyDescent="0.15">
      <c r="A3718" s="2"/>
    </row>
    <row r="3719" spans="1:1" ht="15.75" customHeight="1" x14ac:dyDescent="0.15">
      <c r="A3719" s="2"/>
    </row>
    <row r="3720" spans="1:1" ht="15.75" customHeight="1" x14ac:dyDescent="0.15">
      <c r="A3720" s="2"/>
    </row>
    <row r="3721" spans="1:1" ht="15.75" customHeight="1" x14ac:dyDescent="0.15">
      <c r="A3721" s="2"/>
    </row>
    <row r="3722" spans="1:1" ht="15.75" customHeight="1" x14ac:dyDescent="0.15">
      <c r="A3722" s="2"/>
    </row>
    <row r="3723" spans="1:1" ht="15.75" customHeight="1" x14ac:dyDescent="0.15">
      <c r="A3723" s="2"/>
    </row>
    <row r="3724" spans="1:1" ht="15.75" customHeight="1" x14ac:dyDescent="0.15">
      <c r="A3724" s="2"/>
    </row>
    <row r="3725" spans="1:1" ht="15.75" customHeight="1" x14ac:dyDescent="0.15">
      <c r="A3725" s="2"/>
    </row>
    <row r="3726" spans="1:1" ht="15.75" customHeight="1" x14ac:dyDescent="0.15">
      <c r="A3726" s="2"/>
    </row>
    <row r="3727" spans="1:1" ht="15.75" customHeight="1" x14ac:dyDescent="0.15">
      <c r="A3727" s="2"/>
    </row>
    <row r="3728" spans="1:1" ht="15.75" customHeight="1" x14ac:dyDescent="0.15">
      <c r="A3728" s="2"/>
    </row>
    <row r="3729" spans="1:1" ht="15.75" customHeight="1" x14ac:dyDescent="0.15">
      <c r="A3729" s="2"/>
    </row>
    <row r="3730" spans="1:1" ht="15.75" customHeight="1" x14ac:dyDescent="0.15">
      <c r="A3730" s="2"/>
    </row>
    <row r="3731" spans="1:1" ht="15.75" customHeight="1" x14ac:dyDescent="0.15">
      <c r="A3731" s="2"/>
    </row>
    <row r="3732" spans="1:1" ht="15.75" customHeight="1" x14ac:dyDescent="0.15">
      <c r="A3732" s="2"/>
    </row>
    <row r="3733" spans="1:1" ht="15.75" customHeight="1" x14ac:dyDescent="0.15">
      <c r="A3733" s="2"/>
    </row>
    <row r="3734" spans="1:1" ht="15.75" customHeight="1" x14ac:dyDescent="0.15">
      <c r="A3734" s="2"/>
    </row>
    <row r="3735" spans="1:1" ht="15.75" customHeight="1" x14ac:dyDescent="0.15">
      <c r="A3735" s="2"/>
    </row>
    <row r="3736" spans="1:1" ht="15.75" customHeight="1" x14ac:dyDescent="0.15">
      <c r="A3736" s="2"/>
    </row>
    <row r="3737" spans="1:1" ht="15.75" customHeight="1" x14ac:dyDescent="0.15">
      <c r="A3737" s="2"/>
    </row>
    <row r="3738" spans="1:1" ht="15.75" customHeight="1" x14ac:dyDescent="0.15">
      <c r="A3738" s="2"/>
    </row>
    <row r="3739" spans="1:1" ht="15.75" customHeight="1" x14ac:dyDescent="0.15">
      <c r="A3739" s="2"/>
    </row>
    <row r="3740" spans="1:1" ht="15.75" customHeight="1" x14ac:dyDescent="0.15">
      <c r="A3740" s="2"/>
    </row>
    <row r="3741" spans="1:1" ht="15.75" customHeight="1" x14ac:dyDescent="0.15">
      <c r="A3741" s="2"/>
    </row>
    <row r="3742" spans="1:1" ht="15.75" customHeight="1" x14ac:dyDescent="0.15">
      <c r="A3742" s="2"/>
    </row>
    <row r="3743" spans="1:1" ht="15.75" customHeight="1" x14ac:dyDescent="0.15">
      <c r="A3743" s="2"/>
    </row>
    <row r="3744" spans="1:1" ht="15.75" customHeight="1" x14ac:dyDescent="0.15">
      <c r="A3744" s="2"/>
    </row>
    <row r="3745" spans="1:1" ht="15.75" customHeight="1" x14ac:dyDescent="0.15">
      <c r="A3745" s="2"/>
    </row>
    <row r="3746" spans="1:1" ht="15.75" customHeight="1" x14ac:dyDescent="0.15">
      <c r="A3746" s="2"/>
    </row>
    <row r="3747" spans="1:1" ht="15.75" customHeight="1" x14ac:dyDescent="0.15">
      <c r="A3747" s="2"/>
    </row>
    <row r="3748" spans="1:1" ht="15.75" customHeight="1" x14ac:dyDescent="0.15">
      <c r="A3748" s="2"/>
    </row>
    <row r="3749" spans="1:1" ht="15.75" customHeight="1" x14ac:dyDescent="0.15">
      <c r="A3749" s="2"/>
    </row>
    <row r="3750" spans="1:1" ht="15.75" customHeight="1" x14ac:dyDescent="0.15">
      <c r="A3750" s="2"/>
    </row>
    <row r="3751" spans="1:1" ht="15.75" customHeight="1" x14ac:dyDescent="0.15">
      <c r="A3751" s="2"/>
    </row>
    <row r="3752" spans="1:1" ht="15.75" customHeight="1" x14ac:dyDescent="0.15">
      <c r="A3752" s="2"/>
    </row>
    <row r="3753" spans="1:1" ht="15.75" customHeight="1" x14ac:dyDescent="0.15">
      <c r="A3753" s="2"/>
    </row>
    <row r="3754" spans="1:1" ht="15.75" customHeight="1" x14ac:dyDescent="0.15">
      <c r="A3754" s="2"/>
    </row>
    <row r="3755" spans="1:1" ht="15.75" customHeight="1" x14ac:dyDescent="0.15">
      <c r="A3755" s="2"/>
    </row>
    <row r="3756" spans="1:1" ht="15.75" customHeight="1" x14ac:dyDescent="0.15">
      <c r="A3756" s="2"/>
    </row>
    <row r="3757" spans="1:1" ht="15.75" customHeight="1" x14ac:dyDescent="0.15">
      <c r="A3757" s="2"/>
    </row>
    <row r="3758" spans="1:1" ht="15.75" customHeight="1" x14ac:dyDescent="0.15">
      <c r="A3758" s="2"/>
    </row>
    <row r="3759" spans="1:1" ht="15.75" customHeight="1" x14ac:dyDescent="0.15">
      <c r="A3759" s="2"/>
    </row>
    <row r="3760" spans="1:1" ht="15.75" customHeight="1" x14ac:dyDescent="0.15">
      <c r="A3760" s="2"/>
    </row>
    <row r="3761" spans="1:1" ht="15.75" customHeight="1" x14ac:dyDescent="0.15">
      <c r="A3761" s="2"/>
    </row>
    <row r="3762" spans="1:1" ht="15.75" customHeight="1" x14ac:dyDescent="0.15">
      <c r="A3762" s="2"/>
    </row>
    <row r="3763" spans="1:1" ht="15.75" customHeight="1" x14ac:dyDescent="0.15">
      <c r="A3763" s="2"/>
    </row>
    <row r="3764" spans="1:1" ht="15.75" customHeight="1" x14ac:dyDescent="0.15">
      <c r="A3764" s="2"/>
    </row>
    <row r="3765" spans="1:1" ht="15.75" customHeight="1" x14ac:dyDescent="0.15">
      <c r="A3765" s="2"/>
    </row>
    <row r="3766" spans="1:1" ht="15.75" customHeight="1" x14ac:dyDescent="0.15">
      <c r="A3766" s="2"/>
    </row>
    <row r="3767" spans="1:1" ht="15.75" customHeight="1" x14ac:dyDescent="0.15">
      <c r="A3767" s="2"/>
    </row>
    <row r="3768" spans="1:1" ht="15.75" customHeight="1" x14ac:dyDescent="0.15">
      <c r="A3768" s="2"/>
    </row>
    <row r="3769" spans="1:1" ht="15.75" customHeight="1" x14ac:dyDescent="0.15">
      <c r="A3769" s="2"/>
    </row>
    <row r="3770" spans="1:1" ht="15.75" customHeight="1" x14ac:dyDescent="0.15">
      <c r="A3770" s="2"/>
    </row>
    <row r="3771" spans="1:1" ht="15.75" customHeight="1" x14ac:dyDescent="0.15">
      <c r="A3771" s="2"/>
    </row>
    <row r="3772" spans="1:1" ht="15.75" customHeight="1" x14ac:dyDescent="0.15">
      <c r="A3772" s="2"/>
    </row>
    <row r="3773" spans="1:1" ht="15.75" customHeight="1" x14ac:dyDescent="0.15">
      <c r="A3773" s="2"/>
    </row>
    <row r="3774" spans="1:1" ht="15.75" customHeight="1" x14ac:dyDescent="0.15">
      <c r="A3774" s="2"/>
    </row>
    <row r="3775" spans="1:1" ht="15.75" customHeight="1" x14ac:dyDescent="0.15">
      <c r="A3775" s="2"/>
    </row>
    <row r="3776" spans="1:1" ht="15.75" customHeight="1" x14ac:dyDescent="0.15">
      <c r="A3776" s="2"/>
    </row>
    <row r="3777" spans="1:1" ht="15.75" customHeight="1" x14ac:dyDescent="0.15">
      <c r="A3777" s="2"/>
    </row>
    <row r="3778" spans="1:1" ht="15.75" customHeight="1" x14ac:dyDescent="0.15">
      <c r="A3778" s="2"/>
    </row>
    <row r="3779" spans="1:1" ht="15.75" customHeight="1" x14ac:dyDescent="0.15">
      <c r="A3779" s="2"/>
    </row>
    <row r="3780" spans="1:1" ht="15.75" customHeight="1" x14ac:dyDescent="0.15">
      <c r="A3780" s="2"/>
    </row>
    <row r="3781" spans="1:1" ht="15.75" customHeight="1" x14ac:dyDescent="0.15">
      <c r="A3781" s="2"/>
    </row>
    <row r="3782" spans="1:1" ht="15.75" customHeight="1" x14ac:dyDescent="0.15">
      <c r="A3782" s="2"/>
    </row>
    <row r="3783" spans="1:1" ht="15.75" customHeight="1" x14ac:dyDescent="0.15">
      <c r="A3783" s="2"/>
    </row>
    <row r="3784" spans="1:1" ht="15.75" customHeight="1" x14ac:dyDescent="0.15">
      <c r="A3784" s="2"/>
    </row>
    <row r="3785" spans="1:1" ht="15.75" customHeight="1" x14ac:dyDescent="0.15">
      <c r="A3785" s="2"/>
    </row>
    <row r="3786" spans="1:1" ht="15.75" customHeight="1" x14ac:dyDescent="0.15">
      <c r="A3786" s="2"/>
    </row>
    <row r="3787" spans="1:1" ht="15.75" customHeight="1" x14ac:dyDescent="0.15">
      <c r="A3787" s="2"/>
    </row>
    <row r="3788" spans="1:1" ht="15.75" customHeight="1" x14ac:dyDescent="0.15">
      <c r="A3788" s="2"/>
    </row>
    <row r="3789" spans="1:1" ht="15.75" customHeight="1" x14ac:dyDescent="0.15">
      <c r="A3789" s="2"/>
    </row>
    <row r="3790" spans="1:1" ht="15.75" customHeight="1" x14ac:dyDescent="0.15">
      <c r="A3790" s="2"/>
    </row>
    <row r="3791" spans="1:1" ht="15.75" customHeight="1" x14ac:dyDescent="0.15">
      <c r="A3791" s="2"/>
    </row>
    <row r="3792" spans="1:1" ht="15.75" customHeight="1" x14ac:dyDescent="0.15">
      <c r="A3792" s="2"/>
    </row>
    <row r="3793" spans="1:1" ht="15.75" customHeight="1" x14ac:dyDescent="0.15">
      <c r="A3793" s="2"/>
    </row>
    <row r="3794" spans="1:1" ht="15.75" customHeight="1" x14ac:dyDescent="0.15">
      <c r="A3794" s="2"/>
    </row>
    <row r="3795" spans="1:1" ht="15.75" customHeight="1" x14ac:dyDescent="0.15">
      <c r="A3795" s="2"/>
    </row>
    <row r="3796" spans="1:1" ht="15.75" customHeight="1" x14ac:dyDescent="0.15">
      <c r="A3796" s="2"/>
    </row>
    <row r="3797" spans="1:1" ht="15.75" customHeight="1" x14ac:dyDescent="0.15">
      <c r="A3797" s="2"/>
    </row>
    <row r="3798" spans="1:1" ht="15.75" customHeight="1" x14ac:dyDescent="0.15">
      <c r="A3798" s="2"/>
    </row>
    <row r="3799" spans="1:1" ht="15.75" customHeight="1" x14ac:dyDescent="0.15">
      <c r="A3799" s="2"/>
    </row>
    <row r="3800" spans="1:1" ht="15.75" customHeight="1" x14ac:dyDescent="0.15">
      <c r="A3800" s="2"/>
    </row>
    <row r="3801" spans="1:1" ht="15.75" customHeight="1" x14ac:dyDescent="0.15">
      <c r="A3801" s="2"/>
    </row>
    <row r="3802" spans="1:1" ht="15.75" customHeight="1" x14ac:dyDescent="0.15">
      <c r="A3802" s="2"/>
    </row>
    <row r="3803" spans="1:1" ht="15.75" customHeight="1" x14ac:dyDescent="0.15">
      <c r="A3803" s="2"/>
    </row>
    <row r="3804" spans="1:1" ht="15.75" customHeight="1" x14ac:dyDescent="0.15">
      <c r="A3804" s="2"/>
    </row>
    <row r="3805" spans="1:1" ht="15.75" customHeight="1" x14ac:dyDescent="0.15">
      <c r="A3805" s="2"/>
    </row>
    <row r="3806" spans="1:1" ht="15.75" customHeight="1" x14ac:dyDescent="0.15">
      <c r="A3806" s="2"/>
    </row>
    <row r="3807" spans="1:1" ht="15.75" customHeight="1" x14ac:dyDescent="0.15">
      <c r="A3807" s="2"/>
    </row>
    <row r="3808" spans="1:1" ht="15.75" customHeight="1" x14ac:dyDescent="0.15">
      <c r="A3808" s="2"/>
    </row>
    <row r="3809" spans="1:1" ht="15.75" customHeight="1" x14ac:dyDescent="0.15">
      <c r="A3809" s="2"/>
    </row>
    <row r="3810" spans="1:1" ht="15.75" customHeight="1" x14ac:dyDescent="0.15">
      <c r="A3810" s="2"/>
    </row>
    <row r="3811" spans="1:1" ht="15.75" customHeight="1" x14ac:dyDescent="0.15">
      <c r="A3811" s="2"/>
    </row>
    <row r="3812" spans="1:1" ht="15.75" customHeight="1" x14ac:dyDescent="0.15">
      <c r="A3812" s="2"/>
    </row>
    <row r="3813" spans="1:1" ht="15.75" customHeight="1" x14ac:dyDescent="0.15">
      <c r="A3813" s="2"/>
    </row>
    <row r="3814" spans="1:1" ht="15.75" customHeight="1" x14ac:dyDescent="0.15">
      <c r="A3814" s="2"/>
    </row>
    <row r="3815" spans="1:1" ht="15.75" customHeight="1" x14ac:dyDescent="0.15">
      <c r="A3815" s="2"/>
    </row>
    <row r="3816" spans="1:1" ht="15.75" customHeight="1" x14ac:dyDescent="0.15">
      <c r="A3816" s="2"/>
    </row>
    <row r="3817" spans="1:1" ht="15.75" customHeight="1" x14ac:dyDescent="0.15">
      <c r="A3817" s="2"/>
    </row>
    <row r="3818" spans="1:1" ht="15.75" customHeight="1" x14ac:dyDescent="0.15">
      <c r="A3818" s="2"/>
    </row>
    <row r="3819" spans="1:1" ht="15.75" customHeight="1" x14ac:dyDescent="0.15">
      <c r="A3819" s="2"/>
    </row>
    <row r="3820" spans="1:1" ht="15.75" customHeight="1" x14ac:dyDescent="0.15">
      <c r="A3820" s="2"/>
    </row>
    <row r="3821" spans="1:1" ht="15.75" customHeight="1" x14ac:dyDescent="0.15">
      <c r="A3821" s="2"/>
    </row>
    <row r="3822" spans="1:1" ht="15.75" customHeight="1" x14ac:dyDescent="0.15">
      <c r="A3822" s="2"/>
    </row>
    <row r="3823" spans="1:1" ht="15.75" customHeight="1" x14ac:dyDescent="0.15">
      <c r="A3823" s="2"/>
    </row>
    <row r="3824" spans="1:1" ht="15.75" customHeight="1" x14ac:dyDescent="0.15">
      <c r="A3824" s="2"/>
    </row>
    <row r="3825" spans="1:1" ht="15.75" customHeight="1" x14ac:dyDescent="0.15">
      <c r="A3825" s="2"/>
    </row>
    <row r="3826" spans="1:1" ht="15.75" customHeight="1" x14ac:dyDescent="0.15">
      <c r="A3826" s="2"/>
    </row>
    <row r="3827" spans="1:1" ht="15.75" customHeight="1" x14ac:dyDescent="0.15">
      <c r="A3827" s="2"/>
    </row>
    <row r="3828" spans="1:1" ht="15.75" customHeight="1" x14ac:dyDescent="0.15">
      <c r="A3828" s="2"/>
    </row>
    <row r="3829" spans="1:1" ht="15.75" customHeight="1" x14ac:dyDescent="0.15">
      <c r="A3829" s="2"/>
    </row>
    <row r="3830" spans="1:1" ht="15.75" customHeight="1" x14ac:dyDescent="0.15">
      <c r="A3830" s="2"/>
    </row>
    <row r="3831" spans="1:1" ht="15.75" customHeight="1" x14ac:dyDescent="0.15">
      <c r="A3831" s="2"/>
    </row>
    <row r="3832" spans="1:1" ht="15.75" customHeight="1" x14ac:dyDescent="0.15">
      <c r="A3832" s="2"/>
    </row>
    <row r="3833" spans="1:1" ht="15.75" customHeight="1" x14ac:dyDescent="0.15">
      <c r="A3833" s="2"/>
    </row>
    <row r="3834" spans="1:1" ht="15.75" customHeight="1" x14ac:dyDescent="0.15">
      <c r="A3834" s="2"/>
    </row>
    <row r="3835" spans="1:1" ht="15.75" customHeight="1" x14ac:dyDescent="0.15">
      <c r="A3835" s="2"/>
    </row>
    <row r="3836" spans="1:1" ht="15.75" customHeight="1" x14ac:dyDescent="0.15">
      <c r="A3836" s="2"/>
    </row>
    <row r="3837" spans="1:1" ht="15.75" customHeight="1" x14ac:dyDescent="0.15">
      <c r="A3837" s="2"/>
    </row>
    <row r="3838" spans="1:1" ht="15.75" customHeight="1" x14ac:dyDescent="0.15">
      <c r="A3838" s="2"/>
    </row>
    <row r="3839" spans="1:1" ht="15.75" customHeight="1" x14ac:dyDescent="0.15">
      <c r="A3839" s="2"/>
    </row>
    <row r="3840" spans="1:1" ht="15.75" customHeight="1" x14ac:dyDescent="0.15">
      <c r="A3840" s="2"/>
    </row>
    <row r="3841" spans="1:1" ht="15.75" customHeight="1" x14ac:dyDescent="0.15">
      <c r="A3841" s="2"/>
    </row>
    <row r="3842" spans="1:1" ht="15.75" customHeight="1" x14ac:dyDescent="0.15">
      <c r="A3842" s="2"/>
    </row>
    <row r="3843" spans="1:1" ht="15.75" customHeight="1" x14ac:dyDescent="0.15">
      <c r="A3843" s="2"/>
    </row>
    <row r="3844" spans="1:1" ht="15.75" customHeight="1" x14ac:dyDescent="0.15">
      <c r="A3844" s="2"/>
    </row>
    <row r="3845" spans="1:1" ht="15.75" customHeight="1" x14ac:dyDescent="0.15">
      <c r="A3845" s="2"/>
    </row>
    <row r="3846" spans="1:1" ht="15.75" customHeight="1" x14ac:dyDescent="0.15">
      <c r="A3846" s="2"/>
    </row>
    <row r="3847" spans="1:1" ht="15.75" customHeight="1" x14ac:dyDescent="0.15">
      <c r="A3847" s="2"/>
    </row>
    <row r="3848" spans="1:1" ht="15.75" customHeight="1" x14ac:dyDescent="0.15">
      <c r="A3848" s="2"/>
    </row>
    <row r="3849" spans="1:1" ht="15.75" customHeight="1" x14ac:dyDescent="0.15">
      <c r="A3849" s="2"/>
    </row>
    <row r="3850" spans="1:1" ht="15.75" customHeight="1" x14ac:dyDescent="0.15">
      <c r="A3850" s="2"/>
    </row>
    <row r="3851" spans="1:1" ht="15.75" customHeight="1" x14ac:dyDescent="0.15">
      <c r="A3851" s="2"/>
    </row>
    <row r="3852" spans="1:1" ht="15.75" customHeight="1" x14ac:dyDescent="0.15">
      <c r="A3852" s="2"/>
    </row>
    <row r="3853" spans="1:1" ht="15.75" customHeight="1" x14ac:dyDescent="0.15">
      <c r="A3853" s="2"/>
    </row>
    <row r="3854" spans="1:1" ht="15.75" customHeight="1" x14ac:dyDescent="0.15">
      <c r="A3854" s="2"/>
    </row>
    <row r="3855" spans="1:1" ht="15.75" customHeight="1" x14ac:dyDescent="0.15">
      <c r="A3855" s="2"/>
    </row>
    <row r="3856" spans="1:1" ht="15.75" customHeight="1" x14ac:dyDescent="0.15">
      <c r="A3856" s="2"/>
    </row>
    <row r="3857" spans="1:1" ht="15.75" customHeight="1" x14ac:dyDescent="0.15">
      <c r="A3857" s="2"/>
    </row>
    <row r="3858" spans="1:1" ht="15.75" customHeight="1" x14ac:dyDescent="0.15">
      <c r="A3858" s="2"/>
    </row>
    <row r="3859" spans="1:1" ht="15.75" customHeight="1" x14ac:dyDescent="0.15">
      <c r="A3859" s="2"/>
    </row>
    <row r="3860" spans="1:1" ht="15.75" customHeight="1" x14ac:dyDescent="0.15">
      <c r="A3860" s="2"/>
    </row>
    <row r="3861" spans="1:1" ht="15.75" customHeight="1" x14ac:dyDescent="0.15">
      <c r="A3861" s="2"/>
    </row>
    <row r="3862" spans="1:1" ht="15.75" customHeight="1" x14ac:dyDescent="0.15">
      <c r="A3862" s="2"/>
    </row>
    <row r="3863" spans="1:1" ht="15.75" customHeight="1" x14ac:dyDescent="0.15">
      <c r="A3863" s="2"/>
    </row>
    <row r="3864" spans="1:1" ht="15.75" customHeight="1" x14ac:dyDescent="0.15">
      <c r="A3864" s="2"/>
    </row>
    <row r="3865" spans="1:1" ht="15.75" customHeight="1" x14ac:dyDescent="0.15">
      <c r="A3865" s="2"/>
    </row>
    <row r="3866" spans="1:1" ht="15.75" customHeight="1" x14ac:dyDescent="0.15">
      <c r="A3866" s="2"/>
    </row>
    <row r="3867" spans="1:1" ht="15.75" customHeight="1" x14ac:dyDescent="0.15">
      <c r="A3867" s="2"/>
    </row>
    <row r="3868" spans="1:1" ht="15.75" customHeight="1" x14ac:dyDescent="0.15">
      <c r="A3868" s="2"/>
    </row>
    <row r="3869" spans="1:1" ht="15.75" customHeight="1" x14ac:dyDescent="0.15">
      <c r="A3869" s="2"/>
    </row>
    <row r="3870" spans="1:1" ht="15.75" customHeight="1" x14ac:dyDescent="0.15">
      <c r="A3870" s="2"/>
    </row>
    <row r="3871" spans="1:1" ht="15.75" customHeight="1" x14ac:dyDescent="0.15">
      <c r="A3871" s="2"/>
    </row>
    <row r="3872" spans="1:1" ht="15.75" customHeight="1" x14ac:dyDescent="0.15">
      <c r="A3872" s="2"/>
    </row>
    <row r="3873" spans="1:1" ht="15.75" customHeight="1" x14ac:dyDescent="0.15">
      <c r="A3873" s="2"/>
    </row>
    <row r="3874" spans="1:1" ht="15.75" customHeight="1" x14ac:dyDescent="0.15">
      <c r="A3874" s="2"/>
    </row>
    <row r="3875" spans="1:1" ht="15.75" customHeight="1" x14ac:dyDescent="0.15">
      <c r="A3875" s="2"/>
    </row>
    <row r="3876" spans="1:1" ht="15.75" customHeight="1" x14ac:dyDescent="0.15">
      <c r="A3876" s="2"/>
    </row>
    <row r="3877" spans="1:1" ht="15.75" customHeight="1" x14ac:dyDescent="0.15">
      <c r="A3877" s="2"/>
    </row>
    <row r="3878" spans="1:1" ht="15.75" customHeight="1" x14ac:dyDescent="0.15">
      <c r="A3878" s="2"/>
    </row>
    <row r="3879" spans="1:1" ht="15.75" customHeight="1" x14ac:dyDescent="0.15">
      <c r="A3879" s="2"/>
    </row>
    <row r="3880" spans="1:1" ht="15.75" customHeight="1" x14ac:dyDescent="0.15">
      <c r="A3880" s="2"/>
    </row>
    <row r="3881" spans="1:1" ht="15.75" customHeight="1" x14ac:dyDescent="0.15">
      <c r="A3881" s="2"/>
    </row>
    <row r="3882" spans="1:1" ht="15.75" customHeight="1" x14ac:dyDescent="0.15">
      <c r="A3882" s="2"/>
    </row>
    <row r="3883" spans="1:1" ht="15.75" customHeight="1" x14ac:dyDescent="0.15">
      <c r="A3883" s="2"/>
    </row>
    <row r="3884" spans="1:1" ht="15.75" customHeight="1" x14ac:dyDescent="0.15">
      <c r="A3884" s="2"/>
    </row>
    <row r="3885" spans="1:1" ht="15.75" customHeight="1" x14ac:dyDescent="0.15">
      <c r="A3885" s="2"/>
    </row>
    <row r="3886" spans="1:1" ht="15.75" customHeight="1" x14ac:dyDescent="0.15">
      <c r="A3886" s="2"/>
    </row>
    <row r="3887" spans="1:1" ht="15.75" customHeight="1" x14ac:dyDescent="0.15">
      <c r="A3887" s="2"/>
    </row>
    <row r="3888" spans="1:1" ht="15.75" customHeight="1" x14ac:dyDescent="0.15">
      <c r="A3888" s="2"/>
    </row>
    <row r="3889" spans="1:1" ht="15.75" customHeight="1" x14ac:dyDescent="0.15">
      <c r="A3889" s="2"/>
    </row>
    <row r="3890" spans="1:1" ht="15.75" customHeight="1" x14ac:dyDescent="0.15">
      <c r="A3890" s="2"/>
    </row>
    <row r="3891" spans="1:1" ht="15.75" customHeight="1" x14ac:dyDescent="0.15">
      <c r="A3891" s="2"/>
    </row>
    <row r="3892" spans="1:1" ht="15.75" customHeight="1" x14ac:dyDescent="0.15">
      <c r="A3892" s="2"/>
    </row>
    <row r="3893" spans="1:1" ht="15.75" customHeight="1" x14ac:dyDescent="0.15">
      <c r="A3893" s="2"/>
    </row>
    <row r="3894" spans="1:1" ht="15.75" customHeight="1" x14ac:dyDescent="0.15">
      <c r="A3894" s="2"/>
    </row>
    <row r="3895" spans="1:1" ht="15.75" customHeight="1" x14ac:dyDescent="0.15">
      <c r="A3895" s="2"/>
    </row>
    <row r="3896" spans="1:1" ht="15.75" customHeight="1" x14ac:dyDescent="0.15">
      <c r="A3896" s="2"/>
    </row>
    <row r="3897" spans="1:1" ht="15.75" customHeight="1" x14ac:dyDescent="0.15">
      <c r="A3897" s="2"/>
    </row>
    <row r="3898" spans="1:1" ht="15.75" customHeight="1" x14ac:dyDescent="0.15">
      <c r="A3898" s="2"/>
    </row>
    <row r="3899" spans="1:1" ht="15.75" customHeight="1" x14ac:dyDescent="0.15">
      <c r="A3899" s="2"/>
    </row>
    <row r="3900" spans="1:1" ht="15.75" customHeight="1" x14ac:dyDescent="0.15">
      <c r="A3900" s="2"/>
    </row>
    <row r="3901" spans="1:1" ht="15.75" customHeight="1" x14ac:dyDescent="0.15">
      <c r="A3901" s="2"/>
    </row>
    <row r="3902" spans="1:1" ht="15.75" customHeight="1" x14ac:dyDescent="0.15">
      <c r="A3902" s="2"/>
    </row>
    <row r="3903" spans="1:1" ht="15.75" customHeight="1" x14ac:dyDescent="0.15">
      <c r="A3903" s="2"/>
    </row>
    <row r="3904" spans="1:1" ht="15.75" customHeight="1" x14ac:dyDescent="0.15">
      <c r="A3904" s="2"/>
    </row>
    <row r="3905" spans="1:1" ht="15.75" customHeight="1" x14ac:dyDescent="0.15">
      <c r="A3905" s="2"/>
    </row>
    <row r="3906" spans="1:1" ht="15.75" customHeight="1" x14ac:dyDescent="0.15">
      <c r="A3906" s="2"/>
    </row>
    <row r="3907" spans="1:1" ht="15.75" customHeight="1" x14ac:dyDescent="0.15">
      <c r="A3907" s="2"/>
    </row>
    <row r="3908" spans="1:1" ht="15.75" customHeight="1" x14ac:dyDescent="0.15">
      <c r="A3908" s="2"/>
    </row>
    <row r="3909" spans="1:1" ht="15.75" customHeight="1" x14ac:dyDescent="0.15">
      <c r="A3909" s="2"/>
    </row>
    <row r="3910" spans="1:1" ht="15.75" customHeight="1" x14ac:dyDescent="0.15">
      <c r="A3910" s="2"/>
    </row>
    <row r="3911" spans="1:1" ht="15.75" customHeight="1" x14ac:dyDescent="0.15">
      <c r="A3911" s="2"/>
    </row>
    <row r="3912" spans="1:1" ht="15.75" customHeight="1" x14ac:dyDescent="0.15">
      <c r="A3912" s="2"/>
    </row>
    <row r="3913" spans="1:1" ht="15.75" customHeight="1" x14ac:dyDescent="0.15">
      <c r="A3913" s="2"/>
    </row>
    <row r="3914" spans="1:1" ht="15.75" customHeight="1" x14ac:dyDescent="0.15">
      <c r="A3914" s="2"/>
    </row>
    <row r="3915" spans="1:1" ht="15.75" customHeight="1" x14ac:dyDescent="0.15">
      <c r="A3915" s="2"/>
    </row>
    <row r="3916" spans="1:1" ht="15.75" customHeight="1" x14ac:dyDescent="0.15">
      <c r="A3916" s="2"/>
    </row>
    <row r="3917" spans="1:1" ht="15.75" customHeight="1" x14ac:dyDescent="0.15">
      <c r="A3917" s="2"/>
    </row>
    <row r="3918" spans="1:1" ht="15.75" customHeight="1" x14ac:dyDescent="0.15">
      <c r="A3918" s="2"/>
    </row>
    <row r="3919" spans="1:1" ht="15.75" customHeight="1" x14ac:dyDescent="0.15">
      <c r="A3919" s="2"/>
    </row>
    <row r="3920" spans="1:1" ht="15.75" customHeight="1" x14ac:dyDescent="0.15">
      <c r="A3920" s="2"/>
    </row>
    <row r="3921" spans="1:1" ht="15.75" customHeight="1" x14ac:dyDescent="0.15">
      <c r="A3921" s="2"/>
    </row>
    <row r="3922" spans="1:1" ht="15.75" customHeight="1" x14ac:dyDescent="0.15">
      <c r="A3922" s="2"/>
    </row>
    <row r="3923" spans="1:1" ht="15.75" customHeight="1" x14ac:dyDescent="0.15">
      <c r="A3923" s="2"/>
    </row>
    <row r="3924" spans="1:1" ht="15.75" customHeight="1" x14ac:dyDescent="0.15">
      <c r="A3924" s="2"/>
    </row>
    <row r="3925" spans="1:1" ht="15.75" customHeight="1" x14ac:dyDescent="0.15">
      <c r="A3925" s="2"/>
    </row>
    <row r="3926" spans="1:1" ht="15.75" customHeight="1" x14ac:dyDescent="0.15">
      <c r="A3926" s="2"/>
    </row>
    <row r="3927" spans="1:1" ht="15.75" customHeight="1" x14ac:dyDescent="0.15">
      <c r="A3927" s="2"/>
    </row>
    <row r="3928" spans="1:1" ht="15.75" customHeight="1" x14ac:dyDescent="0.15">
      <c r="A3928" s="2"/>
    </row>
    <row r="3929" spans="1:1" ht="15.75" customHeight="1" x14ac:dyDescent="0.15">
      <c r="A3929" s="2"/>
    </row>
    <row r="3930" spans="1:1" ht="15.75" customHeight="1" x14ac:dyDescent="0.15">
      <c r="A3930" s="2"/>
    </row>
    <row r="3931" spans="1:1" ht="15.75" customHeight="1" x14ac:dyDescent="0.15">
      <c r="A3931" s="2"/>
    </row>
    <row r="3932" spans="1:1" ht="15.75" customHeight="1" x14ac:dyDescent="0.15">
      <c r="A3932" s="2"/>
    </row>
    <row r="3933" spans="1:1" ht="15.75" customHeight="1" x14ac:dyDescent="0.15">
      <c r="A3933" s="2"/>
    </row>
    <row r="3934" spans="1:1" ht="15.75" customHeight="1" x14ac:dyDescent="0.15">
      <c r="A3934" s="2"/>
    </row>
    <row r="3935" spans="1:1" ht="15.75" customHeight="1" x14ac:dyDescent="0.15">
      <c r="A3935" s="2"/>
    </row>
    <row r="3936" spans="1:1" ht="15.75" customHeight="1" x14ac:dyDescent="0.15">
      <c r="A3936" s="2"/>
    </row>
    <row r="3937" spans="1:1" ht="15.75" customHeight="1" x14ac:dyDescent="0.15">
      <c r="A3937" s="2"/>
    </row>
    <row r="3938" spans="1:1" ht="15.75" customHeight="1" x14ac:dyDescent="0.15">
      <c r="A3938" s="2"/>
    </row>
    <row r="3939" spans="1:1" ht="15.75" customHeight="1" x14ac:dyDescent="0.15">
      <c r="A3939" s="2"/>
    </row>
    <row r="3940" spans="1:1" ht="15.75" customHeight="1" x14ac:dyDescent="0.15">
      <c r="A3940" s="2"/>
    </row>
    <row r="3941" spans="1:1" ht="15.75" customHeight="1" x14ac:dyDescent="0.15">
      <c r="A3941" s="2"/>
    </row>
    <row r="3942" spans="1:1" ht="15.75" customHeight="1" x14ac:dyDescent="0.15">
      <c r="A3942" s="2"/>
    </row>
    <row r="3943" spans="1:1" ht="15.75" customHeight="1" x14ac:dyDescent="0.15">
      <c r="A3943" s="2"/>
    </row>
    <row r="3944" spans="1:1" ht="15.75" customHeight="1" x14ac:dyDescent="0.15">
      <c r="A3944" s="2"/>
    </row>
    <row r="3945" spans="1:1" ht="15.75" customHeight="1" x14ac:dyDescent="0.15">
      <c r="A3945" s="2"/>
    </row>
    <row r="3946" spans="1:1" ht="15.75" customHeight="1" x14ac:dyDescent="0.15">
      <c r="A3946" s="2"/>
    </row>
    <row r="3947" spans="1:1" ht="15.75" customHeight="1" x14ac:dyDescent="0.15">
      <c r="A3947" s="2"/>
    </row>
    <row r="3948" spans="1:1" ht="15.75" customHeight="1" x14ac:dyDescent="0.15">
      <c r="A3948" s="2"/>
    </row>
    <row r="3949" spans="1:1" ht="15.75" customHeight="1" x14ac:dyDescent="0.15">
      <c r="A3949" s="2"/>
    </row>
    <row r="3950" spans="1:1" ht="15.75" customHeight="1" x14ac:dyDescent="0.15">
      <c r="A3950" s="2"/>
    </row>
    <row r="3951" spans="1:1" ht="15.75" customHeight="1" x14ac:dyDescent="0.15">
      <c r="A3951" s="2"/>
    </row>
    <row r="3952" spans="1:1" ht="15.75" customHeight="1" x14ac:dyDescent="0.15">
      <c r="A3952" s="2"/>
    </row>
    <row r="3953" spans="1:1" ht="15.75" customHeight="1" x14ac:dyDescent="0.15">
      <c r="A3953" s="2"/>
    </row>
    <row r="3954" spans="1:1" ht="15.75" customHeight="1" x14ac:dyDescent="0.15">
      <c r="A3954" s="2"/>
    </row>
    <row r="3955" spans="1:1" ht="15.75" customHeight="1" x14ac:dyDescent="0.15">
      <c r="A3955" s="2"/>
    </row>
    <row r="3956" spans="1:1" ht="15.75" customHeight="1" x14ac:dyDescent="0.15">
      <c r="A3956" s="2"/>
    </row>
    <row r="3957" spans="1:1" ht="15.75" customHeight="1" x14ac:dyDescent="0.15">
      <c r="A3957" s="2"/>
    </row>
    <row r="3958" spans="1:1" ht="15.75" customHeight="1" x14ac:dyDescent="0.15">
      <c r="A3958" s="2"/>
    </row>
    <row r="3959" spans="1:1" ht="15.75" customHeight="1" x14ac:dyDescent="0.15">
      <c r="A3959" s="2"/>
    </row>
    <row r="3960" spans="1:1" ht="15.75" customHeight="1" x14ac:dyDescent="0.15">
      <c r="A3960" s="2"/>
    </row>
    <row r="3961" spans="1:1" ht="15.75" customHeight="1" x14ac:dyDescent="0.15">
      <c r="A3961" s="2"/>
    </row>
    <row r="3962" spans="1:1" ht="15.75" customHeight="1" x14ac:dyDescent="0.15">
      <c r="A3962" s="2"/>
    </row>
    <row r="3963" spans="1:1" ht="15.75" customHeight="1" x14ac:dyDescent="0.15">
      <c r="A3963" s="2"/>
    </row>
    <row r="3964" spans="1:1" ht="15.75" customHeight="1" x14ac:dyDescent="0.15">
      <c r="A3964" s="2"/>
    </row>
    <row r="3965" spans="1:1" ht="15.75" customHeight="1" x14ac:dyDescent="0.15">
      <c r="A3965" s="2"/>
    </row>
    <row r="3966" spans="1:1" ht="15.75" customHeight="1" x14ac:dyDescent="0.15">
      <c r="A3966" s="2"/>
    </row>
    <row r="3967" spans="1:1" ht="15.75" customHeight="1" x14ac:dyDescent="0.15">
      <c r="A3967" s="2"/>
    </row>
    <row r="3968" spans="1:1" ht="15.75" customHeight="1" x14ac:dyDescent="0.15">
      <c r="A3968" s="2"/>
    </row>
    <row r="3969" spans="1:1" ht="15.75" customHeight="1" x14ac:dyDescent="0.15">
      <c r="A3969" s="2"/>
    </row>
    <row r="3970" spans="1:1" ht="15.75" customHeight="1" x14ac:dyDescent="0.15">
      <c r="A3970" s="2"/>
    </row>
    <row r="3971" spans="1:1" ht="15.75" customHeight="1" x14ac:dyDescent="0.15">
      <c r="A3971" s="2"/>
    </row>
    <row r="3972" spans="1:1" ht="15.75" customHeight="1" x14ac:dyDescent="0.15">
      <c r="A3972" s="2"/>
    </row>
    <row r="3973" spans="1:1" ht="15.75" customHeight="1" x14ac:dyDescent="0.15">
      <c r="A3973" s="2"/>
    </row>
    <row r="3974" spans="1:1" ht="15.75" customHeight="1" x14ac:dyDescent="0.15">
      <c r="A3974" s="2"/>
    </row>
    <row r="3975" spans="1:1" ht="15.75" customHeight="1" x14ac:dyDescent="0.15">
      <c r="A3975" s="2"/>
    </row>
    <row r="3976" spans="1:1" ht="15.75" customHeight="1" x14ac:dyDescent="0.15">
      <c r="A3976" s="2"/>
    </row>
    <row r="3977" spans="1:1" ht="15.75" customHeight="1" x14ac:dyDescent="0.15">
      <c r="A3977" s="2"/>
    </row>
    <row r="3978" spans="1:1" ht="15.75" customHeight="1" x14ac:dyDescent="0.15">
      <c r="A3978" s="2"/>
    </row>
    <row r="3979" spans="1:1" ht="15.75" customHeight="1" x14ac:dyDescent="0.15">
      <c r="A3979" s="2"/>
    </row>
    <row r="3980" spans="1:1" ht="15.75" customHeight="1" x14ac:dyDescent="0.15">
      <c r="A3980" s="2"/>
    </row>
    <row r="3981" spans="1:1" ht="15.75" customHeight="1" x14ac:dyDescent="0.15">
      <c r="A3981" s="2"/>
    </row>
    <row r="3982" spans="1:1" ht="15.75" customHeight="1" x14ac:dyDescent="0.15">
      <c r="A3982" s="2"/>
    </row>
    <row r="3983" spans="1:1" ht="15.75" customHeight="1" x14ac:dyDescent="0.15">
      <c r="A3983" s="2"/>
    </row>
    <row r="3984" spans="1:1" ht="15.75" customHeight="1" x14ac:dyDescent="0.15">
      <c r="A3984" s="2"/>
    </row>
    <row r="3985" spans="1:1" ht="15.75" customHeight="1" x14ac:dyDescent="0.15">
      <c r="A3985" s="2"/>
    </row>
    <row r="3986" spans="1:1" ht="15.75" customHeight="1" x14ac:dyDescent="0.15">
      <c r="A3986" s="2"/>
    </row>
    <row r="3987" spans="1:1" ht="15.75" customHeight="1" x14ac:dyDescent="0.15">
      <c r="A3987" s="2"/>
    </row>
    <row r="3988" spans="1:1" ht="15.75" customHeight="1" x14ac:dyDescent="0.15">
      <c r="A3988" s="2"/>
    </row>
    <row r="3989" spans="1:1" ht="15.75" customHeight="1" x14ac:dyDescent="0.15">
      <c r="A3989" s="2"/>
    </row>
    <row r="3990" spans="1:1" ht="15.75" customHeight="1" x14ac:dyDescent="0.15">
      <c r="A3990" s="2"/>
    </row>
    <row r="3991" spans="1:1" ht="15.75" customHeight="1" x14ac:dyDescent="0.15">
      <c r="A3991" s="2"/>
    </row>
    <row r="3992" spans="1:1" ht="15.75" customHeight="1" x14ac:dyDescent="0.15">
      <c r="A3992" s="2"/>
    </row>
    <row r="3993" spans="1:1" ht="15.75" customHeight="1" x14ac:dyDescent="0.15">
      <c r="A3993" s="2"/>
    </row>
    <row r="3994" spans="1:1" ht="15.75" customHeight="1" x14ac:dyDescent="0.15">
      <c r="A3994" s="2"/>
    </row>
    <row r="3995" spans="1:1" ht="15.75" customHeight="1" x14ac:dyDescent="0.15">
      <c r="A3995" s="2"/>
    </row>
    <row r="3996" spans="1:1" ht="15.75" customHeight="1" x14ac:dyDescent="0.15">
      <c r="A3996" s="2"/>
    </row>
    <row r="3997" spans="1:1" ht="15.75" customHeight="1" x14ac:dyDescent="0.15">
      <c r="A3997" s="2"/>
    </row>
    <row r="3998" spans="1:1" ht="15.75" customHeight="1" x14ac:dyDescent="0.15">
      <c r="A3998" s="2"/>
    </row>
    <row r="3999" spans="1:1" ht="15.75" customHeight="1" x14ac:dyDescent="0.15">
      <c r="A3999" s="2"/>
    </row>
    <row r="4000" spans="1:1" ht="15.75" customHeight="1" x14ac:dyDescent="0.15">
      <c r="A4000" s="2"/>
    </row>
    <row r="4001" spans="1:1" ht="15.75" customHeight="1" x14ac:dyDescent="0.15">
      <c r="A4001" s="2"/>
    </row>
    <row r="4002" spans="1:1" ht="15.75" customHeight="1" x14ac:dyDescent="0.15">
      <c r="A4002" s="2"/>
    </row>
    <row r="4003" spans="1:1" ht="15.75" customHeight="1" x14ac:dyDescent="0.15">
      <c r="A4003" s="2"/>
    </row>
    <row r="4004" spans="1:1" ht="15.75" customHeight="1" x14ac:dyDescent="0.15">
      <c r="A4004" s="2"/>
    </row>
    <row r="4005" spans="1:1" ht="15.75" customHeight="1" x14ac:dyDescent="0.15">
      <c r="A4005" s="2"/>
    </row>
    <row r="4006" spans="1:1" ht="15.75" customHeight="1" x14ac:dyDescent="0.15">
      <c r="A4006" s="2"/>
    </row>
    <row r="4007" spans="1:1" ht="15.75" customHeight="1" x14ac:dyDescent="0.15">
      <c r="A4007" s="2"/>
    </row>
    <row r="4008" spans="1:1" ht="15.75" customHeight="1" x14ac:dyDescent="0.15">
      <c r="A4008" s="2"/>
    </row>
    <row r="4009" spans="1:1" ht="15.75" customHeight="1" x14ac:dyDescent="0.15">
      <c r="A4009" s="2"/>
    </row>
    <row r="4010" spans="1:1" ht="15.75" customHeight="1" x14ac:dyDescent="0.15">
      <c r="A4010" s="2"/>
    </row>
    <row r="4011" spans="1:1" ht="15.75" customHeight="1" x14ac:dyDescent="0.15">
      <c r="A4011" s="2"/>
    </row>
    <row r="4012" spans="1:1" ht="15.75" customHeight="1" x14ac:dyDescent="0.15">
      <c r="A4012" s="2"/>
    </row>
    <row r="4013" spans="1:1" ht="15.75" customHeight="1" x14ac:dyDescent="0.15">
      <c r="A4013" s="2"/>
    </row>
    <row r="4014" spans="1:1" ht="15.75" customHeight="1" x14ac:dyDescent="0.15">
      <c r="A4014" s="2"/>
    </row>
    <row r="4015" spans="1:1" ht="15.75" customHeight="1" x14ac:dyDescent="0.15">
      <c r="A4015" s="2"/>
    </row>
    <row r="4016" spans="1:1" ht="15.75" customHeight="1" x14ac:dyDescent="0.15">
      <c r="A4016" s="2"/>
    </row>
    <row r="4017" spans="1:1" ht="15.75" customHeight="1" x14ac:dyDescent="0.15">
      <c r="A4017" s="2"/>
    </row>
    <row r="4018" spans="1:1" ht="15.75" customHeight="1" x14ac:dyDescent="0.15">
      <c r="A4018" s="2"/>
    </row>
    <row r="4019" spans="1:1" ht="15.75" customHeight="1" x14ac:dyDescent="0.15">
      <c r="A4019" s="2"/>
    </row>
    <row r="4020" spans="1:1" ht="15.75" customHeight="1" x14ac:dyDescent="0.15">
      <c r="A4020" s="2"/>
    </row>
    <row r="4021" spans="1:1" ht="15.75" customHeight="1" x14ac:dyDescent="0.15">
      <c r="A4021" s="2"/>
    </row>
    <row r="4022" spans="1:1" ht="15.75" customHeight="1" x14ac:dyDescent="0.15">
      <c r="A4022" s="2"/>
    </row>
    <row r="4023" spans="1:1" ht="15.75" customHeight="1" x14ac:dyDescent="0.15">
      <c r="A4023" s="2"/>
    </row>
    <row r="4024" spans="1:1" ht="15.75" customHeight="1" x14ac:dyDescent="0.15">
      <c r="A4024" s="2"/>
    </row>
    <row r="4025" spans="1:1" ht="15.75" customHeight="1" x14ac:dyDescent="0.15">
      <c r="A4025" s="2"/>
    </row>
    <row r="4026" spans="1:1" ht="15.75" customHeight="1" x14ac:dyDescent="0.15">
      <c r="A4026" s="2"/>
    </row>
    <row r="4027" spans="1:1" ht="15.75" customHeight="1" x14ac:dyDescent="0.15">
      <c r="A4027" s="2"/>
    </row>
    <row r="4028" spans="1:1" ht="15.75" customHeight="1" x14ac:dyDescent="0.15">
      <c r="A4028" s="2"/>
    </row>
    <row r="4029" spans="1:1" ht="15.75" customHeight="1" x14ac:dyDescent="0.15">
      <c r="A4029" s="2"/>
    </row>
    <row r="4030" spans="1:1" ht="15.75" customHeight="1" x14ac:dyDescent="0.15">
      <c r="A4030" s="2"/>
    </row>
    <row r="4031" spans="1:1" ht="15.75" customHeight="1" x14ac:dyDescent="0.15">
      <c r="A4031" s="2"/>
    </row>
    <row r="4032" spans="1:1" ht="15.75" customHeight="1" x14ac:dyDescent="0.15">
      <c r="A4032" s="2"/>
    </row>
    <row r="4033" spans="1:1" ht="15.75" customHeight="1" x14ac:dyDescent="0.15">
      <c r="A4033" s="2"/>
    </row>
    <row r="4034" spans="1:1" ht="15.75" customHeight="1" x14ac:dyDescent="0.15">
      <c r="A4034" s="2"/>
    </row>
    <row r="4035" spans="1:1" ht="15.75" customHeight="1" x14ac:dyDescent="0.15">
      <c r="A4035" s="2"/>
    </row>
    <row r="4036" spans="1:1" ht="15.75" customHeight="1" x14ac:dyDescent="0.15">
      <c r="A4036" s="2"/>
    </row>
    <row r="4037" spans="1:1" ht="15.75" customHeight="1" x14ac:dyDescent="0.15">
      <c r="A4037" s="2"/>
    </row>
    <row r="4038" spans="1:1" ht="15.75" customHeight="1" x14ac:dyDescent="0.15">
      <c r="A4038" s="2"/>
    </row>
    <row r="4039" spans="1:1" ht="15.75" customHeight="1" x14ac:dyDescent="0.15">
      <c r="A4039" s="2"/>
    </row>
    <row r="4040" spans="1:1" ht="15.75" customHeight="1" x14ac:dyDescent="0.15">
      <c r="A4040" s="2"/>
    </row>
    <row r="4041" spans="1:1" ht="15.75" customHeight="1" x14ac:dyDescent="0.15">
      <c r="A4041" s="2"/>
    </row>
    <row r="4042" spans="1:1" ht="15.75" customHeight="1" x14ac:dyDescent="0.15">
      <c r="A4042" s="2"/>
    </row>
    <row r="4043" spans="1:1" ht="15.75" customHeight="1" x14ac:dyDescent="0.15">
      <c r="A4043" s="2"/>
    </row>
    <row r="4044" spans="1:1" ht="15.75" customHeight="1" x14ac:dyDescent="0.15">
      <c r="A4044" s="2"/>
    </row>
    <row r="4045" spans="1:1" ht="15.75" customHeight="1" x14ac:dyDescent="0.15">
      <c r="A4045" s="2"/>
    </row>
    <row r="4046" spans="1:1" ht="15.75" customHeight="1" x14ac:dyDescent="0.15">
      <c r="A4046" s="2"/>
    </row>
    <row r="4047" spans="1:1" ht="15.75" customHeight="1" x14ac:dyDescent="0.15">
      <c r="A4047" s="2"/>
    </row>
    <row r="4048" spans="1:1" ht="15.75" customHeight="1" x14ac:dyDescent="0.15">
      <c r="A4048" s="2"/>
    </row>
    <row r="4049" spans="1:1" ht="15.75" customHeight="1" x14ac:dyDescent="0.15">
      <c r="A4049" s="2"/>
    </row>
    <row r="4050" spans="1:1" ht="15.75" customHeight="1" x14ac:dyDescent="0.15">
      <c r="A4050" s="2"/>
    </row>
    <row r="4051" spans="1:1" ht="15.75" customHeight="1" x14ac:dyDescent="0.15">
      <c r="A4051" s="2"/>
    </row>
    <row r="4052" spans="1:1" ht="15.75" customHeight="1" x14ac:dyDescent="0.15">
      <c r="A4052" s="2"/>
    </row>
    <row r="4053" spans="1:1" ht="15.75" customHeight="1" x14ac:dyDescent="0.15">
      <c r="A4053" s="2"/>
    </row>
    <row r="4054" spans="1:1" ht="15.75" customHeight="1" x14ac:dyDescent="0.15">
      <c r="A4054" s="2"/>
    </row>
    <row r="4055" spans="1:1" ht="15.75" customHeight="1" x14ac:dyDescent="0.15">
      <c r="A4055" s="2"/>
    </row>
    <row r="4056" spans="1:1" ht="15.75" customHeight="1" x14ac:dyDescent="0.15">
      <c r="A4056" s="2"/>
    </row>
    <row r="4057" spans="1:1" ht="15.75" customHeight="1" x14ac:dyDescent="0.15">
      <c r="A4057" s="2"/>
    </row>
    <row r="4058" spans="1:1" ht="15.75" customHeight="1" x14ac:dyDescent="0.15">
      <c r="A4058" s="2"/>
    </row>
    <row r="4059" spans="1:1" ht="15.75" customHeight="1" x14ac:dyDescent="0.15">
      <c r="A4059" s="2"/>
    </row>
    <row r="4060" spans="1:1" ht="15.75" customHeight="1" x14ac:dyDescent="0.15">
      <c r="A4060" s="2"/>
    </row>
    <row r="4061" spans="1:1" ht="15.75" customHeight="1" x14ac:dyDescent="0.15">
      <c r="A4061" s="2"/>
    </row>
    <row r="4062" spans="1:1" ht="15.75" customHeight="1" x14ac:dyDescent="0.15">
      <c r="A4062" s="2"/>
    </row>
    <row r="4063" spans="1:1" ht="15.75" customHeight="1" x14ac:dyDescent="0.15">
      <c r="A4063" s="2"/>
    </row>
    <row r="4064" spans="1:1" ht="15.75" customHeight="1" x14ac:dyDescent="0.15">
      <c r="A4064" s="2"/>
    </row>
    <row r="4065" spans="1:1" ht="15.75" customHeight="1" x14ac:dyDescent="0.15">
      <c r="A4065" s="2"/>
    </row>
    <row r="4066" spans="1:1" ht="15.75" customHeight="1" x14ac:dyDescent="0.15">
      <c r="A4066" s="2"/>
    </row>
    <row r="4067" spans="1:1" ht="15.75" customHeight="1" x14ac:dyDescent="0.15">
      <c r="A4067" s="2"/>
    </row>
    <row r="4068" spans="1:1" ht="15.75" customHeight="1" x14ac:dyDescent="0.15">
      <c r="A4068" s="2"/>
    </row>
    <row r="4069" spans="1:1" ht="15.75" customHeight="1" x14ac:dyDescent="0.15">
      <c r="A4069" s="2"/>
    </row>
    <row r="4070" spans="1:1" ht="15.75" customHeight="1" x14ac:dyDescent="0.15">
      <c r="A4070" s="2"/>
    </row>
    <row r="4071" spans="1:1" ht="15.75" customHeight="1" x14ac:dyDescent="0.15">
      <c r="A4071" s="2"/>
    </row>
    <row r="4072" spans="1:1" ht="15.75" customHeight="1" x14ac:dyDescent="0.15">
      <c r="A4072" s="2"/>
    </row>
    <row r="4073" spans="1:1" ht="15.75" customHeight="1" x14ac:dyDescent="0.15">
      <c r="A4073" s="2"/>
    </row>
    <row r="4074" spans="1:1" ht="15.75" customHeight="1" x14ac:dyDescent="0.15">
      <c r="A4074" s="2"/>
    </row>
    <row r="4075" spans="1:1" ht="15.75" customHeight="1" x14ac:dyDescent="0.15">
      <c r="A4075" s="2"/>
    </row>
    <row r="4076" spans="1:1" ht="15.75" customHeight="1" x14ac:dyDescent="0.15">
      <c r="A4076" s="2"/>
    </row>
    <row r="4077" spans="1:1" ht="15.75" customHeight="1" x14ac:dyDescent="0.15">
      <c r="A4077" s="2"/>
    </row>
    <row r="4078" spans="1:1" ht="15.75" customHeight="1" x14ac:dyDescent="0.15">
      <c r="A4078" s="2"/>
    </row>
    <row r="4079" spans="1:1" ht="15.75" customHeight="1" x14ac:dyDescent="0.15">
      <c r="A4079" s="2"/>
    </row>
    <row r="4080" spans="1:1" ht="15.75" customHeight="1" x14ac:dyDescent="0.15">
      <c r="A4080" s="2"/>
    </row>
    <row r="4081" spans="1:1" ht="15.75" customHeight="1" x14ac:dyDescent="0.15">
      <c r="A4081" s="2"/>
    </row>
    <row r="4082" spans="1:1" ht="15.75" customHeight="1" x14ac:dyDescent="0.15">
      <c r="A4082" s="2"/>
    </row>
    <row r="4083" spans="1:1" ht="15.75" customHeight="1" x14ac:dyDescent="0.15">
      <c r="A4083" s="2"/>
    </row>
    <row r="4084" spans="1:1" ht="15.75" customHeight="1" x14ac:dyDescent="0.15">
      <c r="A4084" s="2"/>
    </row>
    <row r="4085" spans="1:1" ht="15.75" customHeight="1" x14ac:dyDescent="0.15">
      <c r="A4085" s="2"/>
    </row>
    <row r="4086" spans="1:1" ht="15.75" customHeight="1" x14ac:dyDescent="0.15">
      <c r="A4086" s="2"/>
    </row>
    <row r="4087" spans="1:1" ht="15.75" customHeight="1" x14ac:dyDescent="0.15">
      <c r="A4087" s="2"/>
    </row>
    <row r="4088" spans="1:1" ht="15.75" customHeight="1" x14ac:dyDescent="0.15">
      <c r="A4088" s="2"/>
    </row>
    <row r="4089" spans="1:1" ht="15.75" customHeight="1" x14ac:dyDescent="0.15">
      <c r="A4089" s="2"/>
    </row>
    <row r="4090" spans="1:1" ht="15.75" customHeight="1" x14ac:dyDescent="0.15">
      <c r="A4090" s="2"/>
    </row>
    <row r="4091" spans="1:1" ht="15.75" customHeight="1" x14ac:dyDescent="0.15">
      <c r="A4091" s="2"/>
    </row>
    <row r="4092" spans="1:1" ht="15.75" customHeight="1" x14ac:dyDescent="0.15">
      <c r="A4092" s="2"/>
    </row>
    <row r="4093" spans="1:1" ht="15.75" customHeight="1" x14ac:dyDescent="0.15">
      <c r="A4093" s="2"/>
    </row>
    <row r="4094" spans="1:1" ht="15.75" customHeight="1" x14ac:dyDescent="0.15">
      <c r="A4094" s="2"/>
    </row>
    <row r="4095" spans="1:1" ht="15.75" customHeight="1" x14ac:dyDescent="0.15">
      <c r="A4095" s="2"/>
    </row>
    <row r="4096" spans="1:1" ht="15.75" customHeight="1" x14ac:dyDescent="0.15">
      <c r="A4096" s="2"/>
    </row>
    <row r="4097" spans="1:1" ht="15.75" customHeight="1" x14ac:dyDescent="0.15">
      <c r="A4097" s="2"/>
    </row>
    <row r="4098" spans="1:1" ht="15.75" customHeight="1" x14ac:dyDescent="0.15">
      <c r="A4098" s="2"/>
    </row>
    <row r="4099" spans="1:1" ht="15.75" customHeight="1" x14ac:dyDescent="0.15">
      <c r="A4099" s="2"/>
    </row>
    <row r="4100" spans="1:1" ht="15.75" customHeight="1" x14ac:dyDescent="0.15">
      <c r="A4100" s="2"/>
    </row>
    <row r="4101" spans="1:1" ht="15.75" customHeight="1" x14ac:dyDescent="0.15">
      <c r="A4101" s="2"/>
    </row>
    <row r="4102" spans="1:1" ht="15.75" customHeight="1" x14ac:dyDescent="0.15">
      <c r="A4102" s="2"/>
    </row>
    <row r="4103" spans="1:1" ht="15.75" customHeight="1" x14ac:dyDescent="0.15">
      <c r="A4103" s="2"/>
    </row>
    <row r="4104" spans="1:1" ht="15.75" customHeight="1" x14ac:dyDescent="0.15">
      <c r="A4104" s="2"/>
    </row>
    <row r="4105" spans="1:1" ht="15.75" customHeight="1" x14ac:dyDescent="0.15">
      <c r="A4105" s="2"/>
    </row>
    <row r="4106" spans="1:1" ht="15.75" customHeight="1" x14ac:dyDescent="0.15">
      <c r="A4106" s="2"/>
    </row>
    <row r="4107" spans="1:1" ht="15.75" customHeight="1" x14ac:dyDescent="0.15">
      <c r="A4107" s="2"/>
    </row>
    <row r="4108" spans="1:1" ht="15.75" customHeight="1" x14ac:dyDescent="0.15">
      <c r="A4108" s="2"/>
    </row>
    <row r="4109" spans="1:1" ht="15.75" customHeight="1" x14ac:dyDescent="0.15">
      <c r="A4109" s="2"/>
    </row>
    <row r="4110" spans="1:1" ht="15.75" customHeight="1" x14ac:dyDescent="0.15">
      <c r="A4110" s="2"/>
    </row>
    <row r="4111" spans="1:1" ht="15.75" customHeight="1" x14ac:dyDescent="0.15">
      <c r="A4111" s="2"/>
    </row>
    <row r="4112" spans="1:1" ht="15.75" customHeight="1" x14ac:dyDescent="0.15">
      <c r="A4112" s="2"/>
    </row>
    <row r="4113" spans="1:1" ht="15.75" customHeight="1" x14ac:dyDescent="0.15">
      <c r="A4113" s="2"/>
    </row>
    <row r="4114" spans="1:1" ht="15.75" customHeight="1" x14ac:dyDescent="0.15">
      <c r="A4114" s="2"/>
    </row>
    <row r="4115" spans="1:1" ht="15.75" customHeight="1" x14ac:dyDescent="0.15">
      <c r="A4115" s="2"/>
    </row>
    <row r="4116" spans="1:1" ht="15.75" customHeight="1" x14ac:dyDescent="0.15">
      <c r="A4116" s="2"/>
    </row>
    <row r="4117" spans="1:1" ht="15.75" customHeight="1" x14ac:dyDescent="0.15">
      <c r="A4117" s="2"/>
    </row>
    <row r="4118" spans="1:1" ht="15.75" customHeight="1" x14ac:dyDescent="0.15">
      <c r="A4118" s="2"/>
    </row>
    <row r="4119" spans="1:1" ht="15.75" customHeight="1" x14ac:dyDescent="0.15">
      <c r="A4119" s="2"/>
    </row>
    <row r="4120" spans="1:1" ht="15.75" customHeight="1" x14ac:dyDescent="0.15">
      <c r="A4120" s="2"/>
    </row>
    <row r="4121" spans="1:1" ht="15.75" customHeight="1" x14ac:dyDescent="0.15">
      <c r="A4121" s="2"/>
    </row>
    <row r="4122" spans="1:1" ht="15.75" customHeight="1" x14ac:dyDescent="0.15">
      <c r="A4122" s="2"/>
    </row>
    <row r="4123" spans="1:1" ht="15.75" customHeight="1" x14ac:dyDescent="0.15">
      <c r="A4123" s="2"/>
    </row>
    <row r="4124" spans="1:1" ht="15.75" customHeight="1" x14ac:dyDescent="0.15">
      <c r="A4124" s="2"/>
    </row>
    <row r="4125" spans="1:1" ht="15.75" customHeight="1" x14ac:dyDescent="0.15">
      <c r="A4125" s="2"/>
    </row>
    <row r="4126" spans="1:1" ht="15.75" customHeight="1" x14ac:dyDescent="0.15">
      <c r="A4126" s="2"/>
    </row>
    <row r="4127" spans="1:1" ht="15.75" customHeight="1" x14ac:dyDescent="0.15">
      <c r="A4127" s="2"/>
    </row>
    <row r="4128" spans="1:1" ht="15.75" customHeight="1" x14ac:dyDescent="0.15">
      <c r="A4128" s="2"/>
    </row>
    <row r="4129" spans="1:1" ht="15.75" customHeight="1" x14ac:dyDescent="0.15">
      <c r="A4129" s="2"/>
    </row>
    <row r="4130" spans="1:1" ht="15.75" customHeight="1" x14ac:dyDescent="0.15">
      <c r="A4130" s="2"/>
    </row>
    <row r="4131" spans="1:1" ht="15.75" customHeight="1" x14ac:dyDescent="0.15">
      <c r="A4131" s="2"/>
    </row>
    <row r="4132" spans="1:1" ht="15.75" customHeight="1" x14ac:dyDescent="0.15">
      <c r="A4132" s="2"/>
    </row>
    <row r="4133" spans="1:1" ht="15.75" customHeight="1" x14ac:dyDescent="0.15">
      <c r="A4133" s="2"/>
    </row>
    <row r="4134" spans="1:1" ht="15.75" customHeight="1" x14ac:dyDescent="0.15">
      <c r="A4134" s="2"/>
    </row>
    <row r="4135" spans="1:1" ht="15.75" customHeight="1" x14ac:dyDescent="0.15">
      <c r="A4135" s="2"/>
    </row>
    <row r="4136" spans="1:1" ht="15.75" customHeight="1" x14ac:dyDescent="0.15">
      <c r="A4136" s="2"/>
    </row>
    <row r="4137" spans="1:1" ht="15.75" customHeight="1" x14ac:dyDescent="0.15">
      <c r="A4137" s="2"/>
    </row>
    <row r="4138" spans="1:1" ht="15.75" customHeight="1" x14ac:dyDescent="0.15">
      <c r="A4138" s="2"/>
    </row>
    <row r="4139" spans="1:1" ht="15.75" customHeight="1" x14ac:dyDescent="0.15">
      <c r="A4139" s="2"/>
    </row>
    <row r="4140" spans="1:1" ht="15.75" customHeight="1" x14ac:dyDescent="0.15">
      <c r="A4140" s="2"/>
    </row>
    <row r="4141" spans="1:1" ht="15.75" customHeight="1" x14ac:dyDescent="0.15">
      <c r="A4141" s="2"/>
    </row>
    <row r="4142" spans="1:1" ht="15.75" customHeight="1" x14ac:dyDescent="0.15">
      <c r="A4142" s="2"/>
    </row>
    <row r="4143" spans="1:1" ht="15.75" customHeight="1" x14ac:dyDescent="0.15">
      <c r="A4143" s="2"/>
    </row>
    <row r="4144" spans="1:1" ht="15.75" customHeight="1" x14ac:dyDescent="0.15">
      <c r="A4144" s="2"/>
    </row>
    <row r="4145" spans="1:1" ht="15.75" customHeight="1" x14ac:dyDescent="0.15">
      <c r="A4145" s="2"/>
    </row>
    <row r="4146" spans="1:1" ht="15.75" customHeight="1" x14ac:dyDescent="0.15">
      <c r="A4146" s="2"/>
    </row>
    <row r="4147" spans="1:1" ht="15.75" customHeight="1" x14ac:dyDescent="0.15">
      <c r="A4147" s="2"/>
    </row>
    <row r="4148" spans="1:1" ht="15.75" customHeight="1" x14ac:dyDescent="0.15">
      <c r="A4148" s="2"/>
    </row>
    <row r="4149" spans="1:1" ht="15.75" customHeight="1" x14ac:dyDescent="0.15">
      <c r="A4149" s="2"/>
    </row>
    <row r="4150" spans="1:1" ht="15.75" customHeight="1" x14ac:dyDescent="0.15">
      <c r="A4150" s="2"/>
    </row>
    <row r="4151" spans="1:1" ht="15.75" customHeight="1" x14ac:dyDescent="0.15">
      <c r="A4151" s="2"/>
    </row>
    <row r="4152" spans="1:1" ht="15.75" customHeight="1" x14ac:dyDescent="0.15">
      <c r="A4152" s="2"/>
    </row>
    <row r="4153" spans="1:1" ht="15.75" customHeight="1" x14ac:dyDescent="0.15">
      <c r="A4153" s="2"/>
    </row>
    <row r="4154" spans="1:1" ht="15.75" customHeight="1" x14ac:dyDescent="0.15">
      <c r="A4154" s="2"/>
    </row>
    <row r="4155" spans="1:1" ht="15.75" customHeight="1" x14ac:dyDescent="0.15">
      <c r="A4155" s="2"/>
    </row>
    <row r="4156" spans="1:1" ht="15.75" customHeight="1" x14ac:dyDescent="0.15">
      <c r="A4156" s="2"/>
    </row>
    <row r="4157" spans="1:1" ht="15.75" customHeight="1" x14ac:dyDescent="0.15">
      <c r="A4157" s="2"/>
    </row>
    <row r="4158" spans="1:1" ht="15.75" customHeight="1" x14ac:dyDescent="0.15">
      <c r="A4158" s="2"/>
    </row>
    <row r="4159" spans="1:1" ht="15.75" customHeight="1" x14ac:dyDescent="0.15">
      <c r="A4159" s="2"/>
    </row>
    <row r="4160" spans="1:1" ht="15.75" customHeight="1" x14ac:dyDescent="0.15">
      <c r="A4160" s="2"/>
    </row>
    <row r="4161" spans="1:1" ht="15.75" customHeight="1" x14ac:dyDescent="0.15">
      <c r="A4161" s="2"/>
    </row>
    <row r="4162" spans="1:1" ht="15.75" customHeight="1" x14ac:dyDescent="0.15">
      <c r="A4162" s="2"/>
    </row>
    <row r="4163" spans="1:1" ht="15.75" customHeight="1" x14ac:dyDescent="0.15">
      <c r="A4163" s="2"/>
    </row>
    <row r="4164" spans="1:1" ht="15.75" customHeight="1" x14ac:dyDescent="0.15">
      <c r="A4164" s="2"/>
    </row>
    <row r="4165" spans="1:1" ht="15.75" customHeight="1" x14ac:dyDescent="0.15">
      <c r="A4165" s="2"/>
    </row>
    <row r="4166" spans="1:1" ht="15.75" customHeight="1" x14ac:dyDescent="0.15">
      <c r="A4166" s="2"/>
    </row>
    <row r="4167" spans="1:1" ht="15.75" customHeight="1" x14ac:dyDescent="0.15">
      <c r="A4167" s="2"/>
    </row>
    <row r="4168" spans="1:1" ht="15.75" customHeight="1" x14ac:dyDescent="0.15">
      <c r="A4168" s="2"/>
    </row>
    <row r="4169" spans="1:1" ht="15.75" customHeight="1" x14ac:dyDescent="0.15">
      <c r="A4169" s="2"/>
    </row>
    <row r="4170" spans="1:1" ht="15.75" customHeight="1" x14ac:dyDescent="0.15">
      <c r="A4170" s="2"/>
    </row>
    <row r="4171" spans="1:1" ht="15.75" customHeight="1" x14ac:dyDescent="0.15">
      <c r="A4171" s="2"/>
    </row>
    <row r="4172" spans="1:1" ht="15.75" customHeight="1" x14ac:dyDescent="0.15">
      <c r="A4172" s="2"/>
    </row>
    <row r="4173" spans="1:1" ht="15.75" customHeight="1" x14ac:dyDescent="0.15">
      <c r="A4173" s="2"/>
    </row>
    <row r="4174" spans="1:1" ht="15.75" customHeight="1" x14ac:dyDescent="0.15">
      <c r="A4174" s="2"/>
    </row>
    <row r="4175" spans="1:1" ht="15.75" customHeight="1" x14ac:dyDescent="0.15">
      <c r="A4175" s="2"/>
    </row>
    <row r="4176" spans="1:1" ht="15.75" customHeight="1" x14ac:dyDescent="0.15">
      <c r="A4176" s="2"/>
    </row>
    <row r="4177" spans="1:1" ht="15.75" customHeight="1" x14ac:dyDescent="0.15">
      <c r="A4177" s="2"/>
    </row>
    <row r="4178" spans="1:1" ht="15.75" customHeight="1" x14ac:dyDescent="0.15">
      <c r="A4178" s="2"/>
    </row>
    <row r="4179" spans="1:1" ht="15.75" customHeight="1" x14ac:dyDescent="0.15">
      <c r="A4179" s="2"/>
    </row>
    <row r="4180" spans="1:1" ht="15.75" customHeight="1" x14ac:dyDescent="0.15">
      <c r="A4180" s="2"/>
    </row>
    <row r="4181" spans="1:1" ht="15.75" customHeight="1" x14ac:dyDescent="0.15">
      <c r="A4181" s="2"/>
    </row>
    <row r="4182" spans="1:1" ht="15.75" customHeight="1" x14ac:dyDescent="0.15">
      <c r="A4182" s="2"/>
    </row>
    <row r="4183" spans="1:1" ht="15.75" customHeight="1" x14ac:dyDescent="0.15">
      <c r="A4183" s="2"/>
    </row>
    <row r="4184" spans="1:1" ht="15.75" customHeight="1" x14ac:dyDescent="0.15">
      <c r="A4184" s="2"/>
    </row>
    <row r="4185" spans="1:1" ht="15.75" customHeight="1" x14ac:dyDescent="0.15">
      <c r="A4185" s="2"/>
    </row>
    <row r="4186" spans="1:1" ht="15.75" customHeight="1" x14ac:dyDescent="0.15">
      <c r="A4186" s="2"/>
    </row>
    <row r="4187" spans="1:1" ht="15.75" customHeight="1" x14ac:dyDescent="0.15">
      <c r="A4187" s="2"/>
    </row>
    <row r="4188" spans="1:1" ht="15.75" customHeight="1" x14ac:dyDescent="0.15">
      <c r="A4188" s="2"/>
    </row>
    <row r="4189" spans="1:1" ht="15.75" customHeight="1" x14ac:dyDescent="0.15">
      <c r="A4189" s="2"/>
    </row>
    <row r="4190" spans="1:1" ht="15.75" customHeight="1" x14ac:dyDescent="0.15">
      <c r="A4190" s="2"/>
    </row>
    <row r="4191" spans="1:1" ht="15.75" customHeight="1" x14ac:dyDescent="0.15">
      <c r="A4191" s="2"/>
    </row>
    <row r="4192" spans="1:1" ht="15.75" customHeight="1" x14ac:dyDescent="0.15">
      <c r="A4192" s="2"/>
    </row>
    <row r="4193" spans="1:1" ht="15.75" customHeight="1" x14ac:dyDescent="0.15">
      <c r="A4193" s="2"/>
    </row>
    <row r="4194" spans="1:1" ht="15.75" customHeight="1" x14ac:dyDescent="0.15">
      <c r="A4194" s="2"/>
    </row>
    <row r="4195" spans="1:1" ht="15.75" customHeight="1" x14ac:dyDescent="0.15">
      <c r="A4195" s="2"/>
    </row>
    <row r="4196" spans="1:1" ht="15.75" customHeight="1" x14ac:dyDescent="0.15">
      <c r="A4196" s="2"/>
    </row>
    <row r="4197" spans="1:1" ht="15.75" customHeight="1" x14ac:dyDescent="0.15">
      <c r="A4197" s="2"/>
    </row>
    <row r="4198" spans="1:1" ht="15.75" customHeight="1" x14ac:dyDescent="0.15">
      <c r="A4198" s="2"/>
    </row>
    <row r="4199" spans="1:1" ht="15.75" customHeight="1" x14ac:dyDescent="0.15">
      <c r="A4199" s="2"/>
    </row>
    <row r="4200" spans="1:1" ht="15.75" customHeight="1" x14ac:dyDescent="0.15">
      <c r="A4200" s="2"/>
    </row>
    <row r="4201" spans="1:1" ht="15.75" customHeight="1" x14ac:dyDescent="0.15">
      <c r="A4201" s="2"/>
    </row>
    <row r="4202" spans="1:1" ht="15.75" customHeight="1" x14ac:dyDescent="0.15">
      <c r="A4202" s="2"/>
    </row>
    <row r="4203" spans="1:1" ht="15.75" customHeight="1" x14ac:dyDescent="0.15">
      <c r="A4203" s="2"/>
    </row>
    <row r="4204" spans="1:1" ht="15.75" customHeight="1" x14ac:dyDescent="0.15">
      <c r="A4204" s="2"/>
    </row>
    <row r="4205" spans="1:1" ht="15.75" customHeight="1" x14ac:dyDescent="0.15">
      <c r="A4205" s="2"/>
    </row>
    <row r="4206" spans="1:1" ht="15.75" customHeight="1" x14ac:dyDescent="0.15">
      <c r="A4206" s="2"/>
    </row>
    <row r="4207" spans="1:1" ht="15.75" customHeight="1" x14ac:dyDescent="0.15">
      <c r="A4207" s="2"/>
    </row>
    <row r="4208" spans="1:1" ht="15.75" customHeight="1" x14ac:dyDescent="0.15">
      <c r="A4208" s="2"/>
    </row>
    <row r="4209" spans="1:1" ht="15.75" customHeight="1" x14ac:dyDescent="0.15">
      <c r="A4209" s="2"/>
    </row>
    <row r="4210" spans="1:1" ht="15.75" customHeight="1" x14ac:dyDescent="0.15">
      <c r="A4210" s="2"/>
    </row>
    <row r="4211" spans="1:1" ht="15.75" customHeight="1" x14ac:dyDescent="0.15">
      <c r="A4211" s="2"/>
    </row>
    <row r="4212" spans="1:1" ht="15.75" customHeight="1" x14ac:dyDescent="0.15">
      <c r="A4212" s="2"/>
    </row>
    <row r="4213" spans="1:1" ht="15.75" customHeight="1" x14ac:dyDescent="0.15">
      <c r="A4213" s="2"/>
    </row>
    <row r="4214" spans="1:1" ht="15.75" customHeight="1" x14ac:dyDescent="0.15">
      <c r="A4214" s="2"/>
    </row>
    <row r="4215" spans="1:1" ht="15.75" customHeight="1" x14ac:dyDescent="0.15">
      <c r="A4215" s="2"/>
    </row>
    <row r="4216" spans="1:1" ht="15.75" customHeight="1" x14ac:dyDescent="0.15">
      <c r="A4216" s="2"/>
    </row>
    <row r="4217" spans="1:1" ht="15.75" customHeight="1" x14ac:dyDescent="0.15">
      <c r="A4217" s="2"/>
    </row>
    <row r="4218" spans="1:1" ht="15.75" customHeight="1" x14ac:dyDescent="0.15">
      <c r="A4218" s="2"/>
    </row>
    <row r="4219" spans="1:1" ht="15.75" customHeight="1" x14ac:dyDescent="0.15">
      <c r="A4219" s="2"/>
    </row>
    <row r="4220" spans="1:1" ht="15.75" customHeight="1" x14ac:dyDescent="0.15">
      <c r="A4220" s="2"/>
    </row>
    <row r="4221" spans="1:1" ht="15.75" customHeight="1" x14ac:dyDescent="0.15">
      <c r="A4221" s="2"/>
    </row>
    <row r="4222" spans="1:1" ht="15.75" customHeight="1" x14ac:dyDescent="0.15">
      <c r="A4222" s="2"/>
    </row>
    <row r="4223" spans="1:1" ht="15.75" customHeight="1" x14ac:dyDescent="0.15">
      <c r="A4223" s="2"/>
    </row>
    <row r="4224" spans="1:1" ht="15.75" customHeight="1" x14ac:dyDescent="0.15">
      <c r="A4224" s="2"/>
    </row>
    <row r="4225" spans="1:1" ht="15.75" customHeight="1" x14ac:dyDescent="0.15">
      <c r="A4225" s="2"/>
    </row>
    <row r="4226" spans="1:1" ht="15.75" customHeight="1" x14ac:dyDescent="0.15">
      <c r="A4226" s="2"/>
    </row>
    <row r="4227" spans="1:1" ht="15.75" customHeight="1" x14ac:dyDescent="0.15">
      <c r="A4227" s="2"/>
    </row>
    <row r="4228" spans="1:1" ht="15.75" customHeight="1" x14ac:dyDescent="0.15">
      <c r="A4228" s="2"/>
    </row>
    <row r="4229" spans="1:1" ht="15.75" customHeight="1" x14ac:dyDescent="0.15">
      <c r="A4229" s="2"/>
    </row>
    <row r="4230" spans="1:1" ht="15.75" customHeight="1" x14ac:dyDescent="0.15">
      <c r="A4230" s="2"/>
    </row>
    <row r="4231" spans="1:1" ht="15.75" customHeight="1" x14ac:dyDescent="0.15">
      <c r="A4231" s="2"/>
    </row>
    <row r="4232" spans="1:1" ht="15.75" customHeight="1" x14ac:dyDescent="0.15">
      <c r="A4232" s="2"/>
    </row>
    <row r="4233" spans="1:1" ht="15.75" customHeight="1" x14ac:dyDescent="0.15">
      <c r="A4233" s="2"/>
    </row>
    <row r="4234" spans="1:1" ht="15.75" customHeight="1" x14ac:dyDescent="0.15">
      <c r="A4234" s="2"/>
    </row>
    <row r="4235" spans="1:1" ht="15.75" customHeight="1" x14ac:dyDescent="0.15">
      <c r="A4235" s="2"/>
    </row>
    <row r="4236" spans="1:1" ht="15.75" customHeight="1" x14ac:dyDescent="0.15">
      <c r="A4236" s="2"/>
    </row>
    <row r="4237" spans="1:1" ht="15.75" customHeight="1" x14ac:dyDescent="0.15">
      <c r="A4237" s="2"/>
    </row>
    <row r="4238" spans="1:1" ht="15.75" customHeight="1" x14ac:dyDescent="0.15">
      <c r="A4238" s="2"/>
    </row>
    <row r="4239" spans="1:1" ht="15.75" customHeight="1" x14ac:dyDescent="0.15">
      <c r="A4239" s="2"/>
    </row>
    <row r="4240" spans="1:1" ht="15.75" customHeight="1" x14ac:dyDescent="0.15">
      <c r="A4240" s="2"/>
    </row>
    <row r="4241" spans="1:1" ht="15.75" customHeight="1" x14ac:dyDescent="0.15">
      <c r="A4241" s="2"/>
    </row>
    <row r="4242" spans="1:1" ht="15.75" customHeight="1" x14ac:dyDescent="0.15">
      <c r="A4242" s="2"/>
    </row>
    <row r="4243" spans="1:1" ht="15.75" customHeight="1" x14ac:dyDescent="0.15">
      <c r="A4243" s="2"/>
    </row>
    <row r="4244" spans="1:1" ht="15.75" customHeight="1" x14ac:dyDescent="0.15">
      <c r="A4244" s="2"/>
    </row>
    <row r="4245" spans="1:1" ht="15.75" customHeight="1" x14ac:dyDescent="0.15">
      <c r="A4245" s="2"/>
    </row>
    <row r="4246" spans="1:1" ht="15.75" customHeight="1" x14ac:dyDescent="0.15">
      <c r="A4246" s="2"/>
    </row>
    <row r="4247" spans="1:1" ht="15.75" customHeight="1" x14ac:dyDescent="0.15">
      <c r="A4247" s="2"/>
    </row>
    <row r="4248" spans="1:1" ht="15.75" customHeight="1" x14ac:dyDescent="0.15">
      <c r="A4248" s="2"/>
    </row>
    <row r="4249" spans="1:1" ht="15.75" customHeight="1" x14ac:dyDescent="0.15">
      <c r="A4249" s="2"/>
    </row>
    <row r="4250" spans="1:1" ht="15.75" customHeight="1" x14ac:dyDescent="0.15">
      <c r="A4250" s="2"/>
    </row>
    <row r="4251" spans="1:1" ht="15.75" customHeight="1" x14ac:dyDescent="0.15">
      <c r="A4251" s="2"/>
    </row>
    <row r="4252" spans="1:1" ht="15.75" customHeight="1" x14ac:dyDescent="0.15">
      <c r="A4252" s="2"/>
    </row>
    <row r="4253" spans="1:1" ht="15.75" customHeight="1" x14ac:dyDescent="0.15">
      <c r="A4253" s="2"/>
    </row>
    <row r="4254" spans="1:1" ht="15.75" customHeight="1" x14ac:dyDescent="0.15">
      <c r="A4254" s="2"/>
    </row>
    <row r="4255" spans="1:1" ht="15.75" customHeight="1" x14ac:dyDescent="0.15">
      <c r="A4255" s="2"/>
    </row>
    <row r="4256" spans="1:1" ht="15.75" customHeight="1" x14ac:dyDescent="0.15">
      <c r="A4256" s="2"/>
    </row>
    <row r="4257" spans="1:1" ht="15.75" customHeight="1" x14ac:dyDescent="0.15">
      <c r="A4257" s="2"/>
    </row>
    <row r="4258" spans="1:1" ht="15.75" customHeight="1" x14ac:dyDescent="0.15">
      <c r="A4258" s="2"/>
    </row>
    <row r="4259" spans="1:1" ht="15.75" customHeight="1" x14ac:dyDescent="0.15">
      <c r="A4259" s="2"/>
    </row>
    <row r="4260" spans="1:1" ht="15.75" customHeight="1" x14ac:dyDescent="0.15">
      <c r="A4260" s="2"/>
    </row>
    <row r="4261" spans="1:1" ht="15.75" customHeight="1" x14ac:dyDescent="0.15">
      <c r="A4261" s="2"/>
    </row>
    <row r="4262" spans="1:1" ht="15.75" customHeight="1" x14ac:dyDescent="0.15">
      <c r="A4262" s="2"/>
    </row>
    <row r="4263" spans="1:1" ht="15.75" customHeight="1" x14ac:dyDescent="0.15">
      <c r="A4263" s="2"/>
    </row>
    <row r="4264" spans="1:1" ht="15.75" customHeight="1" x14ac:dyDescent="0.15">
      <c r="A4264" s="2"/>
    </row>
    <row r="4265" spans="1:1" ht="15.75" customHeight="1" x14ac:dyDescent="0.15">
      <c r="A4265" s="2"/>
    </row>
    <row r="4266" spans="1:1" ht="15.75" customHeight="1" x14ac:dyDescent="0.15">
      <c r="A4266" s="2"/>
    </row>
    <row r="4267" spans="1:1" ht="15.75" customHeight="1" x14ac:dyDescent="0.15">
      <c r="A4267" s="2"/>
    </row>
    <row r="4268" spans="1:1" ht="15.75" customHeight="1" x14ac:dyDescent="0.15">
      <c r="A4268" s="2"/>
    </row>
    <row r="4269" spans="1:1" ht="15.75" customHeight="1" x14ac:dyDescent="0.15">
      <c r="A4269" s="2"/>
    </row>
    <row r="4270" spans="1:1" ht="15.75" customHeight="1" x14ac:dyDescent="0.15">
      <c r="A4270" s="2"/>
    </row>
    <row r="4271" spans="1:1" ht="15.75" customHeight="1" x14ac:dyDescent="0.15">
      <c r="A4271" s="2"/>
    </row>
    <row r="4272" spans="1:1" ht="15.75" customHeight="1" x14ac:dyDescent="0.15">
      <c r="A4272" s="2"/>
    </row>
    <row r="4273" spans="1:1" ht="15.75" customHeight="1" x14ac:dyDescent="0.15">
      <c r="A4273" s="2"/>
    </row>
    <row r="4274" spans="1:1" ht="15.75" customHeight="1" x14ac:dyDescent="0.15">
      <c r="A4274" s="2"/>
    </row>
    <row r="4275" spans="1:1" ht="15.75" customHeight="1" x14ac:dyDescent="0.15">
      <c r="A4275" s="2"/>
    </row>
    <row r="4276" spans="1:1" ht="15.75" customHeight="1" x14ac:dyDescent="0.15">
      <c r="A4276" s="2"/>
    </row>
    <row r="4277" spans="1:1" ht="15.75" customHeight="1" x14ac:dyDescent="0.15">
      <c r="A4277" s="2"/>
    </row>
    <row r="4278" spans="1:1" ht="15.75" customHeight="1" x14ac:dyDescent="0.15">
      <c r="A4278" s="2"/>
    </row>
    <row r="4279" spans="1:1" ht="15.75" customHeight="1" x14ac:dyDescent="0.15">
      <c r="A4279" s="2"/>
    </row>
    <row r="4280" spans="1:1" ht="15.75" customHeight="1" x14ac:dyDescent="0.15">
      <c r="A4280" s="2"/>
    </row>
    <row r="4281" spans="1:1" ht="15.75" customHeight="1" x14ac:dyDescent="0.15">
      <c r="A4281" s="2"/>
    </row>
    <row r="4282" spans="1:1" ht="15.75" customHeight="1" x14ac:dyDescent="0.15">
      <c r="A4282" s="2"/>
    </row>
    <row r="4283" spans="1:1" ht="15.75" customHeight="1" x14ac:dyDescent="0.15">
      <c r="A4283" s="2"/>
    </row>
    <row r="4284" spans="1:1" ht="15.75" customHeight="1" x14ac:dyDescent="0.15">
      <c r="A4284" s="2"/>
    </row>
    <row r="4285" spans="1:1" ht="15.75" customHeight="1" x14ac:dyDescent="0.15">
      <c r="A4285" s="2"/>
    </row>
    <row r="4286" spans="1:1" ht="15.75" customHeight="1" x14ac:dyDescent="0.15">
      <c r="A4286" s="2"/>
    </row>
    <row r="4287" spans="1:1" ht="15.75" customHeight="1" x14ac:dyDescent="0.15">
      <c r="A4287" s="2"/>
    </row>
    <row r="4288" spans="1:1" ht="15.75" customHeight="1" x14ac:dyDescent="0.15">
      <c r="A4288" s="2"/>
    </row>
    <row r="4289" spans="1:1" ht="15.75" customHeight="1" x14ac:dyDescent="0.15">
      <c r="A4289" s="2"/>
    </row>
    <row r="4290" spans="1:1" ht="15.75" customHeight="1" x14ac:dyDescent="0.15">
      <c r="A4290" s="2"/>
    </row>
    <row r="4291" spans="1:1" ht="15.75" customHeight="1" x14ac:dyDescent="0.15">
      <c r="A4291" s="2"/>
    </row>
    <row r="4292" spans="1:1" ht="15.75" customHeight="1" x14ac:dyDescent="0.15">
      <c r="A4292" s="2"/>
    </row>
    <row r="4293" spans="1:1" ht="15.75" customHeight="1" x14ac:dyDescent="0.15">
      <c r="A4293" s="2"/>
    </row>
    <row r="4294" spans="1:1" ht="15.75" customHeight="1" x14ac:dyDescent="0.15">
      <c r="A4294" s="2"/>
    </row>
    <row r="4295" spans="1:1" ht="15.75" customHeight="1" x14ac:dyDescent="0.15">
      <c r="A4295" s="2"/>
    </row>
    <row r="4296" spans="1:1" ht="15.75" customHeight="1" x14ac:dyDescent="0.15">
      <c r="A4296" s="2"/>
    </row>
    <row r="4297" spans="1:1" ht="15.75" customHeight="1" x14ac:dyDescent="0.15">
      <c r="A4297" s="2"/>
    </row>
    <row r="4298" spans="1:1" ht="15.75" customHeight="1" x14ac:dyDescent="0.15">
      <c r="A4298" s="2"/>
    </row>
    <row r="4299" spans="1:1" ht="15.75" customHeight="1" x14ac:dyDescent="0.15">
      <c r="A4299" s="2"/>
    </row>
    <row r="4300" spans="1:1" ht="15.75" customHeight="1" x14ac:dyDescent="0.15">
      <c r="A4300" s="2"/>
    </row>
    <row r="4301" spans="1:1" ht="15.75" customHeight="1" x14ac:dyDescent="0.15">
      <c r="A4301" s="2"/>
    </row>
    <row r="4302" spans="1:1" ht="15.75" customHeight="1" x14ac:dyDescent="0.15">
      <c r="A4302" s="2"/>
    </row>
    <row r="4303" spans="1:1" ht="15.75" customHeight="1" x14ac:dyDescent="0.15">
      <c r="A4303" s="2"/>
    </row>
    <row r="4304" spans="1:1" ht="15.75" customHeight="1" x14ac:dyDescent="0.15">
      <c r="A4304" s="2"/>
    </row>
    <row r="4305" spans="1:1" ht="15.75" customHeight="1" x14ac:dyDescent="0.15">
      <c r="A4305" s="2"/>
    </row>
    <row r="4306" spans="1:1" ht="15.75" customHeight="1" x14ac:dyDescent="0.15">
      <c r="A4306" s="2"/>
    </row>
    <row r="4307" spans="1:1" ht="15.75" customHeight="1" x14ac:dyDescent="0.15">
      <c r="A4307" s="2"/>
    </row>
    <row r="4308" spans="1:1" ht="15.75" customHeight="1" x14ac:dyDescent="0.15">
      <c r="A4308" s="2"/>
    </row>
    <row r="4309" spans="1:1" ht="15.75" customHeight="1" x14ac:dyDescent="0.15">
      <c r="A4309" s="2"/>
    </row>
    <row r="4310" spans="1:1" ht="15.75" customHeight="1" x14ac:dyDescent="0.15">
      <c r="A4310" s="2"/>
    </row>
    <row r="4311" spans="1:1" ht="15.75" customHeight="1" x14ac:dyDescent="0.15">
      <c r="A4311" s="2"/>
    </row>
    <row r="4312" spans="1:1" ht="15.75" customHeight="1" x14ac:dyDescent="0.15">
      <c r="A4312" s="2"/>
    </row>
    <row r="4313" spans="1:1" ht="15.75" customHeight="1" x14ac:dyDescent="0.15">
      <c r="A4313" s="2"/>
    </row>
    <row r="4314" spans="1:1" ht="15.75" customHeight="1" x14ac:dyDescent="0.15">
      <c r="A4314" s="2"/>
    </row>
    <row r="4315" spans="1:1" ht="15.75" customHeight="1" x14ac:dyDescent="0.15">
      <c r="A4315" s="2"/>
    </row>
    <row r="4316" spans="1:1" ht="15.75" customHeight="1" x14ac:dyDescent="0.15">
      <c r="A4316" s="2"/>
    </row>
    <row r="4317" spans="1:1" ht="15.75" customHeight="1" x14ac:dyDescent="0.15">
      <c r="A4317" s="2"/>
    </row>
    <row r="4318" spans="1:1" ht="15.75" customHeight="1" x14ac:dyDescent="0.15">
      <c r="A4318" s="2"/>
    </row>
    <row r="4319" spans="1:1" ht="15.75" customHeight="1" x14ac:dyDescent="0.15">
      <c r="A4319" s="2"/>
    </row>
    <row r="4320" spans="1:1" ht="15.75" customHeight="1" x14ac:dyDescent="0.15">
      <c r="A4320" s="2"/>
    </row>
    <row r="4321" spans="1:1" ht="15.75" customHeight="1" x14ac:dyDescent="0.15">
      <c r="A4321" s="2"/>
    </row>
    <row r="4322" spans="1:1" ht="15.75" customHeight="1" x14ac:dyDescent="0.15">
      <c r="A4322" s="2"/>
    </row>
    <row r="4323" spans="1:1" ht="15.75" customHeight="1" x14ac:dyDescent="0.15">
      <c r="A4323" s="2"/>
    </row>
    <row r="4324" spans="1:1" ht="15.75" customHeight="1" x14ac:dyDescent="0.15">
      <c r="A4324" s="2"/>
    </row>
    <row r="4325" spans="1:1" ht="15.75" customHeight="1" x14ac:dyDescent="0.15">
      <c r="A4325" s="2"/>
    </row>
    <row r="4326" spans="1:1" ht="15.75" customHeight="1" x14ac:dyDescent="0.15">
      <c r="A4326" s="2"/>
    </row>
    <row r="4327" spans="1:1" ht="15.75" customHeight="1" x14ac:dyDescent="0.15">
      <c r="A4327" s="2"/>
    </row>
    <row r="4328" spans="1:1" ht="15.75" customHeight="1" x14ac:dyDescent="0.15">
      <c r="A4328" s="2"/>
    </row>
    <row r="4329" spans="1:1" ht="15.75" customHeight="1" x14ac:dyDescent="0.15">
      <c r="A4329" s="2"/>
    </row>
    <row r="4330" spans="1:1" ht="15.75" customHeight="1" x14ac:dyDescent="0.15">
      <c r="A4330" s="2"/>
    </row>
    <row r="4331" spans="1:1" ht="15.75" customHeight="1" x14ac:dyDescent="0.15">
      <c r="A4331" s="2"/>
    </row>
    <row r="4332" spans="1:1" ht="15.75" customHeight="1" x14ac:dyDescent="0.15">
      <c r="A4332" s="2"/>
    </row>
    <row r="4333" spans="1:1" ht="15.75" customHeight="1" x14ac:dyDescent="0.15">
      <c r="A4333" s="2"/>
    </row>
    <row r="4334" spans="1:1" ht="15.75" customHeight="1" x14ac:dyDescent="0.15">
      <c r="A4334" s="2"/>
    </row>
    <row r="4335" spans="1:1" ht="15.75" customHeight="1" x14ac:dyDescent="0.15">
      <c r="A4335" s="2"/>
    </row>
    <row r="4336" spans="1:1" ht="15.75" customHeight="1" x14ac:dyDescent="0.15">
      <c r="A4336" s="2"/>
    </row>
    <row r="4337" spans="1:1" ht="15.75" customHeight="1" x14ac:dyDescent="0.15">
      <c r="A4337" s="2"/>
    </row>
    <row r="4338" spans="1:1" ht="15.75" customHeight="1" x14ac:dyDescent="0.15">
      <c r="A4338" s="2"/>
    </row>
    <row r="4339" spans="1:1" ht="15.75" customHeight="1" x14ac:dyDescent="0.15">
      <c r="A4339" s="2"/>
    </row>
    <row r="4340" spans="1:1" ht="15.75" customHeight="1" x14ac:dyDescent="0.15">
      <c r="A4340" s="2"/>
    </row>
    <row r="4341" spans="1:1" ht="15.75" customHeight="1" x14ac:dyDescent="0.15">
      <c r="A4341" s="2"/>
    </row>
    <row r="4342" spans="1:1" ht="15.75" customHeight="1" x14ac:dyDescent="0.15">
      <c r="A4342" s="2"/>
    </row>
    <row r="4343" spans="1:1" ht="15.75" customHeight="1" x14ac:dyDescent="0.15">
      <c r="A4343" s="2"/>
    </row>
    <row r="4344" spans="1:1" ht="15.75" customHeight="1" x14ac:dyDescent="0.15">
      <c r="A4344" s="2"/>
    </row>
    <row r="4345" spans="1:1" ht="15.75" customHeight="1" x14ac:dyDescent="0.15">
      <c r="A4345" s="2"/>
    </row>
    <row r="4346" spans="1:1" ht="15.75" customHeight="1" x14ac:dyDescent="0.15">
      <c r="A4346" s="2"/>
    </row>
    <row r="4347" spans="1:1" ht="15.75" customHeight="1" x14ac:dyDescent="0.15">
      <c r="A4347" s="2"/>
    </row>
    <row r="4348" spans="1:1" ht="15.75" customHeight="1" x14ac:dyDescent="0.15">
      <c r="A4348" s="2"/>
    </row>
    <row r="4349" spans="1:1" ht="15.75" customHeight="1" x14ac:dyDescent="0.15">
      <c r="A4349" s="2"/>
    </row>
    <row r="4350" spans="1:1" ht="15.75" customHeight="1" x14ac:dyDescent="0.15">
      <c r="A4350" s="2"/>
    </row>
    <row r="4351" spans="1:1" ht="15.75" customHeight="1" x14ac:dyDescent="0.15">
      <c r="A4351" s="2"/>
    </row>
    <row r="4352" spans="1:1" ht="15.75" customHeight="1" x14ac:dyDescent="0.15">
      <c r="A4352" s="2"/>
    </row>
    <row r="4353" spans="1:1" ht="15.75" customHeight="1" x14ac:dyDescent="0.15">
      <c r="A4353" s="2"/>
    </row>
    <row r="4354" spans="1:1" ht="15.75" customHeight="1" x14ac:dyDescent="0.15">
      <c r="A4354" s="2"/>
    </row>
    <row r="4355" spans="1:1" ht="15.75" customHeight="1" x14ac:dyDescent="0.15">
      <c r="A4355" s="2"/>
    </row>
    <row r="4356" spans="1:1" ht="15.75" customHeight="1" x14ac:dyDescent="0.15">
      <c r="A4356" s="2"/>
    </row>
    <row r="4357" spans="1:1" ht="15.75" customHeight="1" x14ac:dyDescent="0.15">
      <c r="A4357" s="2"/>
    </row>
    <row r="4358" spans="1:1" ht="15.75" customHeight="1" x14ac:dyDescent="0.15">
      <c r="A4358" s="2"/>
    </row>
    <row r="4359" spans="1:1" ht="15.75" customHeight="1" x14ac:dyDescent="0.15">
      <c r="A4359" s="2"/>
    </row>
    <row r="4360" spans="1:1" ht="15.75" customHeight="1" x14ac:dyDescent="0.15">
      <c r="A4360" s="2"/>
    </row>
    <row r="4361" spans="1:1" ht="15.75" customHeight="1" x14ac:dyDescent="0.15">
      <c r="A4361" s="2"/>
    </row>
    <row r="4362" spans="1:1" ht="15.75" customHeight="1" x14ac:dyDescent="0.15">
      <c r="A4362" s="2"/>
    </row>
    <row r="4363" spans="1:1" ht="15.75" customHeight="1" x14ac:dyDescent="0.15">
      <c r="A4363" s="2"/>
    </row>
    <row r="4364" spans="1:1" ht="15.75" customHeight="1" x14ac:dyDescent="0.15">
      <c r="A4364" s="2"/>
    </row>
    <row r="4365" spans="1:1" ht="15.75" customHeight="1" x14ac:dyDescent="0.15">
      <c r="A4365" s="2"/>
    </row>
    <row r="4366" spans="1:1" ht="15.75" customHeight="1" x14ac:dyDescent="0.15">
      <c r="A4366" s="2"/>
    </row>
    <row r="4367" spans="1:1" ht="15.75" customHeight="1" x14ac:dyDescent="0.15">
      <c r="A4367" s="2"/>
    </row>
    <row r="4368" spans="1:1" ht="15.75" customHeight="1" x14ac:dyDescent="0.15">
      <c r="A4368" s="2"/>
    </row>
    <row r="4369" spans="1:1" ht="15.75" customHeight="1" x14ac:dyDescent="0.15">
      <c r="A4369" s="2"/>
    </row>
    <row r="4370" spans="1:1" ht="15.75" customHeight="1" x14ac:dyDescent="0.15">
      <c r="A4370" s="2"/>
    </row>
    <row r="4371" spans="1:1" ht="15.75" customHeight="1" x14ac:dyDescent="0.15">
      <c r="A4371" s="2"/>
    </row>
    <row r="4372" spans="1:1" ht="15.75" customHeight="1" x14ac:dyDescent="0.15">
      <c r="A4372" s="2"/>
    </row>
    <row r="4373" spans="1:1" ht="15.75" customHeight="1" x14ac:dyDescent="0.15">
      <c r="A4373" s="2"/>
    </row>
    <row r="4374" spans="1:1" ht="15.75" customHeight="1" x14ac:dyDescent="0.15">
      <c r="A4374" s="2"/>
    </row>
    <row r="4375" spans="1:1" ht="15.75" customHeight="1" x14ac:dyDescent="0.15">
      <c r="A4375" s="2"/>
    </row>
    <row r="4376" spans="1:1" ht="15.75" customHeight="1" x14ac:dyDescent="0.15">
      <c r="A4376" s="2"/>
    </row>
    <row r="4377" spans="1:1" ht="15.75" customHeight="1" x14ac:dyDescent="0.15">
      <c r="A4377" s="2"/>
    </row>
    <row r="4378" spans="1:1" ht="15.75" customHeight="1" x14ac:dyDescent="0.15">
      <c r="A4378" s="2"/>
    </row>
    <row r="4379" spans="1:1" ht="15.75" customHeight="1" x14ac:dyDescent="0.15">
      <c r="A4379" s="2"/>
    </row>
    <row r="4380" spans="1:1" ht="15.75" customHeight="1" x14ac:dyDescent="0.15">
      <c r="A4380" s="2"/>
    </row>
    <row r="4381" spans="1:1" ht="15.75" customHeight="1" x14ac:dyDescent="0.15">
      <c r="A4381" s="2"/>
    </row>
    <row r="4382" spans="1:1" ht="15.75" customHeight="1" x14ac:dyDescent="0.15">
      <c r="A4382" s="2"/>
    </row>
    <row r="4383" spans="1:1" ht="15.75" customHeight="1" x14ac:dyDescent="0.15">
      <c r="A4383" s="2"/>
    </row>
    <row r="4384" spans="1:1" ht="15.75" customHeight="1" x14ac:dyDescent="0.15">
      <c r="A4384" s="2"/>
    </row>
    <row r="4385" spans="1:1" ht="15.75" customHeight="1" x14ac:dyDescent="0.15">
      <c r="A4385" s="2"/>
    </row>
    <row r="4386" spans="1:1" ht="15.75" customHeight="1" x14ac:dyDescent="0.15">
      <c r="A4386" s="2"/>
    </row>
    <row r="4387" spans="1:1" ht="15.75" customHeight="1" x14ac:dyDescent="0.15">
      <c r="A4387" s="2"/>
    </row>
    <row r="4388" spans="1:1" ht="15.75" customHeight="1" x14ac:dyDescent="0.15">
      <c r="A4388" s="2"/>
    </row>
    <row r="4389" spans="1:1" ht="15.75" customHeight="1" x14ac:dyDescent="0.15">
      <c r="A4389" s="2"/>
    </row>
    <row r="4390" spans="1:1" ht="15.75" customHeight="1" x14ac:dyDescent="0.15">
      <c r="A4390" s="2"/>
    </row>
    <row r="4391" spans="1:1" ht="15.75" customHeight="1" x14ac:dyDescent="0.15">
      <c r="A4391" s="2"/>
    </row>
    <row r="4392" spans="1:1" ht="15.75" customHeight="1" x14ac:dyDescent="0.15">
      <c r="A4392" s="2"/>
    </row>
    <row r="4393" spans="1:1" ht="15.75" customHeight="1" x14ac:dyDescent="0.15">
      <c r="A4393" s="2"/>
    </row>
    <row r="4394" spans="1:1" ht="15.75" customHeight="1" x14ac:dyDescent="0.15">
      <c r="A4394" s="2"/>
    </row>
    <row r="4395" spans="1:1" ht="15.75" customHeight="1" x14ac:dyDescent="0.15">
      <c r="A4395" s="2"/>
    </row>
    <row r="4396" spans="1:1" ht="15.75" customHeight="1" x14ac:dyDescent="0.15">
      <c r="A4396" s="2"/>
    </row>
    <row r="4397" spans="1:1" ht="15.75" customHeight="1" x14ac:dyDescent="0.15">
      <c r="A4397" s="2"/>
    </row>
    <row r="4398" spans="1:1" ht="15.75" customHeight="1" x14ac:dyDescent="0.15">
      <c r="A4398" s="2"/>
    </row>
    <row r="4399" spans="1:1" ht="15.75" customHeight="1" x14ac:dyDescent="0.15">
      <c r="A4399" s="2"/>
    </row>
    <row r="4400" spans="1:1" ht="15.75" customHeight="1" x14ac:dyDescent="0.15">
      <c r="A4400" s="2"/>
    </row>
    <row r="4401" spans="1:1" ht="15.75" customHeight="1" x14ac:dyDescent="0.15">
      <c r="A4401" s="2"/>
    </row>
    <row r="4402" spans="1:1" ht="15.75" customHeight="1" x14ac:dyDescent="0.15">
      <c r="A4402" s="2"/>
    </row>
    <row r="4403" spans="1:1" ht="15.75" customHeight="1" x14ac:dyDescent="0.15">
      <c r="A4403" s="2"/>
    </row>
    <row r="4404" spans="1:1" ht="15.75" customHeight="1" x14ac:dyDescent="0.15">
      <c r="A4404" s="2"/>
    </row>
    <row r="4405" spans="1:1" ht="15.75" customHeight="1" x14ac:dyDescent="0.15">
      <c r="A4405" s="2"/>
    </row>
    <row r="4406" spans="1:1" ht="15.75" customHeight="1" x14ac:dyDescent="0.15">
      <c r="A4406" s="2"/>
    </row>
    <row r="4407" spans="1:1" ht="15.75" customHeight="1" x14ac:dyDescent="0.15">
      <c r="A4407" s="2"/>
    </row>
    <row r="4408" spans="1:1" ht="15.75" customHeight="1" x14ac:dyDescent="0.15">
      <c r="A4408" s="2"/>
    </row>
    <row r="4409" spans="1:1" ht="15.75" customHeight="1" x14ac:dyDescent="0.15">
      <c r="A4409" s="2"/>
    </row>
    <row r="4410" spans="1:1" ht="15.75" customHeight="1" x14ac:dyDescent="0.15">
      <c r="A4410" s="2"/>
    </row>
    <row r="4411" spans="1:1" ht="15.75" customHeight="1" x14ac:dyDescent="0.15">
      <c r="A4411" s="2"/>
    </row>
    <row r="4412" spans="1:1" ht="15.75" customHeight="1" x14ac:dyDescent="0.15">
      <c r="A4412" s="2"/>
    </row>
    <row r="4413" spans="1:1" ht="15.75" customHeight="1" x14ac:dyDescent="0.15">
      <c r="A4413" s="2"/>
    </row>
    <row r="4414" spans="1:1" ht="15.75" customHeight="1" x14ac:dyDescent="0.15">
      <c r="A4414" s="2"/>
    </row>
    <row r="4415" spans="1:1" ht="15.75" customHeight="1" x14ac:dyDescent="0.15">
      <c r="A4415" s="2"/>
    </row>
    <row r="4416" spans="1:1" ht="15.75" customHeight="1" x14ac:dyDescent="0.15">
      <c r="A4416" s="2"/>
    </row>
    <row r="4417" spans="1:1" ht="15.75" customHeight="1" x14ac:dyDescent="0.15">
      <c r="A4417" s="2"/>
    </row>
    <row r="4418" spans="1:1" ht="15.75" customHeight="1" x14ac:dyDescent="0.15">
      <c r="A4418" s="2"/>
    </row>
    <row r="4419" spans="1:1" ht="15.75" customHeight="1" x14ac:dyDescent="0.15">
      <c r="A4419" s="2"/>
    </row>
    <row r="4420" spans="1:1" ht="15.75" customHeight="1" x14ac:dyDescent="0.15">
      <c r="A4420" s="2"/>
    </row>
    <row r="4421" spans="1:1" ht="15.75" customHeight="1" x14ac:dyDescent="0.15">
      <c r="A4421" s="2"/>
    </row>
    <row r="4422" spans="1:1" ht="15.75" customHeight="1" x14ac:dyDescent="0.15">
      <c r="A4422" s="2"/>
    </row>
    <row r="4423" spans="1:1" ht="15.75" customHeight="1" x14ac:dyDescent="0.15">
      <c r="A4423" s="2"/>
    </row>
    <row r="4424" spans="1:1" ht="15.75" customHeight="1" x14ac:dyDescent="0.15">
      <c r="A4424" s="2"/>
    </row>
    <row r="4425" spans="1:1" ht="15.75" customHeight="1" x14ac:dyDescent="0.15">
      <c r="A4425" s="2"/>
    </row>
    <row r="4426" spans="1:1" ht="15.75" customHeight="1" x14ac:dyDescent="0.15">
      <c r="A4426" s="2"/>
    </row>
    <row r="4427" spans="1:1" ht="15.75" customHeight="1" x14ac:dyDescent="0.15">
      <c r="A4427" s="2"/>
    </row>
    <row r="4428" spans="1:1" ht="15.75" customHeight="1" x14ac:dyDescent="0.15">
      <c r="A4428" s="2"/>
    </row>
    <row r="4429" spans="1:1" ht="15.75" customHeight="1" x14ac:dyDescent="0.15">
      <c r="A4429" s="2"/>
    </row>
    <row r="4430" spans="1:1" ht="15.75" customHeight="1" x14ac:dyDescent="0.15">
      <c r="A4430" s="2"/>
    </row>
    <row r="4431" spans="1:1" ht="15.75" customHeight="1" x14ac:dyDescent="0.15">
      <c r="A4431" s="2"/>
    </row>
    <row r="4432" spans="1:1" ht="15.75" customHeight="1" x14ac:dyDescent="0.15">
      <c r="A4432" s="2"/>
    </row>
    <row r="4433" spans="1:1" ht="15.75" customHeight="1" x14ac:dyDescent="0.15">
      <c r="A4433" s="2"/>
    </row>
    <row r="4434" spans="1:1" ht="15.75" customHeight="1" x14ac:dyDescent="0.15">
      <c r="A4434" s="2"/>
    </row>
    <row r="4435" spans="1:1" ht="15.75" customHeight="1" x14ac:dyDescent="0.15">
      <c r="A4435" s="2"/>
    </row>
    <row r="4436" spans="1:1" ht="15.75" customHeight="1" x14ac:dyDescent="0.15">
      <c r="A4436" s="2"/>
    </row>
    <row r="4437" spans="1:1" ht="15.75" customHeight="1" x14ac:dyDescent="0.15">
      <c r="A4437" s="2"/>
    </row>
    <row r="4438" spans="1:1" ht="15.75" customHeight="1" x14ac:dyDescent="0.15">
      <c r="A4438" s="2"/>
    </row>
    <row r="4439" spans="1:1" ht="15.75" customHeight="1" x14ac:dyDescent="0.15">
      <c r="A4439" s="2"/>
    </row>
    <row r="4440" spans="1:1" ht="15.75" customHeight="1" x14ac:dyDescent="0.15">
      <c r="A4440" s="2"/>
    </row>
    <row r="4441" spans="1:1" ht="15.75" customHeight="1" x14ac:dyDescent="0.15">
      <c r="A4441" s="2"/>
    </row>
    <row r="4442" spans="1:1" ht="15.75" customHeight="1" x14ac:dyDescent="0.15">
      <c r="A4442" s="2"/>
    </row>
    <row r="4443" spans="1:1" ht="15.75" customHeight="1" x14ac:dyDescent="0.15">
      <c r="A4443" s="2"/>
    </row>
    <row r="4444" spans="1:1" ht="15.75" customHeight="1" x14ac:dyDescent="0.15">
      <c r="A4444" s="2"/>
    </row>
    <row r="4445" spans="1:1" ht="15.75" customHeight="1" x14ac:dyDescent="0.15">
      <c r="A4445" s="2"/>
    </row>
    <row r="4446" spans="1:1" ht="15.75" customHeight="1" x14ac:dyDescent="0.15">
      <c r="A4446" s="2"/>
    </row>
    <row r="4447" spans="1:1" ht="15.75" customHeight="1" x14ac:dyDescent="0.15">
      <c r="A4447" s="2"/>
    </row>
    <row r="4448" spans="1:1" ht="15.75" customHeight="1" x14ac:dyDescent="0.15">
      <c r="A4448" s="2"/>
    </row>
    <row r="4449" spans="1:1" ht="15.75" customHeight="1" x14ac:dyDescent="0.15">
      <c r="A4449" s="2"/>
    </row>
    <row r="4450" spans="1:1" ht="15.75" customHeight="1" x14ac:dyDescent="0.15">
      <c r="A4450" s="2"/>
    </row>
    <row r="4451" spans="1:1" ht="15.75" customHeight="1" x14ac:dyDescent="0.15">
      <c r="A4451" s="2"/>
    </row>
    <row r="4452" spans="1:1" ht="15.75" customHeight="1" x14ac:dyDescent="0.15">
      <c r="A4452" s="2"/>
    </row>
    <row r="4453" spans="1:1" ht="15.75" customHeight="1" x14ac:dyDescent="0.15">
      <c r="A4453" s="2"/>
    </row>
    <row r="4454" spans="1:1" ht="15.75" customHeight="1" x14ac:dyDescent="0.15">
      <c r="A4454" s="2"/>
    </row>
    <row r="4455" spans="1:1" ht="15.75" customHeight="1" x14ac:dyDescent="0.15">
      <c r="A4455" s="2"/>
    </row>
    <row r="4456" spans="1:1" ht="15.75" customHeight="1" x14ac:dyDescent="0.15">
      <c r="A4456" s="2"/>
    </row>
    <row r="4457" spans="1:1" ht="15.75" customHeight="1" x14ac:dyDescent="0.15">
      <c r="A4457" s="2"/>
    </row>
    <row r="4458" spans="1:1" ht="15.75" customHeight="1" x14ac:dyDescent="0.15">
      <c r="A4458" s="2"/>
    </row>
    <row r="4459" spans="1:1" ht="15.75" customHeight="1" x14ac:dyDescent="0.15">
      <c r="A4459" s="2"/>
    </row>
    <row r="4460" spans="1:1" ht="15.75" customHeight="1" x14ac:dyDescent="0.15">
      <c r="A4460" s="2"/>
    </row>
    <row r="4461" spans="1:1" ht="15.75" customHeight="1" x14ac:dyDescent="0.15">
      <c r="A4461" s="2"/>
    </row>
    <row r="4462" spans="1:1" ht="15.75" customHeight="1" x14ac:dyDescent="0.15">
      <c r="A4462" s="2"/>
    </row>
    <row r="4463" spans="1:1" ht="15.75" customHeight="1" x14ac:dyDescent="0.15">
      <c r="A4463" s="2"/>
    </row>
    <row r="4464" spans="1:1" ht="15.75" customHeight="1" x14ac:dyDescent="0.15">
      <c r="A4464" s="2"/>
    </row>
    <row r="4465" spans="1:1" ht="15.75" customHeight="1" x14ac:dyDescent="0.15">
      <c r="A4465" s="2"/>
    </row>
    <row r="4466" spans="1:1" ht="15.75" customHeight="1" x14ac:dyDescent="0.15">
      <c r="A4466" s="2"/>
    </row>
    <row r="4467" spans="1:1" ht="15.75" customHeight="1" x14ac:dyDescent="0.15">
      <c r="A4467" s="2"/>
    </row>
    <row r="4468" spans="1:1" ht="15.75" customHeight="1" x14ac:dyDescent="0.15">
      <c r="A4468" s="2"/>
    </row>
    <row r="4469" spans="1:1" ht="15.75" customHeight="1" x14ac:dyDescent="0.15">
      <c r="A4469" s="2"/>
    </row>
    <row r="4470" spans="1:1" ht="15.75" customHeight="1" x14ac:dyDescent="0.15">
      <c r="A4470" s="2"/>
    </row>
    <row r="4471" spans="1:1" ht="15.75" customHeight="1" x14ac:dyDescent="0.15">
      <c r="A4471" s="2"/>
    </row>
    <row r="4472" spans="1:1" ht="15.75" customHeight="1" x14ac:dyDescent="0.15">
      <c r="A4472" s="2"/>
    </row>
    <row r="4473" spans="1:1" ht="15.75" customHeight="1" x14ac:dyDescent="0.15">
      <c r="A4473" s="2"/>
    </row>
    <row r="4474" spans="1:1" ht="15.75" customHeight="1" x14ac:dyDescent="0.15">
      <c r="A4474" s="2"/>
    </row>
    <row r="4475" spans="1:1" ht="15.75" customHeight="1" x14ac:dyDescent="0.15">
      <c r="A4475" s="2"/>
    </row>
    <row r="4476" spans="1:1" ht="15.75" customHeight="1" x14ac:dyDescent="0.15">
      <c r="A4476" s="2"/>
    </row>
    <row r="4477" spans="1:1" ht="15.75" customHeight="1" x14ac:dyDescent="0.15">
      <c r="A4477" s="2"/>
    </row>
    <row r="4478" spans="1:1" ht="15.75" customHeight="1" x14ac:dyDescent="0.15">
      <c r="A4478" s="2"/>
    </row>
    <row r="4479" spans="1:1" ht="15.75" customHeight="1" x14ac:dyDescent="0.15">
      <c r="A4479" s="2"/>
    </row>
    <row r="4480" spans="1:1" ht="15.75" customHeight="1" x14ac:dyDescent="0.15">
      <c r="A4480" s="2"/>
    </row>
    <row r="4481" spans="1:1" ht="15.75" customHeight="1" x14ac:dyDescent="0.15">
      <c r="A4481" s="2"/>
    </row>
    <row r="4482" spans="1:1" ht="15.75" customHeight="1" x14ac:dyDescent="0.15">
      <c r="A4482" s="2"/>
    </row>
    <row r="4483" spans="1:1" ht="15.75" customHeight="1" x14ac:dyDescent="0.15">
      <c r="A4483" s="2"/>
    </row>
    <row r="4484" spans="1:1" ht="15.75" customHeight="1" x14ac:dyDescent="0.15">
      <c r="A4484" s="2"/>
    </row>
    <row r="4485" spans="1:1" ht="15.75" customHeight="1" x14ac:dyDescent="0.15">
      <c r="A4485" s="2"/>
    </row>
    <row r="4486" spans="1:1" ht="15.75" customHeight="1" x14ac:dyDescent="0.15">
      <c r="A4486" s="2"/>
    </row>
    <row r="4487" spans="1:1" ht="15.75" customHeight="1" x14ac:dyDescent="0.15">
      <c r="A4487" s="2"/>
    </row>
    <row r="4488" spans="1:1" ht="15.75" customHeight="1" x14ac:dyDescent="0.15">
      <c r="A4488" s="2"/>
    </row>
    <row r="4489" spans="1:1" ht="15.75" customHeight="1" x14ac:dyDescent="0.15">
      <c r="A4489" s="2"/>
    </row>
    <row r="4490" spans="1:1" ht="15.75" customHeight="1" x14ac:dyDescent="0.15">
      <c r="A4490" s="2"/>
    </row>
    <row r="4491" spans="1:1" ht="15.75" customHeight="1" x14ac:dyDescent="0.15">
      <c r="A4491" s="2"/>
    </row>
    <row r="4492" spans="1:1" ht="15.75" customHeight="1" x14ac:dyDescent="0.15">
      <c r="A4492" s="2"/>
    </row>
    <row r="4493" spans="1:1" ht="15.75" customHeight="1" x14ac:dyDescent="0.15">
      <c r="A4493" s="2"/>
    </row>
    <row r="4494" spans="1:1" ht="15.75" customHeight="1" x14ac:dyDescent="0.15">
      <c r="A4494" s="2"/>
    </row>
    <row r="4495" spans="1:1" ht="15.75" customHeight="1" x14ac:dyDescent="0.15">
      <c r="A4495" s="2"/>
    </row>
    <row r="4496" spans="1:1" ht="15.75" customHeight="1" x14ac:dyDescent="0.15">
      <c r="A4496" s="2"/>
    </row>
    <row r="4497" spans="1:1" ht="15.75" customHeight="1" x14ac:dyDescent="0.15">
      <c r="A4497" s="2"/>
    </row>
    <row r="4498" spans="1:1" ht="15.75" customHeight="1" x14ac:dyDescent="0.15">
      <c r="A4498" s="2"/>
    </row>
    <row r="4499" spans="1:1" ht="15.75" customHeight="1" x14ac:dyDescent="0.15">
      <c r="A4499" s="2"/>
    </row>
    <row r="4500" spans="1:1" ht="15.75" customHeight="1" x14ac:dyDescent="0.15">
      <c r="A4500" s="2"/>
    </row>
    <row r="4501" spans="1:1" ht="15.75" customHeight="1" x14ac:dyDescent="0.15">
      <c r="A4501" s="2"/>
    </row>
    <row r="4502" spans="1:1" ht="15.75" customHeight="1" x14ac:dyDescent="0.15">
      <c r="A4502" s="2"/>
    </row>
    <row r="4503" spans="1:1" ht="15.75" customHeight="1" x14ac:dyDescent="0.15">
      <c r="A4503" s="2"/>
    </row>
    <row r="4504" spans="1:1" ht="15.75" customHeight="1" x14ac:dyDescent="0.15">
      <c r="A4504" s="2"/>
    </row>
    <row r="4505" spans="1:1" ht="15.75" customHeight="1" x14ac:dyDescent="0.15">
      <c r="A4505" s="2"/>
    </row>
    <row r="4506" spans="1:1" ht="15.75" customHeight="1" x14ac:dyDescent="0.15">
      <c r="A4506" s="2"/>
    </row>
    <row r="4507" spans="1:1" ht="15.75" customHeight="1" x14ac:dyDescent="0.15">
      <c r="A4507" s="2"/>
    </row>
    <row r="4508" spans="1:1" ht="15.75" customHeight="1" x14ac:dyDescent="0.15">
      <c r="A4508" s="2"/>
    </row>
    <row r="4509" spans="1:1" ht="15.75" customHeight="1" x14ac:dyDescent="0.15">
      <c r="A4509" s="2"/>
    </row>
    <row r="4510" spans="1:1" ht="15.75" customHeight="1" x14ac:dyDescent="0.15">
      <c r="A4510" s="2"/>
    </row>
    <row r="4511" spans="1:1" ht="15.75" customHeight="1" x14ac:dyDescent="0.15">
      <c r="A4511" s="2"/>
    </row>
    <row r="4512" spans="1:1" ht="15.75" customHeight="1" x14ac:dyDescent="0.15">
      <c r="A4512" s="2"/>
    </row>
    <row r="4513" spans="1:1" ht="15.75" customHeight="1" x14ac:dyDescent="0.15">
      <c r="A4513" s="2"/>
    </row>
    <row r="4514" spans="1:1" ht="15.75" customHeight="1" x14ac:dyDescent="0.15">
      <c r="A4514" s="2"/>
    </row>
    <row r="4515" spans="1:1" ht="15.75" customHeight="1" x14ac:dyDescent="0.15">
      <c r="A4515" s="2"/>
    </row>
    <row r="4516" spans="1:1" ht="15.75" customHeight="1" x14ac:dyDescent="0.15">
      <c r="A4516" s="2"/>
    </row>
    <row r="4517" spans="1:1" ht="15.75" customHeight="1" x14ac:dyDescent="0.15">
      <c r="A4517" s="2"/>
    </row>
    <row r="4518" spans="1:1" ht="15.75" customHeight="1" x14ac:dyDescent="0.15">
      <c r="A4518" s="2"/>
    </row>
    <row r="4519" spans="1:1" ht="15.75" customHeight="1" x14ac:dyDescent="0.15">
      <c r="A4519" s="2"/>
    </row>
    <row r="4520" spans="1:1" ht="15.75" customHeight="1" x14ac:dyDescent="0.15">
      <c r="A4520" s="2"/>
    </row>
    <row r="4521" spans="1:1" ht="15.75" customHeight="1" x14ac:dyDescent="0.15">
      <c r="A4521" s="2"/>
    </row>
    <row r="4522" spans="1:1" ht="15.75" customHeight="1" x14ac:dyDescent="0.15">
      <c r="A4522" s="2"/>
    </row>
    <row r="4523" spans="1:1" ht="15.75" customHeight="1" x14ac:dyDescent="0.15">
      <c r="A4523" s="2"/>
    </row>
    <row r="4524" spans="1:1" ht="15.75" customHeight="1" x14ac:dyDescent="0.15">
      <c r="A4524" s="2"/>
    </row>
    <row r="4525" spans="1:1" ht="15.75" customHeight="1" x14ac:dyDescent="0.15">
      <c r="A4525" s="2"/>
    </row>
    <row r="4526" spans="1:1" ht="15.75" customHeight="1" x14ac:dyDescent="0.15">
      <c r="A4526" s="2"/>
    </row>
    <row r="4527" spans="1:1" ht="15.75" customHeight="1" x14ac:dyDescent="0.15">
      <c r="A4527" s="2"/>
    </row>
    <row r="4528" spans="1:1" ht="15.75" customHeight="1" x14ac:dyDescent="0.15">
      <c r="A4528" s="2"/>
    </row>
    <row r="4529" spans="1:1" ht="15.75" customHeight="1" x14ac:dyDescent="0.15">
      <c r="A4529" s="2"/>
    </row>
    <row r="4530" spans="1:1" ht="15.75" customHeight="1" x14ac:dyDescent="0.15">
      <c r="A4530" s="2"/>
    </row>
    <row r="4531" spans="1:1" ht="15.75" customHeight="1" x14ac:dyDescent="0.15">
      <c r="A4531" s="2"/>
    </row>
    <row r="4532" spans="1:1" ht="15.75" customHeight="1" x14ac:dyDescent="0.15">
      <c r="A4532" s="2"/>
    </row>
    <row r="4533" spans="1:1" ht="15.75" customHeight="1" x14ac:dyDescent="0.15">
      <c r="A4533" s="2"/>
    </row>
    <row r="4534" spans="1:1" ht="15.75" customHeight="1" x14ac:dyDescent="0.15">
      <c r="A4534" s="2"/>
    </row>
    <row r="4535" spans="1:1" ht="15.75" customHeight="1" x14ac:dyDescent="0.15">
      <c r="A4535" s="2"/>
    </row>
    <row r="4536" spans="1:1" ht="15.75" customHeight="1" x14ac:dyDescent="0.15">
      <c r="A4536" s="2"/>
    </row>
    <row r="4537" spans="1:1" ht="15.75" customHeight="1" x14ac:dyDescent="0.15">
      <c r="A4537" s="2"/>
    </row>
    <row r="4538" spans="1:1" ht="15.75" customHeight="1" x14ac:dyDescent="0.15">
      <c r="A4538" s="2"/>
    </row>
    <row r="4539" spans="1:1" ht="15.75" customHeight="1" x14ac:dyDescent="0.15">
      <c r="A4539" s="2"/>
    </row>
    <row r="4540" spans="1:1" ht="15.75" customHeight="1" x14ac:dyDescent="0.15">
      <c r="A4540" s="2"/>
    </row>
    <row r="4541" spans="1:1" ht="15.75" customHeight="1" x14ac:dyDescent="0.15">
      <c r="A4541" s="2"/>
    </row>
    <row r="4542" spans="1:1" ht="15.75" customHeight="1" x14ac:dyDescent="0.15">
      <c r="A4542" s="2"/>
    </row>
    <row r="4543" spans="1:1" ht="15.75" customHeight="1" x14ac:dyDescent="0.15">
      <c r="A4543" s="2"/>
    </row>
    <row r="4544" spans="1:1" ht="15.75" customHeight="1" x14ac:dyDescent="0.15">
      <c r="A4544" s="2"/>
    </row>
    <row r="4545" spans="1:1" ht="15.75" customHeight="1" x14ac:dyDescent="0.15">
      <c r="A4545" s="2"/>
    </row>
    <row r="4546" spans="1:1" ht="15.75" customHeight="1" x14ac:dyDescent="0.15">
      <c r="A4546" s="2"/>
    </row>
    <row r="4547" spans="1:1" ht="15.75" customHeight="1" x14ac:dyDescent="0.15">
      <c r="A4547" s="2"/>
    </row>
    <row r="4548" spans="1:1" ht="15.75" customHeight="1" x14ac:dyDescent="0.15">
      <c r="A4548" s="2"/>
    </row>
    <row r="4549" spans="1:1" ht="15.75" customHeight="1" x14ac:dyDescent="0.15">
      <c r="A4549" s="2"/>
    </row>
    <row r="4550" spans="1:1" ht="15.75" customHeight="1" x14ac:dyDescent="0.15">
      <c r="A4550" s="2"/>
    </row>
    <row r="4551" spans="1:1" ht="15.75" customHeight="1" x14ac:dyDescent="0.15">
      <c r="A4551" s="2"/>
    </row>
    <row r="4552" spans="1:1" ht="15.75" customHeight="1" x14ac:dyDescent="0.15">
      <c r="A4552" s="2"/>
    </row>
    <row r="4553" spans="1:1" ht="15.75" customHeight="1" x14ac:dyDescent="0.15">
      <c r="A4553" s="2"/>
    </row>
    <row r="4554" spans="1:1" ht="15.75" customHeight="1" x14ac:dyDescent="0.15">
      <c r="A4554" s="2"/>
    </row>
    <row r="4555" spans="1:1" ht="15.75" customHeight="1" x14ac:dyDescent="0.15">
      <c r="A4555" s="2"/>
    </row>
    <row r="4556" spans="1:1" ht="15.75" customHeight="1" x14ac:dyDescent="0.15">
      <c r="A4556" s="2"/>
    </row>
    <row r="4557" spans="1:1" ht="15.75" customHeight="1" x14ac:dyDescent="0.15">
      <c r="A4557" s="2"/>
    </row>
    <row r="4558" spans="1:1" ht="15.75" customHeight="1" x14ac:dyDescent="0.15">
      <c r="A4558" s="2"/>
    </row>
    <row r="4559" spans="1:1" ht="15.75" customHeight="1" x14ac:dyDescent="0.15">
      <c r="A4559" s="2"/>
    </row>
    <row r="4560" spans="1:1" ht="15.75" customHeight="1" x14ac:dyDescent="0.15">
      <c r="A4560" s="2"/>
    </row>
    <row r="4561" spans="1:1" ht="15.75" customHeight="1" x14ac:dyDescent="0.15">
      <c r="A4561" s="2"/>
    </row>
    <row r="4562" spans="1:1" ht="15.75" customHeight="1" x14ac:dyDescent="0.15">
      <c r="A4562" s="2"/>
    </row>
    <row r="4563" spans="1:1" ht="15.75" customHeight="1" x14ac:dyDescent="0.15">
      <c r="A4563" s="2"/>
    </row>
    <row r="4564" spans="1:1" ht="15.75" customHeight="1" x14ac:dyDescent="0.15">
      <c r="A4564" s="2"/>
    </row>
    <row r="4565" spans="1:1" ht="15.75" customHeight="1" x14ac:dyDescent="0.15">
      <c r="A4565" s="2"/>
    </row>
    <row r="4566" spans="1:1" ht="15.75" customHeight="1" x14ac:dyDescent="0.15">
      <c r="A4566" s="2"/>
    </row>
    <row r="4567" spans="1:1" ht="15.75" customHeight="1" x14ac:dyDescent="0.15">
      <c r="A4567" s="2"/>
    </row>
    <row r="4568" spans="1:1" ht="15.75" customHeight="1" x14ac:dyDescent="0.15">
      <c r="A4568" s="2"/>
    </row>
    <row r="4569" spans="1:1" ht="15.75" customHeight="1" x14ac:dyDescent="0.15">
      <c r="A4569" s="2"/>
    </row>
    <row r="4570" spans="1:1" ht="15.75" customHeight="1" x14ac:dyDescent="0.15">
      <c r="A4570" s="2"/>
    </row>
    <row r="4571" spans="1:1" ht="15.75" customHeight="1" x14ac:dyDescent="0.15">
      <c r="A4571" s="2"/>
    </row>
    <row r="4572" spans="1:1" ht="15.75" customHeight="1" x14ac:dyDescent="0.15">
      <c r="A4572" s="2"/>
    </row>
    <row r="4573" spans="1:1" ht="15.75" customHeight="1" x14ac:dyDescent="0.15">
      <c r="A4573" s="2"/>
    </row>
    <row r="4574" spans="1:1" ht="15.75" customHeight="1" x14ac:dyDescent="0.15">
      <c r="A4574" s="2"/>
    </row>
    <row r="4575" spans="1:1" ht="15.75" customHeight="1" x14ac:dyDescent="0.15">
      <c r="A4575" s="2"/>
    </row>
    <row r="4576" spans="1:1" ht="15.75" customHeight="1" x14ac:dyDescent="0.15">
      <c r="A4576" s="2"/>
    </row>
    <row r="4577" spans="1:1" ht="15.75" customHeight="1" x14ac:dyDescent="0.15">
      <c r="A4577" s="2"/>
    </row>
    <row r="4578" spans="1:1" ht="15.75" customHeight="1" x14ac:dyDescent="0.15">
      <c r="A4578" s="2"/>
    </row>
    <row r="4579" spans="1:1" ht="15.75" customHeight="1" x14ac:dyDescent="0.15">
      <c r="A4579" s="2"/>
    </row>
    <row r="4580" spans="1:1" ht="15.75" customHeight="1" x14ac:dyDescent="0.15">
      <c r="A4580" s="2"/>
    </row>
    <row r="4581" spans="1:1" ht="15.75" customHeight="1" x14ac:dyDescent="0.15">
      <c r="A4581" s="2"/>
    </row>
    <row r="4582" spans="1:1" ht="15.75" customHeight="1" x14ac:dyDescent="0.15">
      <c r="A4582" s="2"/>
    </row>
    <row r="4583" spans="1:1" ht="15.75" customHeight="1" x14ac:dyDescent="0.15">
      <c r="A4583" s="2"/>
    </row>
    <row r="4584" spans="1:1" ht="15.75" customHeight="1" x14ac:dyDescent="0.15">
      <c r="A4584" s="2"/>
    </row>
    <row r="4585" spans="1:1" ht="15.75" customHeight="1" x14ac:dyDescent="0.15">
      <c r="A4585" s="2"/>
    </row>
    <row r="4586" spans="1:1" ht="15.75" customHeight="1" x14ac:dyDescent="0.15">
      <c r="A4586" s="2"/>
    </row>
    <row r="4587" spans="1:1" ht="15.75" customHeight="1" x14ac:dyDescent="0.15">
      <c r="A4587" s="2"/>
    </row>
    <row r="4588" spans="1:1" ht="15.75" customHeight="1" x14ac:dyDescent="0.15">
      <c r="A4588" s="2"/>
    </row>
    <row r="4589" spans="1:1" ht="15.75" customHeight="1" x14ac:dyDescent="0.15">
      <c r="A4589" s="2"/>
    </row>
    <row r="4590" spans="1:1" ht="15.75" customHeight="1" x14ac:dyDescent="0.15">
      <c r="A4590" s="2"/>
    </row>
    <row r="4591" spans="1:1" ht="15.75" customHeight="1" x14ac:dyDescent="0.15">
      <c r="A4591" s="2"/>
    </row>
    <row r="4592" spans="1:1" ht="15.75" customHeight="1" x14ac:dyDescent="0.15">
      <c r="A4592" s="2"/>
    </row>
    <row r="4593" spans="1:1" ht="15.75" customHeight="1" x14ac:dyDescent="0.15">
      <c r="A4593" s="2"/>
    </row>
    <row r="4594" spans="1:1" ht="15.75" customHeight="1" x14ac:dyDescent="0.15">
      <c r="A4594" s="2"/>
    </row>
    <row r="4595" spans="1:1" ht="15.75" customHeight="1" x14ac:dyDescent="0.15">
      <c r="A4595" s="2"/>
    </row>
    <row r="4596" spans="1:1" ht="15.75" customHeight="1" x14ac:dyDescent="0.15">
      <c r="A4596" s="2"/>
    </row>
    <row r="4597" spans="1:1" ht="15.75" customHeight="1" x14ac:dyDescent="0.15">
      <c r="A4597" s="2"/>
    </row>
    <row r="4598" spans="1:1" ht="15.75" customHeight="1" x14ac:dyDescent="0.15">
      <c r="A4598" s="2"/>
    </row>
    <row r="4599" spans="1:1" ht="15.75" customHeight="1" x14ac:dyDescent="0.15">
      <c r="A4599" s="2"/>
    </row>
    <row r="4600" spans="1:1" ht="15.75" customHeight="1" x14ac:dyDescent="0.15">
      <c r="A4600" s="2"/>
    </row>
    <row r="4601" spans="1:1" ht="15.75" customHeight="1" x14ac:dyDescent="0.15">
      <c r="A4601" s="2"/>
    </row>
    <row r="4602" spans="1:1" ht="15.75" customHeight="1" x14ac:dyDescent="0.15">
      <c r="A4602" s="2"/>
    </row>
    <row r="4603" spans="1:1" ht="15.75" customHeight="1" x14ac:dyDescent="0.15">
      <c r="A4603" s="2"/>
    </row>
    <row r="4604" spans="1:1" ht="15.75" customHeight="1" x14ac:dyDescent="0.15">
      <c r="A4604" s="2"/>
    </row>
    <row r="4605" spans="1:1" ht="15.75" customHeight="1" x14ac:dyDescent="0.15">
      <c r="A4605" s="2"/>
    </row>
    <row r="4606" spans="1:1" ht="15.75" customHeight="1" x14ac:dyDescent="0.15">
      <c r="A4606" s="2"/>
    </row>
    <row r="4607" spans="1:1" ht="15.75" customHeight="1" x14ac:dyDescent="0.15">
      <c r="A4607" s="2"/>
    </row>
    <row r="4608" spans="1:1" ht="15.75" customHeight="1" x14ac:dyDescent="0.15">
      <c r="A4608" s="2"/>
    </row>
    <row r="4609" spans="1:1" ht="15.75" customHeight="1" x14ac:dyDescent="0.15">
      <c r="A4609" s="2"/>
    </row>
    <row r="4610" spans="1:1" ht="15.75" customHeight="1" x14ac:dyDescent="0.15">
      <c r="A4610" s="2"/>
    </row>
    <row r="4611" spans="1:1" ht="15.75" customHeight="1" x14ac:dyDescent="0.15">
      <c r="A4611" s="2"/>
    </row>
    <row r="4612" spans="1:1" ht="15.75" customHeight="1" x14ac:dyDescent="0.15">
      <c r="A4612" s="2"/>
    </row>
    <row r="4613" spans="1:1" ht="15.75" customHeight="1" x14ac:dyDescent="0.15">
      <c r="A4613" s="2"/>
    </row>
    <row r="4614" spans="1:1" ht="15.75" customHeight="1" x14ac:dyDescent="0.15">
      <c r="A4614" s="2"/>
    </row>
    <row r="4615" spans="1:1" ht="15.75" customHeight="1" x14ac:dyDescent="0.15">
      <c r="A4615" s="2"/>
    </row>
    <row r="4616" spans="1:1" ht="15.75" customHeight="1" x14ac:dyDescent="0.15">
      <c r="A4616" s="2"/>
    </row>
    <row r="4617" spans="1:1" ht="15.75" customHeight="1" x14ac:dyDescent="0.15">
      <c r="A4617" s="2"/>
    </row>
    <row r="4618" spans="1:1" ht="15.75" customHeight="1" x14ac:dyDescent="0.15">
      <c r="A4618" s="2"/>
    </row>
    <row r="4619" spans="1:1" ht="15.75" customHeight="1" x14ac:dyDescent="0.15">
      <c r="A4619" s="2"/>
    </row>
    <row r="4620" spans="1:1" ht="15.75" customHeight="1" x14ac:dyDescent="0.15">
      <c r="A4620" s="2"/>
    </row>
    <row r="4621" spans="1:1" ht="15.75" customHeight="1" x14ac:dyDescent="0.15">
      <c r="A4621" s="2"/>
    </row>
    <row r="4622" spans="1:1" ht="15.75" customHeight="1" x14ac:dyDescent="0.15">
      <c r="A4622" s="2"/>
    </row>
    <row r="4623" spans="1:1" ht="15.75" customHeight="1" x14ac:dyDescent="0.15">
      <c r="A4623" s="2"/>
    </row>
    <row r="4624" spans="1:1" ht="15.75" customHeight="1" x14ac:dyDescent="0.15">
      <c r="A4624" s="2"/>
    </row>
    <row r="4625" spans="1:1" ht="15.75" customHeight="1" x14ac:dyDescent="0.15">
      <c r="A4625" s="2"/>
    </row>
    <row r="4626" spans="1:1" ht="15.75" customHeight="1" x14ac:dyDescent="0.15">
      <c r="A4626" s="2"/>
    </row>
    <row r="4627" spans="1:1" ht="15.75" customHeight="1" x14ac:dyDescent="0.15">
      <c r="A4627" s="2"/>
    </row>
    <row r="4628" spans="1:1" ht="15.75" customHeight="1" x14ac:dyDescent="0.15">
      <c r="A4628" s="2"/>
    </row>
    <row r="4629" spans="1:1" ht="15.75" customHeight="1" x14ac:dyDescent="0.15">
      <c r="A4629" s="2"/>
    </row>
    <row r="4630" spans="1:1" ht="15.75" customHeight="1" x14ac:dyDescent="0.15">
      <c r="A4630" s="2"/>
    </row>
    <row r="4631" spans="1:1" ht="15.75" customHeight="1" x14ac:dyDescent="0.15">
      <c r="A4631" s="2"/>
    </row>
    <row r="4632" spans="1:1" ht="15.75" customHeight="1" x14ac:dyDescent="0.15">
      <c r="A4632" s="2"/>
    </row>
    <row r="4633" spans="1:1" ht="15.75" customHeight="1" x14ac:dyDescent="0.15">
      <c r="A4633" s="2"/>
    </row>
    <row r="4634" spans="1:1" ht="15.75" customHeight="1" x14ac:dyDescent="0.15">
      <c r="A4634" s="2"/>
    </row>
    <row r="4635" spans="1:1" ht="15.75" customHeight="1" x14ac:dyDescent="0.15">
      <c r="A4635" s="2"/>
    </row>
    <row r="4636" spans="1:1" ht="15.75" customHeight="1" x14ac:dyDescent="0.15">
      <c r="A4636" s="2"/>
    </row>
    <row r="4637" spans="1:1" ht="15.75" customHeight="1" x14ac:dyDescent="0.15">
      <c r="A4637" s="2"/>
    </row>
    <row r="4638" spans="1:1" ht="15.75" customHeight="1" x14ac:dyDescent="0.15">
      <c r="A4638" s="2"/>
    </row>
    <row r="4639" spans="1:1" ht="15.75" customHeight="1" x14ac:dyDescent="0.15">
      <c r="A4639" s="2"/>
    </row>
    <row r="4640" spans="1:1" ht="15.75" customHeight="1" x14ac:dyDescent="0.15">
      <c r="A4640" s="2"/>
    </row>
    <row r="4641" spans="1:1" ht="15.75" customHeight="1" x14ac:dyDescent="0.15">
      <c r="A4641" s="2"/>
    </row>
    <row r="4642" spans="1:1" ht="15.75" customHeight="1" x14ac:dyDescent="0.15">
      <c r="A4642" s="2"/>
    </row>
    <row r="4643" spans="1:1" ht="15.75" customHeight="1" x14ac:dyDescent="0.15">
      <c r="A4643" s="2"/>
    </row>
    <row r="4644" spans="1:1" ht="15.75" customHeight="1" x14ac:dyDescent="0.15">
      <c r="A4644" s="2"/>
    </row>
    <row r="4645" spans="1:1" ht="15.75" customHeight="1" x14ac:dyDescent="0.15">
      <c r="A4645" s="2"/>
    </row>
    <row r="4646" spans="1:1" ht="15.75" customHeight="1" x14ac:dyDescent="0.15">
      <c r="A4646" s="2"/>
    </row>
    <row r="4647" spans="1:1" ht="15.75" customHeight="1" x14ac:dyDescent="0.15">
      <c r="A4647" s="2"/>
    </row>
    <row r="4648" spans="1:1" ht="15.75" customHeight="1" x14ac:dyDescent="0.15">
      <c r="A4648" s="2"/>
    </row>
    <row r="4649" spans="1:1" ht="15.75" customHeight="1" x14ac:dyDescent="0.15">
      <c r="A4649" s="2"/>
    </row>
    <row r="4650" spans="1:1" ht="15.75" customHeight="1" x14ac:dyDescent="0.15">
      <c r="A4650" s="2"/>
    </row>
    <row r="4651" spans="1:1" ht="15.75" customHeight="1" x14ac:dyDescent="0.15">
      <c r="A4651" s="2"/>
    </row>
    <row r="4652" spans="1:1" ht="15.75" customHeight="1" x14ac:dyDescent="0.15">
      <c r="A4652" s="2"/>
    </row>
    <row r="4653" spans="1:1" ht="15.75" customHeight="1" x14ac:dyDescent="0.15">
      <c r="A4653" s="2"/>
    </row>
    <row r="4654" spans="1:1" ht="15.75" customHeight="1" x14ac:dyDescent="0.15">
      <c r="A4654" s="2"/>
    </row>
    <row r="4655" spans="1:1" ht="15.75" customHeight="1" x14ac:dyDescent="0.15">
      <c r="A4655" s="2"/>
    </row>
    <row r="4656" spans="1:1" ht="15.75" customHeight="1" x14ac:dyDescent="0.15">
      <c r="A4656" s="2"/>
    </row>
    <row r="4657" spans="1:1" ht="15.75" customHeight="1" x14ac:dyDescent="0.15">
      <c r="A4657" s="2"/>
    </row>
    <row r="4658" spans="1:1" ht="15.75" customHeight="1" x14ac:dyDescent="0.15">
      <c r="A4658" s="2"/>
    </row>
    <row r="4659" spans="1:1" ht="15.75" customHeight="1" x14ac:dyDescent="0.15">
      <c r="A4659" s="2"/>
    </row>
    <row r="4660" spans="1:1" ht="15.75" customHeight="1" x14ac:dyDescent="0.15">
      <c r="A4660" s="2"/>
    </row>
    <row r="4661" spans="1:1" ht="15.75" customHeight="1" x14ac:dyDescent="0.15">
      <c r="A4661" s="2"/>
    </row>
    <row r="4662" spans="1:1" ht="15.75" customHeight="1" x14ac:dyDescent="0.15">
      <c r="A4662" s="2"/>
    </row>
    <row r="4663" spans="1:1" ht="15.75" customHeight="1" x14ac:dyDescent="0.15">
      <c r="A4663" s="2"/>
    </row>
    <row r="4664" spans="1:1" ht="15.75" customHeight="1" x14ac:dyDescent="0.15">
      <c r="A4664" s="2"/>
    </row>
    <row r="4665" spans="1:1" ht="15.75" customHeight="1" x14ac:dyDescent="0.15">
      <c r="A4665" s="2"/>
    </row>
    <row r="4666" spans="1:1" ht="15.75" customHeight="1" x14ac:dyDescent="0.15">
      <c r="A4666" s="2"/>
    </row>
    <row r="4667" spans="1:1" ht="15.75" customHeight="1" x14ac:dyDescent="0.15">
      <c r="A4667" s="2"/>
    </row>
    <row r="4668" spans="1:1" ht="15.75" customHeight="1" x14ac:dyDescent="0.15">
      <c r="A4668" s="2"/>
    </row>
    <row r="4669" spans="1:1" ht="15.75" customHeight="1" x14ac:dyDescent="0.15">
      <c r="A4669" s="2"/>
    </row>
    <row r="4670" spans="1:1" ht="15.75" customHeight="1" x14ac:dyDescent="0.15">
      <c r="A4670" s="2"/>
    </row>
    <row r="4671" spans="1:1" ht="15.75" customHeight="1" x14ac:dyDescent="0.15">
      <c r="A4671" s="2"/>
    </row>
    <row r="4672" spans="1:1" ht="15.75" customHeight="1" x14ac:dyDescent="0.15">
      <c r="A4672" s="2"/>
    </row>
    <row r="4673" spans="1:1" ht="15.75" customHeight="1" x14ac:dyDescent="0.15">
      <c r="A4673" s="2"/>
    </row>
    <row r="4674" spans="1:1" ht="15.75" customHeight="1" x14ac:dyDescent="0.15">
      <c r="A4674" s="2"/>
    </row>
    <row r="4675" spans="1:1" ht="15.75" customHeight="1" x14ac:dyDescent="0.15">
      <c r="A4675" s="2"/>
    </row>
    <row r="4676" spans="1:1" ht="15.75" customHeight="1" x14ac:dyDescent="0.15">
      <c r="A4676" s="2"/>
    </row>
    <row r="4677" spans="1:1" ht="15.75" customHeight="1" x14ac:dyDescent="0.15">
      <c r="A4677" s="2"/>
    </row>
    <row r="4678" spans="1:1" ht="15.75" customHeight="1" x14ac:dyDescent="0.15">
      <c r="A4678" s="2"/>
    </row>
    <row r="4679" spans="1:1" ht="15.75" customHeight="1" x14ac:dyDescent="0.15">
      <c r="A4679" s="2"/>
    </row>
    <row r="4680" spans="1:1" ht="15.75" customHeight="1" x14ac:dyDescent="0.15">
      <c r="A4680" s="2"/>
    </row>
    <row r="4681" spans="1:1" ht="15.75" customHeight="1" x14ac:dyDescent="0.15">
      <c r="A4681" s="2"/>
    </row>
    <row r="4682" spans="1:1" ht="15.75" customHeight="1" x14ac:dyDescent="0.15">
      <c r="A4682" s="2"/>
    </row>
    <row r="4683" spans="1:1" ht="15.75" customHeight="1" x14ac:dyDescent="0.15">
      <c r="A4683" s="2"/>
    </row>
    <row r="4684" spans="1:1" ht="15.75" customHeight="1" x14ac:dyDescent="0.15">
      <c r="A4684" s="2"/>
    </row>
    <row r="4685" spans="1:1" ht="15.75" customHeight="1" x14ac:dyDescent="0.15">
      <c r="A4685" s="2"/>
    </row>
    <row r="4686" spans="1:1" ht="15.75" customHeight="1" x14ac:dyDescent="0.15">
      <c r="A4686" s="2"/>
    </row>
    <row r="4687" spans="1:1" ht="15.75" customHeight="1" x14ac:dyDescent="0.15">
      <c r="A4687" s="2"/>
    </row>
    <row r="4688" spans="1:1" ht="15.75" customHeight="1" x14ac:dyDescent="0.15">
      <c r="A4688" s="2"/>
    </row>
    <row r="4689" spans="1:1" ht="15.75" customHeight="1" x14ac:dyDescent="0.15">
      <c r="A4689" s="2"/>
    </row>
    <row r="4690" spans="1:1" ht="15.75" customHeight="1" x14ac:dyDescent="0.15">
      <c r="A4690" s="2"/>
    </row>
    <row r="4691" spans="1:1" ht="15.75" customHeight="1" x14ac:dyDescent="0.15">
      <c r="A4691" s="2"/>
    </row>
    <row r="4692" spans="1:1" ht="15.75" customHeight="1" x14ac:dyDescent="0.15">
      <c r="A4692" s="2"/>
    </row>
    <row r="4693" spans="1:1" ht="15.75" customHeight="1" x14ac:dyDescent="0.15">
      <c r="A4693" s="2"/>
    </row>
    <row r="4694" spans="1:1" ht="15.75" customHeight="1" x14ac:dyDescent="0.15">
      <c r="A4694" s="2"/>
    </row>
    <row r="4695" spans="1:1" ht="15.75" customHeight="1" x14ac:dyDescent="0.15">
      <c r="A4695" s="2"/>
    </row>
    <row r="4696" spans="1:1" ht="15.75" customHeight="1" x14ac:dyDescent="0.15">
      <c r="A4696" s="2"/>
    </row>
    <row r="4697" spans="1:1" ht="15.75" customHeight="1" x14ac:dyDescent="0.15">
      <c r="A4697" s="2"/>
    </row>
    <row r="4698" spans="1:1" ht="15.75" customHeight="1" x14ac:dyDescent="0.15">
      <c r="A4698" s="2"/>
    </row>
    <row r="4699" spans="1:1" ht="15.75" customHeight="1" x14ac:dyDescent="0.15">
      <c r="A4699" s="2"/>
    </row>
    <row r="4700" spans="1:1" ht="15.75" customHeight="1" x14ac:dyDescent="0.15">
      <c r="A4700" s="2"/>
    </row>
    <row r="4701" spans="1:1" ht="15.75" customHeight="1" x14ac:dyDescent="0.15">
      <c r="A4701" s="2"/>
    </row>
    <row r="4702" spans="1:1" ht="15.75" customHeight="1" x14ac:dyDescent="0.15">
      <c r="A4702" s="2"/>
    </row>
    <row r="4703" spans="1:1" ht="15.75" customHeight="1" x14ac:dyDescent="0.15">
      <c r="A4703" s="2"/>
    </row>
    <row r="4704" spans="1:1" ht="15.75" customHeight="1" x14ac:dyDescent="0.15">
      <c r="A4704" s="2"/>
    </row>
    <row r="4705" spans="1:1" ht="15.75" customHeight="1" x14ac:dyDescent="0.15">
      <c r="A4705" s="2"/>
    </row>
    <row r="4706" spans="1:1" ht="15.75" customHeight="1" x14ac:dyDescent="0.15">
      <c r="A4706" s="2"/>
    </row>
    <row r="4707" spans="1:1" ht="15.75" customHeight="1" x14ac:dyDescent="0.15">
      <c r="A4707" s="2"/>
    </row>
    <row r="4708" spans="1:1" ht="15.75" customHeight="1" x14ac:dyDescent="0.15">
      <c r="A4708" s="2"/>
    </row>
    <row r="4709" spans="1:1" ht="15.75" customHeight="1" x14ac:dyDescent="0.15">
      <c r="A4709" s="2"/>
    </row>
    <row r="4710" spans="1:1" ht="15.75" customHeight="1" x14ac:dyDescent="0.15">
      <c r="A4710" s="2"/>
    </row>
    <row r="4711" spans="1:1" ht="15.75" customHeight="1" x14ac:dyDescent="0.15">
      <c r="A4711" s="2"/>
    </row>
    <row r="4712" spans="1:1" ht="15.75" customHeight="1" x14ac:dyDescent="0.15">
      <c r="A4712" s="2"/>
    </row>
    <row r="4713" spans="1:1" ht="15.75" customHeight="1" x14ac:dyDescent="0.15">
      <c r="A4713" s="2"/>
    </row>
    <row r="4714" spans="1:1" ht="15.75" customHeight="1" x14ac:dyDescent="0.15">
      <c r="A4714" s="2"/>
    </row>
    <row r="4715" spans="1:1" ht="15.75" customHeight="1" x14ac:dyDescent="0.15">
      <c r="A4715" s="2"/>
    </row>
    <row r="4716" spans="1:1" ht="15.75" customHeight="1" x14ac:dyDescent="0.15">
      <c r="A4716" s="2"/>
    </row>
    <row r="4717" spans="1:1" ht="15.75" customHeight="1" x14ac:dyDescent="0.15">
      <c r="A4717" s="2"/>
    </row>
    <row r="4718" spans="1:1" ht="15.75" customHeight="1" x14ac:dyDescent="0.15">
      <c r="A4718" s="2"/>
    </row>
    <row r="4719" spans="1:1" ht="15.75" customHeight="1" x14ac:dyDescent="0.15">
      <c r="A4719" s="2"/>
    </row>
    <row r="4720" spans="1:1" ht="15.75" customHeight="1" x14ac:dyDescent="0.15">
      <c r="A4720" s="2"/>
    </row>
    <row r="4721" spans="1:1" ht="15.75" customHeight="1" x14ac:dyDescent="0.15">
      <c r="A4721" s="2"/>
    </row>
    <row r="4722" spans="1:1" ht="15.75" customHeight="1" x14ac:dyDescent="0.15">
      <c r="A4722" s="2"/>
    </row>
    <row r="4723" spans="1:1" ht="15.75" customHeight="1" x14ac:dyDescent="0.15">
      <c r="A4723" s="2"/>
    </row>
    <row r="4724" spans="1:1" ht="15.75" customHeight="1" x14ac:dyDescent="0.15">
      <c r="A4724" s="2"/>
    </row>
    <row r="4725" spans="1:1" ht="15.75" customHeight="1" x14ac:dyDescent="0.15">
      <c r="A4725" s="2"/>
    </row>
    <row r="4726" spans="1:1" ht="15.75" customHeight="1" x14ac:dyDescent="0.15">
      <c r="A4726" s="2"/>
    </row>
    <row r="4727" spans="1:1" ht="15.75" customHeight="1" x14ac:dyDescent="0.15">
      <c r="A4727" s="2"/>
    </row>
    <row r="4728" spans="1:1" ht="15.75" customHeight="1" x14ac:dyDescent="0.15">
      <c r="A4728" s="2"/>
    </row>
    <row r="4729" spans="1:1" ht="15.75" customHeight="1" x14ac:dyDescent="0.15">
      <c r="A4729" s="2"/>
    </row>
    <row r="4730" spans="1:1" ht="15.75" customHeight="1" x14ac:dyDescent="0.15">
      <c r="A4730" s="2"/>
    </row>
    <row r="4731" spans="1:1" ht="15.75" customHeight="1" x14ac:dyDescent="0.15">
      <c r="A4731" s="2"/>
    </row>
    <row r="4732" spans="1:1" ht="15.75" customHeight="1" x14ac:dyDescent="0.15">
      <c r="A4732" s="2"/>
    </row>
    <row r="4733" spans="1:1" ht="15.75" customHeight="1" x14ac:dyDescent="0.15">
      <c r="A4733" s="2"/>
    </row>
    <row r="4734" spans="1:1" ht="15.75" customHeight="1" x14ac:dyDescent="0.15">
      <c r="A4734" s="2"/>
    </row>
    <row r="4735" spans="1:1" ht="15.75" customHeight="1" x14ac:dyDescent="0.15">
      <c r="A4735" s="2"/>
    </row>
    <row r="4736" spans="1:1" ht="15.75" customHeight="1" x14ac:dyDescent="0.15">
      <c r="A4736" s="2"/>
    </row>
    <row r="4737" spans="1:1" ht="15.75" customHeight="1" x14ac:dyDescent="0.15">
      <c r="A4737" s="2"/>
    </row>
    <row r="4738" spans="1:1" ht="15.75" customHeight="1" x14ac:dyDescent="0.15">
      <c r="A4738" s="2"/>
    </row>
    <row r="4739" spans="1:1" ht="15.75" customHeight="1" x14ac:dyDescent="0.15">
      <c r="A4739" s="2"/>
    </row>
    <row r="4740" spans="1:1" ht="15.75" customHeight="1" x14ac:dyDescent="0.15">
      <c r="A4740" s="2"/>
    </row>
    <row r="4741" spans="1:1" ht="15.75" customHeight="1" x14ac:dyDescent="0.15">
      <c r="A4741" s="2"/>
    </row>
    <row r="4742" spans="1:1" ht="15.75" customHeight="1" x14ac:dyDescent="0.15">
      <c r="A4742" s="2"/>
    </row>
    <row r="4743" spans="1:1" ht="15.75" customHeight="1" x14ac:dyDescent="0.15">
      <c r="A4743" s="2"/>
    </row>
    <row r="4744" spans="1:1" ht="15.75" customHeight="1" x14ac:dyDescent="0.15">
      <c r="A4744" s="2"/>
    </row>
    <row r="4745" spans="1:1" ht="15.75" customHeight="1" x14ac:dyDescent="0.15">
      <c r="A4745" s="2"/>
    </row>
    <row r="4746" spans="1:1" ht="15.75" customHeight="1" x14ac:dyDescent="0.15">
      <c r="A4746" s="2"/>
    </row>
    <row r="4747" spans="1:1" ht="15.75" customHeight="1" x14ac:dyDescent="0.15">
      <c r="A4747" s="2"/>
    </row>
    <row r="4748" spans="1:1" ht="15.75" customHeight="1" x14ac:dyDescent="0.15">
      <c r="A4748" s="2"/>
    </row>
    <row r="4749" spans="1:1" ht="15.75" customHeight="1" x14ac:dyDescent="0.15">
      <c r="A4749" s="2"/>
    </row>
    <row r="4750" spans="1:1" ht="15.75" customHeight="1" x14ac:dyDescent="0.15">
      <c r="A4750" s="2"/>
    </row>
    <row r="4751" spans="1:1" ht="15.75" customHeight="1" x14ac:dyDescent="0.15">
      <c r="A4751" s="2"/>
    </row>
    <row r="4752" spans="1:1" ht="15.75" customHeight="1" x14ac:dyDescent="0.15">
      <c r="A4752" s="2"/>
    </row>
    <row r="4753" spans="1:1" ht="15.75" customHeight="1" x14ac:dyDescent="0.15">
      <c r="A4753" s="2"/>
    </row>
    <row r="4754" spans="1:1" ht="15.75" customHeight="1" x14ac:dyDescent="0.15">
      <c r="A4754" s="2"/>
    </row>
    <row r="4755" spans="1:1" ht="15.75" customHeight="1" x14ac:dyDescent="0.15">
      <c r="A4755" s="2"/>
    </row>
    <row r="4756" spans="1:1" ht="15.75" customHeight="1" x14ac:dyDescent="0.15">
      <c r="A4756" s="2"/>
    </row>
    <row r="4757" spans="1:1" ht="15.75" customHeight="1" x14ac:dyDescent="0.15">
      <c r="A4757" s="2"/>
    </row>
    <row r="4758" spans="1:1" ht="15.75" customHeight="1" x14ac:dyDescent="0.15">
      <c r="A4758" s="2"/>
    </row>
    <row r="4759" spans="1:1" ht="15.75" customHeight="1" x14ac:dyDescent="0.15">
      <c r="A4759" s="2"/>
    </row>
    <row r="4760" spans="1:1" ht="15.75" customHeight="1" x14ac:dyDescent="0.15">
      <c r="A4760" s="2"/>
    </row>
    <row r="4761" spans="1:1" ht="15.75" customHeight="1" x14ac:dyDescent="0.15">
      <c r="A4761" s="2"/>
    </row>
    <row r="4762" spans="1:1" ht="15.75" customHeight="1" x14ac:dyDescent="0.15">
      <c r="A4762" s="2"/>
    </row>
    <row r="4763" spans="1:1" ht="15.75" customHeight="1" x14ac:dyDescent="0.15">
      <c r="A4763" s="2"/>
    </row>
    <row r="4764" spans="1:1" ht="15.75" customHeight="1" x14ac:dyDescent="0.15">
      <c r="A4764" s="2"/>
    </row>
  </sheetData>
  <autoFilter ref="A1:L13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2026-05-07T10:09:23Z</dcterms:modified>
</cp:coreProperties>
</file>