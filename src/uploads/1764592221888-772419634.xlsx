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<sst xmlns="http://schemas.openxmlformats.org/spreadsheetml/2006/main" count="17" uniqueCount="17">
  <si>
    <t>date</t>
  </si>
  <si>
    <t>days</t>
  </si>
  <si>
    <t>generation</t>
  </si>
  <si>
    <t>radiation</t>
  </si>
  <si>
    <t>peak_power</t>
  </si>
  <si>
    <t>bess_export</t>
  </si>
  <si>
    <t>bess_import</t>
  </si>
  <si>
    <t>plant_availability</t>
  </si>
  <si>
    <t>grid_availability</t>
  </si>
  <si>
    <t>bess_availability</t>
  </si>
  <si>
    <t>cumulative_generation</t>
  </si>
  <si>
    <t>cumulative_bess_export</t>
  </si>
  <si>
    <t>cumulative_bess_import</t>
  </si>
  <si>
    <t>daily_cuf_worc</t>
  </si>
  <si>
    <t>cuf_till_date</t>
  </si>
  <si>
    <t>0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</si>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</sst>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&quot;/&quot;yyyy"/>
  </numFmts>
  <fonts count="3">
    <font>
      <sz val="10.0"/>
      <color rgb="FF000000"/>
      <name val="Arial"/>
      <scheme val="minor"/>
    </font>
    <font>
      <sz val="14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4">
        <v>45474.0</v>
      </c>
      <c r="B2" s="5">
        <v>1.0</v>
      </c>
      <c r="C2" s="5">
        <v>287749.99999999645</v>
      </c>
      <c r="D2" s="5">
        <v>2.205</v>
      </c>
      <c r="E2" s="5">
        <v>45.73</v>
      </c>
      <c r="F2" s="5">
        <v>83.2</v>
      </c>
      <c r="G2" s="5">
        <v>97.38</v>
      </c>
      <c r="H2" s="6">
        <v>1.0</v>
      </c>
      <c r="I2" s="6">
        <v>1.0</v>
      </c>
      <c r="J2" s="6">
        <v>0.993609810936782</v>
      </c>
      <c r="K2" s="5">
        <f>C2</f>
        <v>287750</v>
      </c>
      <c r="L2" s="5">
        <f t="shared" ref="L2:M2" si="1">F2</f>
        <v>83.2</v>
      </c>
      <c r="M2" s="5">
        <f t="shared" si="1"/>
        <v>97.38</v>
      </c>
      <c r="N2" s="6">
        <f t="shared" ref="N2:N461" si="3">C2/(100000*24)</f>
        <v>0.1198958333</v>
      </c>
      <c r="O2" s="6">
        <f t="shared" ref="O2:O461" si="4">K2/(B2*100000*24)</f>
        <v>0.1198958333</v>
      </c>
    </row>
    <row r="3">
      <c r="A3" s="4">
        <v>45475.0</v>
      </c>
      <c r="B3" s="5">
        <v>2.0</v>
      </c>
      <c r="C3" s="5">
        <v>441540.0000000032</v>
      </c>
      <c r="D3" s="5">
        <v>3.395</v>
      </c>
      <c r="E3" s="5">
        <v>75.91</v>
      </c>
      <c r="F3" s="5">
        <v>117.87</v>
      </c>
      <c r="G3" s="5">
        <v>125.19999999999999</v>
      </c>
      <c r="H3" s="6">
        <v>1.0</v>
      </c>
      <c r="I3" s="6">
        <v>1.0</v>
      </c>
      <c r="J3" s="6">
        <v>0.9986108284645179</v>
      </c>
      <c r="K3" s="5">
        <f t="shared" ref="K3:K12" si="5">K2+C3</f>
        <v>729290</v>
      </c>
      <c r="L3" s="5">
        <f t="shared" ref="L3:M3" si="2">L2+F3</f>
        <v>201.07</v>
      </c>
      <c r="M3" s="5">
        <f t="shared" si="2"/>
        <v>222.58</v>
      </c>
      <c r="N3" s="6">
        <f t="shared" si="3"/>
        <v>0.183975</v>
      </c>
      <c r="O3" s="6">
        <f t="shared" si="4"/>
        <v>0.1519354167</v>
      </c>
    </row>
    <row r="4">
      <c r="A4" s="4">
        <v>45476.0</v>
      </c>
      <c r="B4" s="5">
        <v>3.0</v>
      </c>
      <c r="C4" s="5">
        <v>531289.9999999951</v>
      </c>
      <c r="D4" s="5">
        <v>4.465</v>
      </c>
      <c r="E4" s="5">
        <v>93.17</v>
      </c>
      <c r="F4" s="5">
        <v>118.72999999999999</v>
      </c>
      <c r="G4" s="5">
        <v>132.38</v>
      </c>
      <c r="H4" s="6">
        <v>1.0</v>
      </c>
      <c r="I4" s="6">
        <v>1.0</v>
      </c>
      <c r="J4" s="6">
        <v>0.99817864176459</v>
      </c>
      <c r="K4" s="5">
        <f t="shared" si="5"/>
        <v>1260580</v>
      </c>
      <c r="L4" s="5">
        <f t="shared" ref="L4:M4" si="6">L3+F4</f>
        <v>319.8</v>
      </c>
      <c r="M4" s="5">
        <f t="shared" si="6"/>
        <v>354.96</v>
      </c>
      <c r="N4" s="6">
        <f t="shared" si="3"/>
        <v>0.2213708333</v>
      </c>
      <c r="O4" s="6">
        <f t="shared" si="4"/>
        <v>0.1750805556</v>
      </c>
    </row>
    <row r="5">
      <c r="A5" s="4">
        <v>45477.0</v>
      </c>
      <c r="B5" s="5">
        <v>4.0</v>
      </c>
      <c r="C5" s="5">
        <v>386510.00000000553</v>
      </c>
      <c r="D5" s="5">
        <v>2.785</v>
      </c>
      <c r="E5" s="5">
        <v>65.39</v>
      </c>
      <c r="F5" s="5">
        <v>118.55</v>
      </c>
      <c r="G5" s="5">
        <v>132.25</v>
      </c>
      <c r="H5" s="6">
        <v>1.0</v>
      </c>
      <c r="I5" s="6">
        <v>1.0</v>
      </c>
      <c r="J5" s="6">
        <v>0.999197367557277</v>
      </c>
      <c r="K5" s="5">
        <f t="shared" si="5"/>
        <v>1647090</v>
      </c>
      <c r="L5" s="5">
        <f t="shared" ref="L5:M5" si="7">L4+F5</f>
        <v>438.35</v>
      </c>
      <c r="M5" s="5">
        <f t="shared" si="7"/>
        <v>487.21</v>
      </c>
      <c r="N5" s="6">
        <f t="shared" si="3"/>
        <v>0.1610458333</v>
      </c>
      <c r="O5" s="6">
        <f t="shared" si="4"/>
        <v>0.171571875</v>
      </c>
    </row>
    <row r="6">
      <c r="A6" s="4">
        <v>45478.0</v>
      </c>
      <c r="B6" s="5">
        <v>5.0</v>
      </c>
      <c r="C6" s="5">
        <v>632089.999999993</v>
      </c>
      <c r="D6" s="5">
        <v>5.245</v>
      </c>
      <c r="E6" s="5">
        <v>83.58</v>
      </c>
      <c r="F6" s="5">
        <v>118.28999999999999</v>
      </c>
      <c r="G6" s="5">
        <v>131.59</v>
      </c>
      <c r="H6" s="6">
        <v>1.0</v>
      </c>
      <c r="I6" s="6">
        <v>1.0</v>
      </c>
      <c r="J6" s="6">
        <v>0.9972216569290356</v>
      </c>
      <c r="K6" s="5">
        <f t="shared" si="5"/>
        <v>2279180</v>
      </c>
      <c r="L6" s="5">
        <f t="shared" ref="L6:M6" si="8">L5+F6</f>
        <v>556.64</v>
      </c>
      <c r="M6" s="5">
        <f t="shared" si="8"/>
        <v>618.8</v>
      </c>
      <c r="N6" s="6">
        <f t="shared" si="3"/>
        <v>0.2633708333</v>
      </c>
      <c r="O6" s="6">
        <f t="shared" si="4"/>
        <v>0.1899316667</v>
      </c>
    </row>
    <row r="7">
      <c r="A7" s="4">
        <v>45479.0</v>
      </c>
      <c r="B7" s="5">
        <v>6.0</v>
      </c>
      <c r="C7" s="5">
        <v>586309.9999999991</v>
      </c>
      <c r="D7" s="5">
        <v>4.855</v>
      </c>
      <c r="E7" s="5">
        <v>94.77</v>
      </c>
      <c r="F7" s="5">
        <v>119.8</v>
      </c>
      <c r="G7" s="5">
        <v>131.95999999999998</v>
      </c>
      <c r="H7" s="6">
        <v>1.0</v>
      </c>
      <c r="I7" s="6">
        <v>1.0</v>
      </c>
      <c r="J7" s="6">
        <v>1.0</v>
      </c>
      <c r="K7" s="5">
        <f t="shared" si="5"/>
        <v>2865490</v>
      </c>
      <c r="L7" s="5">
        <f t="shared" ref="L7:M7" si="9">L6+F7</f>
        <v>676.44</v>
      </c>
      <c r="M7" s="5">
        <f t="shared" si="9"/>
        <v>750.76</v>
      </c>
      <c r="N7" s="6">
        <f t="shared" si="3"/>
        <v>0.2442958333</v>
      </c>
      <c r="O7" s="6">
        <f t="shared" si="4"/>
        <v>0.1989923611</v>
      </c>
    </row>
    <row r="8">
      <c r="A8" s="4">
        <v>45480.0</v>
      </c>
      <c r="B8" s="5">
        <v>7.0</v>
      </c>
      <c r="C8" s="5">
        <v>410170.00000000466</v>
      </c>
      <c r="D8" s="5">
        <v>3.23</v>
      </c>
      <c r="E8" s="5">
        <v>76.58</v>
      </c>
      <c r="F8" s="5">
        <v>119.58</v>
      </c>
      <c r="G8" s="5">
        <v>133.32000000000002</v>
      </c>
      <c r="H8" s="6">
        <v>1.0</v>
      </c>
      <c r="I8" s="6">
        <v>1.0</v>
      </c>
      <c r="J8" s="6">
        <v>1.0</v>
      </c>
      <c r="K8" s="5">
        <f t="shared" si="5"/>
        <v>3275660</v>
      </c>
      <c r="L8" s="5">
        <f t="shared" ref="L8:M8" si="10">L7+F8</f>
        <v>796.02</v>
      </c>
      <c r="M8" s="5">
        <f t="shared" si="10"/>
        <v>884.08</v>
      </c>
      <c r="N8" s="6">
        <f t="shared" si="3"/>
        <v>0.1709041667</v>
      </c>
      <c r="O8" s="6">
        <f t="shared" si="4"/>
        <v>0.1949797619</v>
      </c>
    </row>
    <row r="9">
      <c r="A9" s="4">
        <v>45481.0</v>
      </c>
      <c r="B9" s="5">
        <v>8.0</v>
      </c>
      <c r="C9" s="5">
        <v>471219.99999999645</v>
      </c>
      <c r="D9" s="5">
        <v>4.195</v>
      </c>
      <c r="E9" s="5">
        <v>94.92</v>
      </c>
      <c r="F9" s="5">
        <v>116.84</v>
      </c>
      <c r="G9" s="5">
        <v>133.45999999999998</v>
      </c>
      <c r="H9" s="6">
        <v>1.0</v>
      </c>
      <c r="I9" s="6">
        <v>0.9822784810126576</v>
      </c>
      <c r="J9" s="6">
        <v>0.9916032298299743</v>
      </c>
      <c r="K9" s="5">
        <f t="shared" si="5"/>
        <v>3746880</v>
      </c>
      <c r="L9" s="5">
        <f t="shared" ref="L9:M9" si="11">L8+F9</f>
        <v>912.86</v>
      </c>
      <c r="M9" s="5">
        <f t="shared" si="11"/>
        <v>1017.54</v>
      </c>
      <c r="N9" s="6">
        <f t="shared" si="3"/>
        <v>0.1963416667</v>
      </c>
      <c r="O9" s="6">
        <f t="shared" si="4"/>
        <v>0.19515</v>
      </c>
    </row>
    <row r="10">
      <c r="A10" s="4">
        <v>45482.0</v>
      </c>
      <c r="B10" s="5">
        <v>9.0</v>
      </c>
      <c r="C10" s="5">
        <v>615990.0000000052</v>
      </c>
      <c r="D10" s="5">
        <v>4.859999999999999</v>
      </c>
      <c r="E10" s="5">
        <v>83.96</v>
      </c>
      <c r="F10" s="5">
        <v>114.67999999999999</v>
      </c>
      <c r="G10" s="5">
        <v>130.24</v>
      </c>
      <c r="H10" s="6">
        <v>0.9997689730853645</v>
      </c>
      <c r="I10" s="6">
        <v>1.0</v>
      </c>
      <c r="J10" s="6">
        <v>0.9931467537582879</v>
      </c>
      <c r="K10" s="5">
        <f t="shared" si="5"/>
        <v>4362870</v>
      </c>
      <c r="L10" s="5">
        <f t="shared" ref="L10:M10" si="12">L9+F10</f>
        <v>1027.54</v>
      </c>
      <c r="M10" s="5">
        <f t="shared" si="12"/>
        <v>1147.78</v>
      </c>
      <c r="N10" s="6">
        <f t="shared" si="3"/>
        <v>0.2566625</v>
      </c>
      <c r="O10" s="6">
        <f t="shared" si="4"/>
        <v>0.2019847222</v>
      </c>
    </row>
    <row r="11">
      <c r="A11" s="4">
        <v>45483.0</v>
      </c>
      <c r="B11" s="5">
        <v>10.0</v>
      </c>
      <c r="C11" s="5">
        <v>512319.9999999994</v>
      </c>
      <c r="D11" s="5">
        <v>4.305</v>
      </c>
      <c r="E11" s="5">
        <v>79.17</v>
      </c>
      <c r="F11" s="5">
        <v>118.42999999999999</v>
      </c>
      <c r="G11" s="5">
        <v>128.62</v>
      </c>
      <c r="H11" s="6">
        <v>1.0</v>
      </c>
      <c r="I11" s="6">
        <v>1.0</v>
      </c>
      <c r="J11" s="6">
        <v>0.9982712532002889</v>
      </c>
      <c r="K11" s="5">
        <f t="shared" si="5"/>
        <v>4875190</v>
      </c>
      <c r="L11" s="5">
        <f t="shared" ref="L11:M11" si="13">L10+F11</f>
        <v>1145.97</v>
      </c>
      <c r="M11" s="5">
        <f t="shared" si="13"/>
        <v>1276.4</v>
      </c>
      <c r="N11" s="6">
        <f t="shared" si="3"/>
        <v>0.2134666667</v>
      </c>
      <c r="O11" s="6">
        <f t="shared" si="4"/>
        <v>0.2031329167</v>
      </c>
    </row>
    <row r="12">
      <c r="A12" s="4">
        <v>45484.0</v>
      </c>
      <c r="B12" s="5">
        <v>11.0</v>
      </c>
      <c r="C12" s="5">
        <v>615750.0000000017</v>
      </c>
      <c r="D12" s="5">
        <v>5.145</v>
      </c>
      <c r="E12" s="5">
        <v>99.73</v>
      </c>
      <c r="F12" s="5">
        <v>104.26</v>
      </c>
      <c r="G12" s="5">
        <v>131.66</v>
      </c>
      <c r="H12" s="6">
        <v>1.0</v>
      </c>
      <c r="I12" s="6">
        <v>1.0</v>
      </c>
      <c r="J12" s="6">
        <v>0.9984873465502527</v>
      </c>
      <c r="K12" s="5">
        <f t="shared" si="5"/>
        <v>5490940</v>
      </c>
      <c r="L12" s="5">
        <f t="shared" ref="L12:M12" si="14">L11+F12</f>
        <v>1250.23</v>
      </c>
      <c r="M12" s="5">
        <f t="shared" si="14"/>
        <v>1408.06</v>
      </c>
      <c r="N12" s="6">
        <f t="shared" si="3"/>
        <v>0.2565625</v>
      </c>
      <c r="O12" s="6">
        <f t="shared" si="4"/>
        <v>0.2079901515</v>
      </c>
    </row>
    <row r="13">
      <c r="A13" s="4">
        <v>45485.0</v>
      </c>
      <c r="B13" s="5">
        <v>1.0</v>
      </c>
      <c r="C13" s="5">
        <v>523270.0000000021</v>
      </c>
      <c r="D13" s="5">
        <v>4.025</v>
      </c>
      <c r="E13" s="5">
        <v>81.69</v>
      </c>
      <c r="F13" s="5">
        <v>113.78</v>
      </c>
      <c r="G13" s="5">
        <v>120.72</v>
      </c>
      <c r="H13" s="6">
        <v>1.0</v>
      </c>
      <c r="I13" s="6">
        <v>1.0</v>
      </c>
      <c r="J13" s="6">
        <v>0.9850895588524913</v>
      </c>
      <c r="K13" s="5">
        <f>C13</f>
        <v>523270</v>
      </c>
      <c r="L13" s="5">
        <f t="shared" ref="L13:M13" si="15">F13</f>
        <v>113.78</v>
      </c>
      <c r="M13" s="5">
        <f t="shared" si="15"/>
        <v>120.72</v>
      </c>
      <c r="N13" s="6">
        <f t="shared" si="3"/>
        <v>0.2180291667</v>
      </c>
      <c r="O13" s="6">
        <f t="shared" si="4"/>
        <v>0.2180291667</v>
      </c>
    </row>
    <row r="14">
      <c r="A14" s="4">
        <v>45486.0</v>
      </c>
      <c r="B14" s="5">
        <v>2.0</v>
      </c>
      <c r="C14" s="5">
        <v>294699.9999999991</v>
      </c>
      <c r="D14" s="5">
        <v>2.3449999999999998</v>
      </c>
      <c r="E14" s="5">
        <v>66.95</v>
      </c>
      <c r="F14" s="5">
        <v>93.07999999999998</v>
      </c>
      <c r="G14" s="5">
        <v>102.05</v>
      </c>
      <c r="H14" s="6">
        <v>1.0</v>
      </c>
      <c r="I14" s="6">
        <v>1.0</v>
      </c>
      <c r="J14" s="6">
        <v>0.9727722379045491</v>
      </c>
      <c r="K14" s="5">
        <f t="shared" ref="K14:K377" si="17">K13+C14</f>
        <v>817970</v>
      </c>
      <c r="L14" s="5">
        <f t="shared" ref="L14:M14" si="16">L13+F14</f>
        <v>206.86</v>
      </c>
      <c r="M14" s="5">
        <f t="shared" si="16"/>
        <v>222.77</v>
      </c>
      <c r="N14" s="6">
        <f t="shared" si="3"/>
        <v>0.1227916667</v>
      </c>
      <c r="O14" s="6">
        <f t="shared" si="4"/>
        <v>0.1704104167</v>
      </c>
    </row>
    <row r="15">
      <c r="A15" s="4">
        <v>45487.0</v>
      </c>
      <c r="B15" s="5">
        <v>3.0</v>
      </c>
      <c r="C15" s="5">
        <v>535559.9999999944</v>
      </c>
      <c r="D15" s="5">
        <v>4.585</v>
      </c>
      <c r="E15" s="5">
        <v>86.28</v>
      </c>
      <c r="F15" s="5">
        <v>111.32</v>
      </c>
      <c r="G15" s="5">
        <v>123.62</v>
      </c>
      <c r="H15" s="6">
        <v>1.0</v>
      </c>
      <c r="I15" s="6">
        <v>1.0</v>
      </c>
      <c r="J15" s="6">
        <v>0.9845030197597321</v>
      </c>
      <c r="K15" s="5">
        <f t="shared" si="17"/>
        <v>1353530</v>
      </c>
      <c r="L15" s="5">
        <f t="shared" ref="L15:M15" si="18">L14+F15</f>
        <v>318.18</v>
      </c>
      <c r="M15" s="5">
        <f t="shared" si="18"/>
        <v>346.39</v>
      </c>
      <c r="N15" s="6">
        <f t="shared" si="3"/>
        <v>0.22315</v>
      </c>
      <c r="O15" s="6">
        <f t="shared" si="4"/>
        <v>0.1879902778</v>
      </c>
    </row>
    <row r="16">
      <c r="A16" s="4">
        <v>45488.0</v>
      </c>
      <c r="B16" s="5">
        <v>4.0</v>
      </c>
      <c r="C16" s="5">
        <v>341750.00000000664</v>
      </c>
      <c r="D16" s="5">
        <v>2.6</v>
      </c>
      <c r="E16" s="5">
        <v>74.62</v>
      </c>
      <c r="F16" s="5">
        <v>87.38000000000001</v>
      </c>
      <c r="G16" s="5">
        <v>95.13</v>
      </c>
      <c r="H16" s="6">
        <v>1.0</v>
      </c>
      <c r="I16" s="6">
        <v>1.0</v>
      </c>
      <c r="J16" s="6">
        <v>0.9943198319438062</v>
      </c>
      <c r="K16" s="5">
        <f t="shared" si="17"/>
        <v>1695280</v>
      </c>
      <c r="L16" s="5">
        <f t="shared" ref="L16:M16" si="19">L15+F16</f>
        <v>405.56</v>
      </c>
      <c r="M16" s="5">
        <f t="shared" si="19"/>
        <v>441.52</v>
      </c>
      <c r="N16" s="6">
        <f t="shared" si="3"/>
        <v>0.1423958333</v>
      </c>
      <c r="O16" s="6">
        <f t="shared" si="4"/>
        <v>0.1765916667</v>
      </c>
    </row>
    <row r="17">
      <c r="A17" s="4">
        <v>45489.0</v>
      </c>
      <c r="B17" s="5">
        <v>5.0</v>
      </c>
      <c r="C17" s="5">
        <v>566719.9999999967</v>
      </c>
      <c r="D17" s="5">
        <v>4.59</v>
      </c>
      <c r="E17" s="5">
        <v>89.66</v>
      </c>
      <c r="F17" s="5">
        <v>111.30000000000001</v>
      </c>
      <c r="G17" s="5">
        <v>126.28</v>
      </c>
      <c r="H17" s="6">
        <v>1.0</v>
      </c>
      <c r="I17" s="6">
        <v>1.0</v>
      </c>
      <c r="J17" s="6">
        <v>0.9943198319438062</v>
      </c>
      <c r="K17" s="5">
        <f t="shared" si="17"/>
        <v>2262000</v>
      </c>
      <c r="L17" s="5">
        <f t="shared" ref="L17:M17" si="20">L16+F17</f>
        <v>516.86</v>
      </c>
      <c r="M17" s="5">
        <f t="shared" si="20"/>
        <v>567.8</v>
      </c>
      <c r="N17" s="6">
        <f t="shared" si="3"/>
        <v>0.2361333333</v>
      </c>
      <c r="O17" s="6">
        <f t="shared" si="4"/>
        <v>0.1885</v>
      </c>
    </row>
    <row r="18">
      <c r="A18" s="4">
        <v>45490.0</v>
      </c>
      <c r="B18" s="5">
        <v>6.0</v>
      </c>
      <c r="C18" s="5">
        <v>424970.0000000047</v>
      </c>
      <c r="D18" s="5">
        <v>4.04</v>
      </c>
      <c r="E18" s="5">
        <v>85.75</v>
      </c>
      <c r="F18" s="5">
        <v>95.16</v>
      </c>
      <c r="G18" s="5">
        <v>106.36</v>
      </c>
      <c r="H18" s="6">
        <v>1.0</v>
      </c>
      <c r="I18" s="6">
        <v>1.0</v>
      </c>
      <c r="J18" s="6">
        <v>0.9914797479157093</v>
      </c>
      <c r="K18" s="5">
        <f t="shared" si="17"/>
        <v>2686970</v>
      </c>
      <c r="L18" s="5">
        <f t="shared" ref="L18:M18" si="21">L17+F18</f>
        <v>612.02</v>
      </c>
      <c r="M18" s="5">
        <f t="shared" si="21"/>
        <v>674.16</v>
      </c>
      <c r="N18" s="6">
        <f t="shared" si="3"/>
        <v>0.1770708333</v>
      </c>
      <c r="O18" s="6">
        <f t="shared" si="4"/>
        <v>0.1865951389</v>
      </c>
    </row>
    <row r="19">
      <c r="A19" s="4">
        <v>45491.0</v>
      </c>
      <c r="B19" s="5">
        <v>7.0</v>
      </c>
      <c r="C19" s="5">
        <v>564169.9999999974</v>
      </c>
      <c r="D19" s="5">
        <v>4.805</v>
      </c>
      <c r="E19" s="5">
        <v>89.3</v>
      </c>
      <c r="F19" s="5">
        <v>114.45</v>
      </c>
      <c r="G19" s="5">
        <v>129.12</v>
      </c>
      <c r="H19" s="6">
        <v>1.0</v>
      </c>
      <c r="I19" s="6">
        <v>1.0</v>
      </c>
      <c r="J19" s="6">
        <v>0.9608562331779689</v>
      </c>
      <c r="K19" s="5">
        <f t="shared" si="17"/>
        <v>3251140</v>
      </c>
      <c r="L19" s="5">
        <f t="shared" ref="L19:M19" si="22">L18+F19</f>
        <v>726.47</v>
      </c>
      <c r="M19" s="5">
        <f t="shared" si="22"/>
        <v>803.28</v>
      </c>
      <c r="N19" s="6">
        <f t="shared" si="3"/>
        <v>0.2350708333</v>
      </c>
      <c r="O19" s="6">
        <f t="shared" si="4"/>
        <v>0.1935202381</v>
      </c>
    </row>
    <row r="20">
      <c r="A20" s="4">
        <v>45492.0</v>
      </c>
      <c r="B20" s="5">
        <v>8.0</v>
      </c>
      <c r="C20" s="5">
        <v>543810.0000000017</v>
      </c>
      <c r="D20" s="5">
        <v>4.715</v>
      </c>
      <c r="E20" s="5">
        <v>92.67</v>
      </c>
      <c r="F20" s="5">
        <v>114.53999999999999</v>
      </c>
      <c r="G20" s="5">
        <v>127.82</v>
      </c>
      <c r="H20" s="6">
        <v>1.0</v>
      </c>
      <c r="I20" s="6">
        <v>1.0</v>
      </c>
      <c r="J20" s="6">
        <v>0.9549291012932449</v>
      </c>
      <c r="K20" s="5">
        <f t="shared" si="17"/>
        <v>3794950</v>
      </c>
      <c r="L20" s="5">
        <f t="shared" ref="L20:M20" si="23">L19+F20</f>
        <v>841.01</v>
      </c>
      <c r="M20" s="5">
        <f t="shared" si="23"/>
        <v>931.1</v>
      </c>
      <c r="N20" s="6">
        <f t="shared" si="3"/>
        <v>0.2265875</v>
      </c>
      <c r="O20" s="6">
        <f t="shared" si="4"/>
        <v>0.1976536458</v>
      </c>
    </row>
    <row r="21">
      <c r="A21" s="4">
        <v>45493.0</v>
      </c>
      <c r="B21" s="5">
        <v>9.0</v>
      </c>
      <c r="C21" s="5">
        <v>494629.9999999971</v>
      </c>
      <c r="D21" s="5">
        <v>4.13</v>
      </c>
      <c r="E21" s="5">
        <v>82.44</v>
      </c>
      <c r="F21" s="5">
        <v>103.19</v>
      </c>
      <c r="G21" s="5">
        <v>114.37</v>
      </c>
      <c r="H21" s="6">
        <v>0.9735757575757575</v>
      </c>
      <c r="I21" s="6">
        <v>0.9613333333333333</v>
      </c>
      <c r="J21" s="6">
        <v>0.9862317665594433</v>
      </c>
      <c r="K21" s="5">
        <f t="shared" si="17"/>
        <v>4289580</v>
      </c>
      <c r="L21" s="5">
        <f t="shared" ref="L21:M21" si="24">L20+F21</f>
        <v>944.2</v>
      </c>
      <c r="M21" s="5">
        <f t="shared" si="24"/>
        <v>1045.47</v>
      </c>
      <c r="N21" s="6">
        <f t="shared" si="3"/>
        <v>0.2060958333</v>
      </c>
      <c r="O21" s="6">
        <f t="shared" si="4"/>
        <v>0.1985916667</v>
      </c>
    </row>
    <row r="22">
      <c r="A22" s="4">
        <v>45494.0</v>
      </c>
      <c r="B22" s="5">
        <v>10.0</v>
      </c>
      <c r="C22" s="5">
        <v>555910.0000000002</v>
      </c>
      <c r="D22" s="5">
        <v>4.51</v>
      </c>
      <c r="E22" s="5">
        <v>92.25</v>
      </c>
      <c r="F22" s="5">
        <v>107.14999999999999</v>
      </c>
      <c r="G22" s="5">
        <v>119.41000000000001</v>
      </c>
      <c r="H22" s="6">
        <v>0.9675914169629254</v>
      </c>
      <c r="I22" s="6">
        <v>1.0</v>
      </c>
      <c r="J22" s="6">
        <v>0.9846882426311298</v>
      </c>
      <c r="K22" s="5">
        <f t="shared" si="17"/>
        <v>4845490</v>
      </c>
      <c r="L22" s="5">
        <f t="shared" ref="L22:M22" si="25">L21+F22</f>
        <v>1051.35</v>
      </c>
      <c r="M22" s="5">
        <f t="shared" si="25"/>
        <v>1164.88</v>
      </c>
      <c r="N22" s="6">
        <f t="shared" si="3"/>
        <v>0.2316291667</v>
      </c>
      <c r="O22" s="6">
        <f t="shared" si="4"/>
        <v>0.2018954167</v>
      </c>
    </row>
    <row r="23">
      <c r="A23" s="4">
        <v>45495.0</v>
      </c>
      <c r="B23" s="5">
        <v>11.0</v>
      </c>
      <c r="C23" s="5">
        <v>137690.00000000055</v>
      </c>
      <c r="D23" s="5">
        <v>1.04</v>
      </c>
      <c r="E23" s="5">
        <v>38.06</v>
      </c>
      <c r="F23" s="5">
        <v>21.56</v>
      </c>
      <c r="G23" s="5">
        <v>21.72</v>
      </c>
      <c r="H23" s="6">
        <v>0.9739057239057239</v>
      </c>
      <c r="I23" s="6">
        <v>1.0</v>
      </c>
      <c r="J23" s="6">
        <v>0.9972216569290356</v>
      </c>
      <c r="K23" s="5">
        <f t="shared" si="17"/>
        <v>4983180</v>
      </c>
      <c r="L23" s="5">
        <f t="shared" ref="L23:M23" si="26">L22+F23</f>
        <v>1072.91</v>
      </c>
      <c r="M23" s="5">
        <f t="shared" si="26"/>
        <v>1186.6</v>
      </c>
      <c r="N23" s="6">
        <f t="shared" si="3"/>
        <v>0.05737083333</v>
      </c>
      <c r="O23" s="6">
        <f t="shared" si="4"/>
        <v>0.1887568182</v>
      </c>
    </row>
    <row r="24">
      <c r="A24" s="4">
        <v>45496.0</v>
      </c>
      <c r="B24" s="5">
        <v>12.0</v>
      </c>
      <c r="C24" s="5">
        <v>166689.99999999595</v>
      </c>
      <c r="D24" s="5">
        <v>1.1949999999999998</v>
      </c>
      <c r="E24" s="5">
        <v>37.86</v>
      </c>
      <c r="F24" s="5">
        <v>6.76</v>
      </c>
      <c r="G24" s="5">
        <v>7.49</v>
      </c>
      <c r="H24" s="6">
        <v>0.97575959326958</v>
      </c>
      <c r="I24" s="6">
        <v>1.0</v>
      </c>
      <c r="J24" s="6">
        <v>0.9986108284645179</v>
      </c>
      <c r="K24" s="5">
        <f t="shared" si="17"/>
        <v>5149870</v>
      </c>
      <c r="L24" s="5">
        <f t="shared" ref="L24:M24" si="27">L23+F24</f>
        <v>1079.67</v>
      </c>
      <c r="M24" s="5">
        <f t="shared" si="27"/>
        <v>1194.09</v>
      </c>
      <c r="N24" s="6">
        <f t="shared" si="3"/>
        <v>0.06945416667</v>
      </c>
      <c r="O24" s="6">
        <f t="shared" si="4"/>
        <v>0.1788149306</v>
      </c>
    </row>
    <row r="25">
      <c r="A25" s="4">
        <v>45497.0</v>
      </c>
      <c r="B25" s="5">
        <v>13.0</v>
      </c>
      <c r="C25" s="5">
        <v>154240.00000000148</v>
      </c>
      <c r="D25" s="5">
        <v>1.1099999999999999</v>
      </c>
      <c r="E25" s="5">
        <v>37.77</v>
      </c>
      <c r="F25" s="5">
        <v>9.63</v>
      </c>
      <c r="G25" s="5">
        <v>11.81</v>
      </c>
      <c r="H25" s="6">
        <v>0.9703744764720375</v>
      </c>
      <c r="I25" s="6">
        <v>1.0</v>
      </c>
      <c r="J25" s="6">
        <v>0.9991356266001444</v>
      </c>
      <c r="K25" s="5">
        <f t="shared" si="17"/>
        <v>5304110</v>
      </c>
      <c r="L25" s="5">
        <f t="shared" ref="L25:M25" si="28">L24+F25</f>
        <v>1089.3</v>
      </c>
      <c r="M25" s="5">
        <f t="shared" si="28"/>
        <v>1205.9</v>
      </c>
      <c r="N25" s="6">
        <f t="shared" si="3"/>
        <v>0.06426666667</v>
      </c>
      <c r="O25" s="6">
        <f t="shared" si="4"/>
        <v>0.1700035256</v>
      </c>
    </row>
    <row r="26">
      <c r="A26" s="4">
        <v>45498.0</v>
      </c>
      <c r="B26" s="5">
        <v>14.0</v>
      </c>
      <c r="C26" s="5">
        <v>197549.99999999875</v>
      </c>
      <c r="D26" s="5">
        <v>1.475</v>
      </c>
      <c r="E26" s="5">
        <v>40.61</v>
      </c>
      <c r="F26" s="5">
        <v>34.239999999999995</v>
      </c>
      <c r="G26" s="5">
        <v>32.84</v>
      </c>
      <c r="H26" s="6">
        <v>0.9772727272727273</v>
      </c>
      <c r="I26" s="6">
        <v>1.0</v>
      </c>
      <c r="J26" s="6">
        <v>1.0</v>
      </c>
      <c r="K26" s="5">
        <f t="shared" si="17"/>
        <v>5501660</v>
      </c>
      <c r="L26" s="5">
        <f t="shared" ref="L26:M26" si="29">L25+F26</f>
        <v>1123.54</v>
      </c>
      <c r="M26" s="5">
        <f t="shared" si="29"/>
        <v>1238.74</v>
      </c>
      <c r="N26" s="6">
        <f t="shared" si="3"/>
        <v>0.0823125</v>
      </c>
      <c r="O26" s="6">
        <f t="shared" si="4"/>
        <v>0.163739881</v>
      </c>
    </row>
    <row r="27">
      <c r="A27" s="4">
        <v>45499.0</v>
      </c>
      <c r="B27" s="5">
        <v>15.0</v>
      </c>
      <c r="C27" s="5">
        <v>86150.00000000498</v>
      </c>
      <c r="D27" s="5">
        <v>0.655</v>
      </c>
      <c r="E27" s="5">
        <v>24.45</v>
      </c>
      <c r="F27" s="5">
        <v>0.0</v>
      </c>
      <c r="G27" s="5">
        <v>0.0</v>
      </c>
      <c r="H27" s="6">
        <v>0.9772727272727273</v>
      </c>
      <c r="I27" s="6">
        <v>1.0</v>
      </c>
      <c r="J27" s="6" t="s">
        <v>15</v>
      </c>
      <c r="K27" s="5">
        <f t="shared" si="17"/>
        <v>5587810</v>
      </c>
      <c r="L27" s="5">
        <f t="shared" ref="L27:M27" si="30">L26+F27</f>
        <v>1123.54</v>
      </c>
      <c r="M27" s="5">
        <f t="shared" si="30"/>
        <v>1238.74</v>
      </c>
      <c r="N27" s="6">
        <f t="shared" si="3"/>
        <v>0.03589583333</v>
      </c>
      <c r="O27" s="6">
        <f t="shared" si="4"/>
        <v>0.1552169444</v>
      </c>
    </row>
    <row r="28">
      <c r="A28" s="4">
        <v>45500.0</v>
      </c>
      <c r="B28" s="5">
        <v>16.0</v>
      </c>
      <c r="C28" s="5">
        <v>180999.99999999767</v>
      </c>
      <c r="D28" s="5">
        <v>1.31</v>
      </c>
      <c r="E28" s="5">
        <v>56.81</v>
      </c>
      <c r="F28" s="5">
        <v>37.309999999999995</v>
      </c>
      <c r="G28" s="5">
        <v>42.279999999999994</v>
      </c>
      <c r="H28" s="6">
        <v>0.9772727272727273</v>
      </c>
      <c r="I28" s="6">
        <v>1.0</v>
      </c>
      <c r="J28" s="6">
        <v>1.0</v>
      </c>
      <c r="K28" s="5">
        <f t="shared" si="17"/>
        <v>5768810</v>
      </c>
      <c r="L28" s="5">
        <f t="shared" ref="L28:M28" si="31">L27+F28</f>
        <v>1160.85</v>
      </c>
      <c r="M28" s="5">
        <f t="shared" si="31"/>
        <v>1281.02</v>
      </c>
      <c r="N28" s="6">
        <f t="shared" si="3"/>
        <v>0.07541666667</v>
      </c>
      <c r="O28" s="6">
        <f t="shared" si="4"/>
        <v>0.1502294271</v>
      </c>
    </row>
    <row r="29">
      <c r="A29" s="4">
        <v>45501.0</v>
      </c>
      <c r="B29" s="5">
        <v>17.0</v>
      </c>
      <c r="C29" s="5">
        <v>216729.99999999534</v>
      </c>
      <c r="D29" s="5">
        <v>1.705</v>
      </c>
      <c r="E29" s="5">
        <v>83.33</v>
      </c>
      <c r="F29" s="5">
        <v>45.72</v>
      </c>
      <c r="G29" s="5">
        <v>51.29</v>
      </c>
      <c r="H29" s="6">
        <v>0.9772727272727273</v>
      </c>
      <c r="I29" s="6">
        <v>1.0</v>
      </c>
      <c r="J29" s="6">
        <v>1.0</v>
      </c>
      <c r="K29" s="5">
        <f t="shared" si="17"/>
        <v>5985540</v>
      </c>
      <c r="L29" s="5">
        <f t="shared" ref="L29:M29" si="32">L28+F29</f>
        <v>1206.57</v>
      </c>
      <c r="M29" s="5">
        <f t="shared" si="32"/>
        <v>1332.31</v>
      </c>
      <c r="N29" s="6">
        <f t="shared" si="3"/>
        <v>0.09030416667</v>
      </c>
      <c r="O29" s="6">
        <f t="shared" si="4"/>
        <v>0.1467044118</v>
      </c>
    </row>
    <row r="30">
      <c r="A30" s="4">
        <v>45502.0</v>
      </c>
      <c r="B30" s="5">
        <v>18.0</v>
      </c>
      <c r="C30" s="5">
        <v>268780.00000000204</v>
      </c>
      <c r="D30" s="5">
        <v>2.105</v>
      </c>
      <c r="E30" s="5">
        <v>43.63</v>
      </c>
      <c r="F30" s="5">
        <v>79.61</v>
      </c>
      <c r="G30" s="5">
        <v>90.6</v>
      </c>
      <c r="H30" s="6">
        <v>0.9769767992424242</v>
      </c>
      <c r="I30" s="6">
        <v>0.9934895833333334</v>
      </c>
      <c r="J30" s="6">
        <v>0.9963264130506138</v>
      </c>
      <c r="K30" s="5">
        <f t="shared" si="17"/>
        <v>6254320</v>
      </c>
      <c r="L30" s="5">
        <f t="shared" ref="L30:M30" si="33">L29+F30</f>
        <v>1286.18</v>
      </c>
      <c r="M30" s="5">
        <f t="shared" si="33"/>
        <v>1422.91</v>
      </c>
      <c r="N30" s="6">
        <f t="shared" si="3"/>
        <v>0.1119916667</v>
      </c>
      <c r="O30" s="6">
        <f t="shared" si="4"/>
        <v>0.1447759259</v>
      </c>
    </row>
    <row r="31">
      <c r="A31" s="4">
        <v>45503.0</v>
      </c>
      <c r="B31" s="5">
        <v>19.0</v>
      </c>
      <c r="C31" s="5">
        <v>412640.0000000006</v>
      </c>
      <c r="D31" s="5">
        <v>3.225</v>
      </c>
      <c r="E31" s="5">
        <v>62.67</v>
      </c>
      <c r="F31" s="5">
        <v>109.13999999999999</v>
      </c>
      <c r="G31" s="5">
        <v>123.22999999999999</v>
      </c>
      <c r="H31" s="6">
        <v>0.9772727272727273</v>
      </c>
      <c r="I31" s="6">
        <v>1.0</v>
      </c>
      <c r="J31" s="6">
        <v>0.9964807654434451</v>
      </c>
      <c r="K31" s="5">
        <f t="shared" si="17"/>
        <v>6666960</v>
      </c>
      <c r="L31" s="5">
        <f t="shared" ref="L31:M31" si="34">L30+F31</f>
        <v>1395.32</v>
      </c>
      <c r="M31" s="5">
        <f t="shared" si="34"/>
        <v>1546.14</v>
      </c>
      <c r="N31" s="6">
        <f t="shared" si="3"/>
        <v>0.1719333333</v>
      </c>
      <c r="O31" s="6">
        <f t="shared" si="4"/>
        <v>0.1462052632</v>
      </c>
    </row>
    <row r="32">
      <c r="A32" s="4">
        <v>45504.0</v>
      </c>
      <c r="B32" s="5">
        <v>20.0</v>
      </c>
      <c r="C32" s="5">
        <v>270169.9999999951</v>
      </c>
      <c r="D32" s="5">
        <v>1.995</v>
      </c>
      <c r="E32" s="5">
        <v>42.36</v>
      </c>
      <c r="F32" s="5">
        <v>66.29</v>
      </c>
      <c r="G32" s="5">
        <v>70.74000000000001</v>
      </c>
      <c r="H32" s="6">
        <v>0.9772727272727273</v>
      </c>
      <c r="I32" s="6">
        <v>1.0</v>
      </c>
      <c r="J32" s="6">
        <v>1.0</v>
      </c>
      <c r="K32" s="5">
        <f t="shared" si="17"/>
        <v>6937130</v>
      </c>
      <c r="L32" s="5">
        <f t="shared" ref="L32:M32" si="35">L31+F32</f>
        <v>1461.61</v>
      </c>
      <c r="M32" s="5">
        <f t="shared" si="35"/>
        <v>1616.88</v>
      </c>
      <c r="N32" s="6">
        <f t="shared" si="3"/>
        <v>0.1125708333</v>
      </c>
      <c r="O32" s="6">
        <f t="shared" si="4"/>
        <v>0.1445235417</v>
      </c>
    </row>
    <row r="33">
      <c r="A33" s="4">
        <v>45505.0</v>
      </c>
      <c r="B33" s="5">
        <v>21.0</v>
      </c>
      <c r="C33" s="5">
        <v>285330.000000002</v>
      </c>
      <c r="D33" s="5">
        <v>2.08</v>
      </c>
      <c r="E33" s="5">
        <v>51.17</v>
      </c>
      <c r="F33" s="5">
        <v>84.76</v>
      </c>
      <c r="G33" s="5">
        <v>94.49</v>
      </c>
      <c r="H33" s="6">
        <v>1.0</v>
      </c>
      <c r="I33" s="6">
        <v>1.0</v>
      </c>
      <c r="J33" s="6">
        <v>0.997777325543229</v>
      </c>
      <c r="K33" s="5">
        <f t="shared" si="17"/>
        <v>7222460</v>
      </c>
      <c r="L33" s="5">
        <f t="shared" ref="L33:M33" si="36">L32+F33</f>
        <v>1546.37</v>
      </c>
      <c r="M33" s="5">
        <f t="shared" si="36"/>
        <v>1711.37</v>
      </c>
      <c r="N33" s="6">
        <f t="shared" si="3"/>
        <v>0.1188875</v>
      </c>
      <c r="O33" s="6">
        <f t="shared" si="4"/>
        <v>0.1433027778</v>
      </c>
    </row>
    <row r="34">
      <c r="A34" s="4">
        <v>45506.0</v>
      </c>
      <c r="B34" s="5">
        <v>22.0</v>
      </c>
      <c r="C34" s="5">
        <v>242430.0</v>
      </c>
      <c r="D34" s="5">
        <v>1.73</v>
      </c>
      <c r="E34" s="5">
        <v>53.65</v>
      </c>
      <c r="F34" s="5">
        <v>61.93</v>
      </c>
      <c r="G34" s="5">
        <v>67.74</v>
      </c>
      <c r="H34" s="6">
        <v>1.0</v>
      </c>
      <c r="I34" s="6">
        <v>1.0</v>
      </c>
      <c r="J34" s="6">
        <v>1.0</v>
      </c>
      <c r="K34" s="5">
        <f t="shared" si="17"/>
        <v>7464890</v>
      </c>
      <c r="L34" s="5">
        <f t="shared" ref="L34:M34" si="37">L33+F34</f>
        <v>1608.3</v>
      </c>
      <c r="M34" s="5">
        <f t="shared" si="37"/>
        <v>1779.11</v>
      </c>
      <c r="N34" s="6">
        <f t="shared" si="3"/>
        <v>0.1010125</v>
      </c>
      <c r="O34" s="6">
        <f t="shared" si="4"/>
        <v>0.1413804924</v>
      </c>
    </row>
    <row r="35">
      <c r="A35" s="4">
        <v>45507.0</v>
      </c>
      <c r="B35" s="5">
        <v>23.0</v>
      </c>
      <c r="C35" s="5">
        <v>152060.000000005</v>
      </c>
      <c r="D35" s="5">
        <v>1.125</v>
      </c>
      <c r="E35" s="5">
        <v>40.67</v>
      </c>
      <c r="F35" s="5">
        <v>22.26</v>
      </c>
      <c r="G35" s="5">
        <v>25.35</v>
      </c>
      <c r="H35" s="6">
        <v>1.0</v>
      </c>
      <c r="I35" s="6">
        <v>1.0</v>
      </c>
      <c r="J35" s="6">
        <v>1.0</v>
      </c>
      <c r="K35" s="5">
        <f t="shared" si="17"/>
        <v>7616950</v>
      </c>
      <c r="L35" s="5">
        <f t="shared" ref="L35:M35" si="38">L34+F35</f>
        <v>1630.56</v>
      </c>
      <c r="M35" s="5">
        <f t="shared" si="38"/>
        <v>1804.46</v>
      </c>
      <c r="N35" s="6">
        <f t="shared" si="3"/>
        <v>0.06335833333</v>
      </c>
      <c r="O35" s="6">
        <f t="shared" si="4"/>
        <v>0.1379882246</v>
      </c>
    </row>
    <row r="36">
      <c r="A36" s="7">
        <v>45508.0</v>
      </c>
      <c r="B36" s="5">
        <v>24.0</v>
      </c>
      <c r="C36" s="5">
        <v>292659.999999996</v>
      </c>
      <c r="D36" s="5">
        <v>2.35</v>
      </c>
      <c r="E36" s="5">
        <v>78.85</v>
      </c>
      <c r="F36" s="5">
        <v>79.0</v>
      </c>
      <c r="G36" s="5">
        <v>88.89</v>
      </c>
      <c r="H36" s="6">
        <v>0.994862185686654</v>
      </c>
      <c r="I36" s="6">
        <v>1.0</v>
      </c>
      <c r="J36" s="6">
        <v>1.0</v>
      </c>
      <c r="K36" s="5">
        <f t="shared" si="17"/>
        <v>7909610</v>
      </c>
      <c r="L36" s="5">
        <f t="shared" ref="L36:M36" si="39">L35+F36</f>
        <v>1709.56</v>
      </c>
      <c r="M36" s="5">
        <f t="shared" si="39"/>
        <v>1893.35</v>
      </c>
      <c r="N36" s="6">
        <f t="shared" si="3"/>
        <v>0.1219416667</v>
      </c>
      <c r="O36" s="6">
        <f t="shared" si="4"/>
        <v>0.1373196181</v>
      </c>
    </row>
    <row r="37">
      <c r="A37" s="4">
        <v>45509.0</v>
      </c>
      <c r="B37" s="5">
        <v>25.0</v>
      </c>
      <c r="C37" s="5">
        <v>679830.000000002</v>
      </c>
      <c r="D37" s="5">
        <v>5.415</v>
      </c>
      <c r="E37" s="5">
        <v>92.83</v>
      </c>
      <c r="F37" s="5">
        <v>115.86</v>
      </c>
      <c r="G37" s="5">
        <v>137.72</v>
      </c>
      <c r="H37" s="6">
        <v>1.0</v>
      </c>
      <c r="I37" s="6">
        <v>1.0</v>
      </c>
      <c r="J37" s="6">
        <v>0.962029311363487</v>
      </c>
      <c r="K37" s="5">
        <f t="shared" si="17"/>
        <v>8589440</v>
      </c>
      <c r="L37" s="5">
        <f t="shared" ref="L37:M37" si="40">L36+F37</f>
        <v>1825.42</v>
      </c>
      <c r="M37" s="5">
        <f t="shared" si="40"/>
        <v>2031.07</v>
      </c>
      <c r="N37" s="6">
        <f t="shared" si="3"/>
        <v>0.2832625</v>
      </c>
      <c r="O37" s="6">
        <f t="shared" si="4"/>
        <v>0.1431573333</v>
      </c>
    </row>
    <row r="38">
      <c r="A38" s="4">
        <v>45510.0</v>
      </c>
      <c r="B38" s="5">
        <v>26.0</v>
      </c>
      <c r="C38" s="5">
        <v>478940.000000002</v>
      </c>
      <c r="D38" s="5">
        <v>3.73</v>
      </c>
      <c r="E38" s="5">
        <v>81.78</v>
      </c>
      <c r="F38" s="5">
        <v>109.61</v>
      </c>
      <c r="G38" s="5">
        <v>122.54</v>
      </c>
      <c r="H38" s="6">
        <v>1.0</v>
      </c>
      <c r="I38" s="6">
        <v>1.0</v>
      </c>
      <c r="J38" s="6">
        <v>0.950144177115473</v>
      </c>
      <c r="K38" s="5">
        <f t="shared" si="17"/>
        <v>9068380</v>
      </c>
      <c r="L38" s="5">
        <f t="shared" ref="L38:M38" si="41">L37+F38</f>
        <v>1935.03</v>
      </c>
      <c r="M38" s="5">
        <f t="shared" si="41"/>
        <v>2153.61</v>
      </c>
      <c r="N38" s="6">
        <f t="shared" si="3"/>
        <v>0.1995583333</v>
      </c>
      <c r="O38" s="6">
        <f t="shared" si="4"/>
        <v>0.1453266026</v>
      </c>
    </row>
    <row r="39">
      <c r="A39" s="4">
        <v>45511.0</v>
      </c>
      <c r="B39" s="5">
        <v>27.0</v>
      </c>
      <c r="C39" s="5">
        <v>258109.999999993</v>
      </c>
      <c r="D39" s="5">
        <v>1.775</v>
      </c>
      <c r="E39" s="5">
        <v>42.34</v>
      </c>
      <c r="F39" s="5">
        <v>73.55</v>
      </c>
      <c r="G39" s="5">
        <v>73.69</v>
      </c>
      <c r="H39" s="6">
        <v>1.0</v>
      </c>
      <c r="I39" s="6">
        <v>1.0</v>
      </c>
      <c r="J39" s="6">
        <v>0.996789470229108</v>
      </c>
      <c r="K39" s="5">
        <f t="shared" si="17"/>
        <v>9326490</v>
      </c>
      <c r="L39" s="5">
        <f t="shared" ref="L39:M39" si="42">L38+F39</f>
        <v>2008.58</v>
      </c>
      <c r="M39" s="5">
        <f t="shared" si="42"/>
        <v>2227.3</v>
      </c>
      <c r="N39" s="6">
        <f t="shared" si="3"/>
        <v>0.1075458333</v>
      </c>
      <c r="O39" s="6">
        <f t="shared" si="4"/>
        <v>0.1439273148</v>
      </c>
    </row>
    <row r="40">
      <c r="A40" s="4">
        <v>45512.0</v>
      </c>
      <c r="B40" s="5">
        <v>28.0</v>
      </c>
      <c r="C40" s="5">
        <v>300630.000000005</v>
      </c>
      <c r="D40" s="5">
        <v>2.255</v>
      </c>
      <c r="E40" s="5">
        <v>49.61</v>
      </c>
      <c r="F40" s="5">
        <v>89.58</v>
      </c>
      <c r="G40" s="5">
        <v>100.52</v>
      </c>
      <c r="H40" s="6">
        <v>1.0</v>
      </c>
      <c r="I40" s="6">
        <v>1.0</v>
      </c>
      <c r="J40" s="6">
        <v>0.998086030328891</v>
      </c>
      <c r="K40" s="5">
        <f t="shared" si="17"/>
        <v>9627120</v>
      </c>
      <c r="L40" s="5">
        <f t="shared" ref="L40:M40" si="43">L39+F40</f>
        <v>2098.16</v>
      </c>
      <c r="M40" s="5">
        <f t="shared" si="43"/>
        <v>2327.82</v>
      </c>
      <c r="N40" s="6">
        <f t="shared" si="3"/>
        <v>0.1252625</v>
      </c>
      <c r="O40" s="6">
        <f t="shared" si="4"/>
        <v>0.1432607143</v>
      </c>
    </row>
    <row r="41">
      <c r="A41" s="4">
        <v>45513.0</v>
      </c>
      <c r="B41" s="5">
        <v>29.0</v>
      </c>
      <c r="C41" s="5">
        <v>320880.000000005</v>
      </c>
      <c r="D41" s="5">
        <v>2.335</v>
      </c>
      <c r="E41" s="5">
        <v>40.9</v>
      </c>
      <c r="F41" s="5">
        <v>110.93</v>
      </c>
      <c r="G41" s="5">
        <v>122.6</v>
      </c>
      <c r="H41" s="6">
        <v>1.0</v>
      </c>
      <c r="I41" s="6">
        <v>1.0</v>
      </c>
      <c r="J41" s="6">
        <v>1.0</v>
      </c>
      <c r="K41" s="5">
        <f t="shared" si="17"/>
        <v>9948000</v>
      </c>
      <c r="L41" s="5">
        <f t="shared" ref="L41:M41" si="44">L40+F41</f>
        <v>2209.09</v>
      </c>
      <c r="M41" s="5">
        <f t="shared" si="44"/>
        <v>2450.42</v>
      </c>
      <c r="N41" s="6">
        <f t="shared" si="3"/>
        <v>0.1337</v>
      </c>
      <c r="O41" s="6">
        <f t="shared" si="4"/>
        <v>0.1429310345</v>
      </c>
    </row>
    <row r="42">
      <c r="A42" s="4">
        <v>45514.0</v>
      </c>
      <c r="B42" s="5">
        <v>30.0</v>
      </c>
      <c r="C42" s="5">
        <v>705219.999999994</v>
      </c>
      <c r="D42" s="5">
        <v>5.92</v>
      </c>
      <c r="E42" s="5">
        <v>92.04</v>
      </c>
      <c r="F42" s="5">
        <v>115.34</v>
      </c>
      <c r="G42" s="5">
        <v>138.44</v>
      </c>
      <c r="H42" s="6">
        <v>1.0</v>
      </c>
      <c r="I42" s="6">
        <v>1.0</v>
      </c>
      <c r="J42" s="6">
        <v>0.978267183089345</v>
      </c>
      <c r="K42" s="5">
        <f t="shared" si="17"/>
        <v>10653220</v>
      </c>
      <c r="L42" s="5">
        <f t="shared" ref="L42:M42" si="45">L41+F42</f>
        <v>2324.43</v>
      </c>
      <c r="M42" s="5">
        <f t="shared" si="45"/>
        <v>2588.86</v>
      </c>
      <c r="N42" s="6">
        <f t="shared" si="3"/>
        <v>0.2938416667</v>
      </c>
      <c r="O42" s="6">
        <f t="shared" si="4"/>
        <v>0.1479613889</v>
      </c>
    </row>
    <row r="43">
      <c r="A43" s="4">
        <v>45515.0</v>
      </c>
      <c r="B43" s="5">
        <v>31.0</v>
      </c>
      <c r="C43" s="5">
        <v>533349.999999999</v>
      </c>
      <c r="D43" s="5">
        <v>4.08</v>
      </c>
      <c r="E43" s="5">
        <v>85.36</v>
      </c>
      <c r="F43" s="5">
        <v>121.53</v>
      </c>
      <c r="G43" s="5">
        <v>135.08</v>
      </c>
      <c r="H43" s="6">
        <v>1.0</v>
      </c>
      <c r="I43" s="6">
        <v>1.0</v>
      </c>
      <c r="J43" s="6">
        <v>1.0</v>
      </c>
      <c r="K43" s="5">
        <f t="shared" si="17"/>
        <v>11186570</v>
      </c>
      <c r="L43" s="5">
        <f t="shared" ref="L43:M43" si="46">L42+F43</f>
        <v>2445.96</v>
      </c>
      <c r="M43" s="5">
        <f t="shared" si="46"/>
        <v>2723.94</v>
      </c>
      <c r="N43" s="6">
        <f t="shared" si="3"/>
        <v>0.2222291667</v>
      </c>
      <c r="O43" s="6">
        <f t="shared" si="4"/>
        <v>0.1503571237</v>
      </c>
    </row>
    <row r="44">
      <c r="A44" s="4">
        <v>45516.0</v>
      </c>
      <c r="B44" s="5">
        <v>32.0</v>
      </c>
      <c r="C44" s="5">
        <v>681600.000000006</v>
      </c>
      <c r="D44" s="5">
        <v>5.51</v>
      </c>
      <c r="E44" s="5">
        <v>89.17</v>
      </c>
      <c r="F44" s="5">
        <v>122.87</v>
      </c>
      <c r="G44" s="5">
        <v>135.22</v>
      </c>
      <c r="H44" s="6">
        <v>0.999871429701717</v>
      </c>
      <c r="I44" s="6">
        <v>1.0</v>
      </c>
      <c r="J44" s="6">
        <v>1.0</v>
      </c>
      <c r="K44" s="5">
        <f t="shared" si="17"/>
        <v>11868170</v>
      </c>
      <c r="L44" s="5">
        <f t="shared" ref="L44:M44" si="47">L43+F44</f>
        <v>2568.83</v>
      </c>
      <c r="M44" s="5">
        <f t="shared" si="47"/>
        <v>2859.16</v>
      </c>
      <c r="N44" s="6">
        <f t="shared" si="3"/>
        <v>0.284</v>
      </c>
      <c r="O44" s="6">
        <f t="shared" si="4"/>
        <v>0.1545334635</v>
      </c>
    </row>
    <row r="45">
      <c r="A45" s="4">
        <v>45517.0</v>
      </c>
      <c r="B45" s="5">
        <v>33.0</v>
      </c>
      <c r="C45" s="5">
        <v>577859.999999993</v>
      </c>
      <c r="D45" s="5">
        <v>5.485</v>
      </c>
      <c r="E45" s="5">
        <v>92.07</v>
      </c>
      <c r="F45" s="5">
        <v>67.34</v>
      </c>
      <c r="G45" s="5">
        <v>122.32</v>
      </c>
      <c r="H45" s="6">
        <v>1.0</v>
      </c>
      <c r="I45" s="6">
        <v>1.0</v>
      </c>
      <c r="J45" s="6">
        <v>1.0</v>
      </c>
      <c r="K45" s="5">
        <f t="shared" si="17"/>
        <v>12446030</v>
      </c>
      <c r="L45" s="5">
        <f t="shared" ref="L45:M45" si="48">L44+F45</f>
        <v>2636.17</v>
      </c>
      <c r="M45" s="5">
        <f t="shared" si="48"/>
        <v>2981.48</v>
      </c>
      <c r="N45" s="6">
        <f t="shared" si="3"/>
        <v>0.240775</v>
      </c>
      <c r="O45" s="6">
        <f t="shared" si="4"/>
        <v>0.1571468434</v>
      </c>
    </row>
    <row r="46">
      <c r="A46" s="4">
        <v>45518.0</v>
      </c>
      <c r="B46" s="5">
        <v>34.0</v>
      </c>
      <c r="C46" s="5">
        <v>407209.999999999</v>
      </c>
      <c r="D46" s="5">
        <v>2.62</v>
      </c>
      <c r="E46" s="5">
        <v>72.77</v>
      </c>
      <c r="F46" s="5">
        <v>157.3</v>
      </c>
      <c r="G46" s="5">
        <v>132.67</v>
      </c>
      <c r="H46" s="6">
        <v>1.0</v>
      </c>
      <c r="I46" s="6">
        <v>1.0</v>
      </c>
      <c r="J46" s="6">
        <v>1.0</v>
      </c>
      <c r="K46" s="5">
        <f t="shared" si="17"/>
        <v>12853240</v>
      </c>
      <c r="L46" s="5">
        <f t="shared" ref="L46:M46" si="49">L45+F46</f>
        <v>2793.47</v>
      </c>
      <c r="M46" s="5">
        <f t="shared" si="49"/>
        <v>3114.15</v>
      </c>
      <c r="N46" s="6">
        <f t="shared" si="3"/>
        <v>0.1696708333</v>
      </c>
      <c r="O46" s="6">
        <f t="shared" si="4"/>
        <v>0.1575151961</v>
      </c>
    </row>
    <row r="47">
      <c r="A47" s="4">
        <v>45519.0</v>
      </c>
      <c r="B47" s="5">
        <v>35.0</v>
      </c>
      <c r="C47" s="5">
        <v>510710.000000006</v>
      </c>
      <c r="D47" s="5">
        <v>4.0</v>
      </c>
      <c r="E47" s="5">
        <v>89.21</v>
      </c>
      <c r="F47" s="5">
        <v>142.99</v>
      </c>
      <c r="G47" s="5">
        <v>145.13</v>
      </c>
      <c r="H47" s="6">
        <v>1.0</v>
      </c>
      <c r="I47" s="6">
        <v>1.0</v>
      </c>
      <c r="J47" s="6">
        <v>1.0</v>
      </c>
      <c r="K47" s="5">
        <f t="shared" si="17"/>
        <v>13363950</v>
      </c>
      <c r="L47" s="5">
        <f t="shared" ref="L47:M47" si="50">L46+F47</f>
        <v>2936.46</v>
      </c>
      <c r="M47" s="5">
        <f t="shared" si="50"/>
        <v>3259.28</v>
      </c>
      <c r="N47" s="6">
        <f t="shared" si="3"/>
        <v>0.2127958333</v>
      </c>
      <c r="O47" s="6">
        <f t="shared" si="4"/>
        <v>0.1590946429</v>
      </c>
    </row>
    <row r="48">
      <c r="A48" s="4">
        <v>45520.0</v>
      </c>
      <c r="B48" s="5">
        <v>36.0</v>
      </c>
      <c r="C48" s="5">
        <v>518779.999999999</v>
      </c>
      <c r="D48" s="5">
        <v>4.285</v>
      </c>
      <c r="E48" s="5">
        <v>77.3</v>
      </c>
      <c r="F48" s="5">
        <v>137.75</v>
      </c>
      <c r="G48" s="5">
        <v>144.71</v>
      </c>
      <c r="H48" s="6">
        <v>1.0</v>
      </c>
      <c r="I48" s="6">
        <v>1.0</v>
      </c>
      <c r="J48" s="6">
        <v>1.0</v>
      </c>
      <c r="K48" s="5">
        <f t="shared" si="17"/>
        <v>13882730</v>
      </c>
      <c r="L48" s="5">
        <f t="shared" ref="L48:M48" si="51">L47+F48</f>
        <v>3074.21</v>
      </c>
      <c r="M48" s="5">
        <f t="shared" si="51"/>
        <v>3403.99</v>
      </c>
      <c r="N48" s="6">
        <f t="shared" si="3"/>
        <v>0.2161583333</v>
      </c>
      <c r="O48" s="6">
        <f t="shared" si="4"/>
        <v>0.1606797454</v>
      </c>
    </row>
    <row r="49">
      <c r="A49" s="4">
        <v>45521.0</v>
      </c>
      <c r="B49" s="5">
        <v>37.0</v>
      </c>
      <c r="C49" s="5">
        <v>362099.999999999</v>
      </c>
      <c r="D49" s="5">
        <v>3.07</v>
      </c>
      <c r="E49" s="5">
        <v>60.94</v>
      </c>
      <c r="F49" s="5">
        <v>123.85</v>
      </c>
      <c r="G49" s="5">
        <v>145.53</v>
      </c>
      <c r="H49" s="6">
        <v>1.0</v>
      </c>
      <c r="I49" s="6">
        <v>1.0</v>
      </c>
      <c r="J49" s="6">
        <v>1.0</v>
      </c>
      <c r="K49" s="5">
        <f t="shared" si="17"/>
        <v>14244830</v>
      </c>
      <c r="L49" s="5">
        <f t="shared" ref="L49:M49" si="52">L48+F49</f>
        <v>3198.06</v>
      </c>
      <c r="M49" s="5">
        <f t="shared" si="52"/>
        <v>3549.52</v>
      </c>
      <c r="N49" s="6">
        <f t="shared" si="3"/>
        <v>0.150875</v>
      </c>
      <c r="O49" s="6">
        <f t="shared" si="4"/>
        <v>0.1604147523</v>
      </c>
    </row>
    <row r="50">
      <c r="A50" s="4">
        <v>45522.0</v>
      </c>
      <c r="B50" s="5">
        <v>38.0</v>
      </c>
      <c r="C50" s="5">
        <v>43650.0000000015</v>
      </c>
      <c r="D50" s="5">
        <v>4.385</v>
      </c>
      <c r="E50" s="5">
        <v>25.72</v>
      </c>
      <c r="F50" s="5">
        <v>0.0</v>
      </c>
      <c r="G50" s="5">
        <v>0.0</v>
      </c>
      <c r="H50" s="6">
        <v>1.0</v>
      </c>
      <c r="I50" s="6">
        <v>0.347184986595176</v>
      </c>
      <c r="J50" s="6">
        <v>1.0</v>
      </c>
      <c r="K50" s="5">
        <f t="shared" si="17"/>
        <v>14288480</v>
      </c>
      <c r="L50" s="5">
        <f t="shared" ref="L50:M50" si="53">L49+F50</f>
        <v>3198.06</v>
      </c>
      <c r="M50" s="5">
        <f t="shared" si="53"/>
        <v>3549.52</v>
      </c>
      <c r="N50" s="6">
        <f t="shared" si="3"/>
        <v>0.0181875</v>
      </c>
      <c r="O50" s="6">
        <f t="shared" si="4"/>
        <v>0.1566719298</v>
      </c>
    </row>
    <row r="51">
      <c r="A51" s="4">
        <v>45523.0</v>
      </c>
      <c r="B51" s="5">
        <v>39.0</v>
      </c>
      <c r="C51" s="5">
        <v>668320.0</v>
      </c>
      <c r="D51" s="5">
        <v>5.545</v>
      </c>
      <c r="E51" s="5">
        <v>92.62</v>
      </c>
      <c r="F51" s="5">
        <v>124.32</v>
      </c>
      <c r="G51" s="5">
        <v>141.89</v>
      </c>
      <c r="H51" s="6">
        <v>1.0</v>
      </c>
      <c r="I51" s="6">
        <v>1.0</v>
      </c>
      <c r="J51" s="6">
        <v>1.0</v>
      </c>
      <c r="K51" s="5">
        <f t="shared" si="17"/>
        <v>14956800</v>
      </c>
      <c r="L51" s="5">
        <f t="shared" ref="L51:M51" si="54">L50+F51</f>
        <v>3322.38</v>
      </c>
      <c r="M51" s="5">
        <f t="shared" si="54"/>
        <v>3691.41</v>
      </c>
      <c r="N51" s="6">
        <f t="shared" si="3"/>
        <v>0.2784666667</v>
      </c>
      <c r="O51" s="6">
        <f t="shared" si="4"/>
        <v>0.1597948718</v>
      </c>
    </row>
    <row r="52">
      <c r="A52" s="4">
        <v>45524.0</v>
      </c>
      <c r="B52" s="5">
        <v>40.0</v>
      </c>
      <c r="C52" s="5">
        <v>594540.000000008</v>
      </c>
      <c r="D52" s="5">
        <v>5.005</v>
      </c>
      <c r="E52" s="5">
        <v>85.83</v>
      </c>
      <c r="F52" s="5">
        <v>128.47</v>
      </c>
      <c r="G52" s="5">
        <v>143.72</v>
      </c>
      <c r="H52" s="6">
        <v>0.995646882890962</v>
      </c>
      <c r="I52" s="6">
        <v>1.0</v>
      </c>
      <c r="J52" s="6">
        <v>1.0</v>
      </c>
      <c r="K52" s="5">
        <f t="shared" si="17"/>
        <v>15551340</v>
      </c>
      <c r="L52" s="5">
        <f t="shared" ref="L52:M52" si="55">L51+F52</f>
        <v>3450.85</v>
      </c>
      <c r="M52" s="5">
        <f t="shared" si="55"/>
        <v>3835.13</v>
      </c>
      <c r="N52" s="6">
        <f t="shared" si="3"/>
        <v>0.247725</v>
      </c>
      <c r="O52" s="6">
        <f t="shared" si="4"/>
        <v>0.161993125</v>
      </c>
    </row>
    <row r="53">
      <c r="A53" s="4">
        <v>45525.0</v>
      </c>
      <c r="B53" s="5">
        <v>41.0</v>
      </c>
      <c r="C53" s="5">
        <v>651069.999999992</v>
      </c>
      <c r="D53" s="5">
        <v>5.31</v>
      </c>
      <c r="E53" s="5">
        <v>90.74</v>
      </c>
      <c r="F53" s="5">
        <v>129.0</v>
      </c>
      <c r="G53" s="5">
        <v>142.15</v>
      </c>
      <c r="H53" s="6">
        <v>0.995838303789032</v>
      </c>
      <c r="I53" s="6">
        <v>1.0</v>
      </c>
      <c r="J53" s="6">
        <v>1.0</v>
      </c>
      <c r="K53" s="5">
        <f t="shared" si="17"/>
        <v>16202410</v>
      </c>
      <c r="L53" s="5">
        <f t="shared" ref="L53:M53" si="56">L52+F53</f>
        <v>3579.85</v>
      </c>
      <c r="M53" s="5">
        <f t="shared" si="56"/>
        <v>3977.28</v>
      </c>
      <c r="N53" s="6">
        <f t="shared" si="3"/>
        <v>0.2712791667</v>
      </c>
      <c r="O53" s="6">
        <f t="shared" si="4"/>
        <v>0.1646586382</v>
      </c>
    </row>
    <row r="54">
      <c r="A54" s="4">
        <v>45526.0</v>
      </c>
      <c r="B54" s="5">
        <v>42.0</v>
      </c>
      <c r="C54" s="5">
        <v>283770.000000004</v>
      </c>
      <c r="D54" s="5">
        <v>1.915</v>
      </c>
      <c r="E54" s="5">
        <v>40.94</v>
      </c>
      <c r="F54" s="5">
        <v>83.42</v>
      </c>
      <c r="G54" s="5">
        <v>88.09</v>
      </c>
      <c r="H54" s="6">
        <v>0.999355254674404</v>
      </c>
      <c r="I54" s="6">
        <v>1.0</v>
      </c>
      <c r="J54" s="6">
        <v>1.0</v>
      </c>
      <c r="K54" s="5">
        <f t="shared" si="17"/>
        <v>16486180</v>
      </c>
      <c r="L54" s="5">
        <f t="shared" ref="L54:M54" si="57">L53+F54</f>
        <v>3663.27</v>
      </c>
      <c r="M54" s="5">
        <f t="shared" si="57"/>
        <v>4065.37</v>
      </c>
      <c r="N54" s="6">
        <f t="shared" si="3"/>
        <v>0.1182375</v>
      </c>
      <c r="O54" s="6">
        <f t="shared" si="4"/>
        <v>0.163553373</v>
      </c>
    </row>
    <row r="55">
      <c r="A55" s="4">
        <v>45527.0</v>
      </c>
      <c r="B55" s="5">
        <v>43.0</v>
      </c>
      <c r="C55" s="5">
        <v>509570.0</v>
      </c>
      <c r="D55" s="5">
        <v>4.15</v>
      </c>
      <c r="E55" s="5">
        <v>89.14</v>
      </c>
      <c r="F55" s="5">
        <v>125.65</v>
      </c>
      <c r="G55" s="5">
        <v>139.64</v>
      </c>
      <c r="H55" s="6">
        <v>0.999355254674404</v>
      </c>
      <c r="I55" s="6">
        <v>1.0</v>
      </c>
      <c r="J55" s="6">
        <v>1.0</v>
      </c>
      <c r="K55" s="5">
        <f t="shared" si="17"/>
        <v>16995750</v>
      </c>
      <c r="L55" s="5">
        <f t="shared" ref="L55:M55" si="58">L54+F55</f>
        <v>3788.92</v>
      </c>
      <c r="M55" s="5">
        <f t="shared" si="58"/>
        <v>4205.01</v>
      </c>
      <c r="N55" s="6">
        <f t="shared" si="3"/>
        <v>0.2123208333</v>
      </c>
      <c r="O55" s="6">
        <f t="shared" si="4"/>
        <v>0.1646875</v>
      </c>
    </row>
    <row r="56">
      <c r="A56" s="4">
        <v>45528.0</v>
      </c>
      <c r="B56" s="5">
        <v>44.0</v>
      </c>
      <c r="C56" s="5">
        <v>416799.999999988</v>
      </c>
      <c r="D56" s="5">
        <v>3.09</v>
      </c>
      <c r="E56" s="5">
        <v>72.53</v>
      </c>
      <c r="F56" s="5">
        <v>117.09</v>
      </c>
      <c r="G56" s="5">
        <v>129.1</v>
      </c>
      <c r="H56" s="6">
        <v>0.999355254674404</v>
      </c>
      <c r="I56" s="6">
        <v>1.0</v>
      </c>
      <c r="J56" s="6">
        <v>1.0</v>
      </c>
      <c r="K56" s="5">
        <f t="shared" si="17"/>
        <v>17412550</v>
      </c>
      <c r="L56" s="5">
        <f t="shared" ref="L56:M56" si="59">L55+F56</f>
        <v>3906.01</v>
      </c>
      <c r="M56" s="5">
        <f t="shared" si="59"/>
        <v>4334.11</v>
      </c>
      <c r="N56" s="6">
        <f t="shared" si="3"/>
        <v>0.1736666667</v>
      </c>
      <c r="O56" s="6">
        <f t="shared" si="4"/>
        <v>0.164891572</v>
      </c>
    </row>
    <row r="57">
      <c r="A57" s="4">
        <v>45529.0</v>
      </c>
      <c r="B57" s="5">
        <v>45.0</v>
      </c>
      <c r="C57" s="5">
        <v>199210.000000014</v>
      </c>
      <c r="D57" s="5">
        <v>1.53</v>
      </c>
      <c r="E57" s="5">
        <v>52.53</v>
      </c>
      <c r="F57" s="5">
        <v>53.72</v>
      </c>
      <c r="G57" s="5">
        <v>58.65</v>
      </c>
      <c r="H57" s="6">
        <v>0.999354367817009</v>
      </c>
      <c r="I57" s="6">
        <v>1.0</v>
      </c>
      <c r="J57" s="6">
        <v>1.0</v>
      </c>
      <c r="K57" s="5">
        <f t="shared" si="17"/>
        <v>17611760</v>
      </c>
      <c r="L57" s="5">
        <f t="shared" ref="L57:M57" si="60">L56+F57</f>
        <v>3959.73</v>
      </c>
      <c r="M57" s="5">
        <f t="shared" si="60"/>
        <v>4392.76</v>
      </c>
      <c r="N57" s="6">
        <f t="shared" si="3"/>
        <v>0.08300416667</v>
      </c>
      <c r="O57" s="6">
        <f t="shared" si="4"/>
        <v>0.1630718519</v>
      </c>
    </row>
    <row r="58">
      <c r="A58" s="4">
        <v>45530.0</v>
      </c>
      <c r="B58" s="5">
        <v>46.0</v>
      </c>
      <c r="C58" s="5">
        <v>629690.000000002</v>
      </c>
      <c r="D58" s="5">
        <v>5.6</v>
      </c>
      <c r="E58" s="5">
        <v>96.03</v>
      </c>
      <c r="F58" s="5">
        <v>120.89</v>
      </c>
      <c r="G58" s="5">
        <v>143.94</v>
      </c>
      <c r="H58" s="6">
        <v>0.999765547154329</v>
      </c>
      <c r="I58" s="6">
        <v>1.0</v>
      </c>
      <c r="J58" s="6">
        <v>1.0</v>
      </c>
      <c r="K58" s="5">
        <f t="shared" si="17"/>
        <v>18241450</v>
      </c>
      <c r="L58" s="5">
        <f t="shared" ref="L58:M58" si="61">L57+F58</f>
        <v>4080.62</v>
      </c>
      <c r="M58" s="5">
        <f t="shared" si="61"/>
        <v>4536.7</v>
      </c>
      <c r="N58" s="6">
        <f t="shared" si="3"/>
        <v>0.2623708333</v>
      </c>
      <c r="O58" s="6">
        <f t="shared" si="4"/>
        <v>0.1652305254</v>
      </c>
    </row>
    <row r="59">
      <c r="A59" s="4">
        <v>45531.0</v>
      </c>
      <c r="B59" s="5">
        <v>47.0</v>
      </c>
      <c r="C59" s="5">
        <v>699009.999999995</v>
      </c>
      <c r="D59" s="5">
        <v>5.735</v>
      </c>
      <c r="E59" s="5">
        <v>95.0</v>
      </c>
      <c r="F59" s="5">
        <v>121.38</v>
      </c>
      <c r="G59" s="5">
        <v>135.46</v>
      </c>
      <c r="H59" s="6">
        <v>1.0</v>
      </c>
      <c r="I59" s="6">
        <v>1.0</v>
      </c>
      <c r="J59" s="6">
        <v>1.0</v>
      </c>
      <c r="K59" s="5">
        <f t="shared" si="17"/>
        <v>18940460</v>
      </c>
      <c r="L59" s="5">
        <f t="shared" ref="L59:M59" si="62">L58+F59</f>
        <v>4202</v>
      </c>
      <c r="M59" s="5">
        <f t="shared" si="62"/>
        <v>4672.16</v>
      </c>
      <c r="N59" s="6">
        <f t="shared" si="3"/>
        <v>0.2912541667</v>
      </c>
      <c r="O59" s="6">
        <f t="shared" si="4"/>
        <v>0.1679118794</v>
      </c>
    </row>
    <row r="60">
      <c r="A60" s="4">
        <v>45532.0</v>
      </c>
      <c r="B60" s="5">
        <v>48.0</v>
      </c>
      <c r="C60" s="5">
        <v>765169.999999991</v>
      </c>
      <c r="D60" s="5">
        <v>6.735</v>
      </c>
      <c r="E60" s="5">
        <v>98.55</v>
      </c>
      <c r="F60" s="5">
        <v>120.73</v>
      </c>
      <c r="G60" s="5">
        <v>134.74</v>
      </c>
      <c r="H60" s="6">
        <v>1.0</v>
      </c>
      <c r="I60" s="6">
        <v>0.986541049798117</v>
      </c>
      <c r="J60" s="6">
        <v>1.0</v>
      </c>
      <c r="K60" s="5">
        <f t="shared" si="17"/>
        <v>19705630</v>
      </c>
      <c r="L60" s="5">
        <f t="shared" ref="L60:M60" si="63">L59+F60</f>
        <v>4322.73</v>
      </c>
      <c r="M60" s="5">
        <f t="shared" si="63"/>
        <v>4806.9</v>
      </c>
      <c r="N60" s="6">
        <f t="shared" si="3"/>
        <v>0.3188208333</v>
      </c>
      <c r="O60" s="6">
        <f t="shared" si="4"/>
        <v>0.171055816</v>
      </c>
    </row>
    <row r="61">
      <c r="A61" s="4">
        <v>45533.0</v>
      </c>
      <c r="B61" s="5">
        <v>49.0</v>
      </c>
      <c r="C61" s="5">
        <v>387050.000000003</v>
      </c>
      <c r="D61" s="5">
        <v>2.845</v>
      </c>
      <c r="E61" s="5">
        <v>48.96</v>
      </c>
      <c r="F61" s="5">
        <v>120.92</v>
      </c>
      <c r="G61" s="5">
        <v>133.2</v>
      </c>
      <c r="H61" s="6">
        <v>1.0</v>
      </c>
      <c r="I61" s="6">
        <v>1.0</v>
      </c>
      <c r="J61" s="6">
        <v>1.0</v>
      </c>
      <c r="K61" s="5">
        <f t="shared" si="17"/>
        <v>20092680</v>
      </c>
      <c r="L61" s="5">
        <f t="shared" ref="L61:M61" si="64">L60+F61</f>
        <v>4443.65</v>
      </c>
      <c r="M61" s="5">
        <f t="shared" si="64"/>
        <v>4940.1</v>
      </c>
      <c r="N61" s="6">
        <f t="shared" si="3"/>
        <v>0.1612708333</v>
      </c>
      <c r="O61" s="6">
        <f t="shared" si="4"/>
        <v>0.1708561224</v>
      </c>
    </row>
    <row r="62">
      <c r="A62" s="4">
        <v>45534.0</v>
      </c>
      <c r="B62" s="5">
        <v>50.0</v>
      </c>
      <c r="C62" s="5">
        <v>659300.000000003</v>
      </c>
      <c r="D62" s="5">
        <v>5.68</v>
      </c>
      <c r="E62" s="5">
        <v>91.21</v>
      </c>
      <c r="F62" s="5">
        <v>123.07</v>
      </c>
      <c r="G62" s="5">
        <v>133.59</v>
      </c>
      <c r="H62" s="6">
        <v>1.0</v>
      </c>
      <c r="I62" s="6">
        <v>1.0</v>
      </c>
      <c r="J62" s="6">
        <v>1.0</v>
      </c>
      <c r="K62" s="5">
        <f t="shared" si="17"/>
        <v>20751980</v>
      </c>
      <c r="L62" s="5">
        <f t="shared" ref="L62:M62" si="65">L61+F62</f>
        <v>4566.72</v>
      </c>
      <c r="M62" s="5">
        <f t="shared" si="65"/>
        <v>5073.69</v>
      </c>
      <c r="N62" s="6">
        <f t="shared" si="3"/>
        <v>0.2747083333</v>
      </c>
      <c r="O62" s="6">
        <f t="shared" si="4"/>
        <v>0.1729331667</v>
      </c>
    </row>
    <row r="63">
      <c r="A63" s="4">
        <v>45535.0</v>
      </c>
      <c r="B63" s="5">
        <v>51.0</v>
      </c>
      <c r="C63" s="5">
        <v>666020.000000004</v>
      </c>
      <c r="D63" s="5">
        <v>5.425</v>
      </c>
      <c r="E63" s="5">
        <v>97.83</v>
      </c>
      <c r="F63" s="5">
        <v>120.61</v>
      </c>
      <c r="G63" s="5">
        <v>135.35</v>
      </c>
      <c r="H63" s="6">
        <v>1.0</v>
      </c>
      <c r="I63" s="6">
        <v>1.0</v>
      </c>
      <c r="J63" s="6">
        <v>1.0</v>
      </c>
      <c r="K63" s="5">
        <f t="shared" si="17"/>
        <v>21418000</v>
      </c>
      <c r="L63" s="5">
        <f t="shared" ref="L63:M63" si="66">L62+F63</f>
        <v>4687.33</v>
      </c>
      <c r="M63" s="5">
        <f t="shared" si="66"/>
        <v>5209.04</v>
      </c>
      <c r="N63" s="6">
        <f t="shared" si="3"/>
        <v>0.2775083333</v>
      </c>
      <c r="O63" s="6">
        <f t="shared" si="4"/>
        <v>0.1749836601</v>
      </c>
    </row>
    <row r="64">
      <c r="A64" s="4">
        <v>45536.0</v>
      </c>
      <c r="B64" s="5">
        <v>52.0</v>
      </c>
      <c r="C64" s="5">
        <v>545349.999999991</v>
      </c>
      <c r="D64" s="5">
        <v>4.36</v>
      </c>
      <c r="E64" s="5">
        <v>92.45</v>
      </c>
      <c r="F64" s="5">
        <v>120.83</v>
      </c>
      <c r="G64" s="5">
        <v>132.26</v>
      </c>
      <c r="H64" s="6">
        <v>1.0</v>
      </c>
      <c r="I64" s="6">
        <v>1.0</v>
      </c>
      <c r="J64" s="6">
        <v>1.0</v>
      </c>
      <c r="K64" s="5">
        <f t="shared" si="17"/>
        <v>21963350</v>
      </c>
      <c r="L64" s="5">
        <f t="shared" ref="L64:M64" si="67">L63+F64</f>
        <v>4808.16</v>
      </c>
      <c r="M64" s="5">
        <f t="shared" si="67"/>
        <v>5341.3</v>
      </c>
      <c r="N64" s="6">
        <f t="shared" si="3"/>
        <v>0.2272291667</v>
      </c>
      <c r="O64" s="6">
        <f t="shared" si="4"/>
        <v>0.1759883814</v>
      </c>
    </row>
    <row r="65">
      <c r="A65" s="4">
        <v>45537.0</v>
      </c>
      <c r="B65" s="5">
        <v>53.0</v>
      </c>
      <c r="C65" s="5">
        <v>549210.000000006</v>
      </c>
      <c r="D65" s="5">
        <v>4.345</v>
      </c>
      <c r="E65" s="5">
        <v>84.36</v>
      </c>
      <c r="F65" s="5">
        <v>120.59</v>
      </c>
      <c r="G65" s="5">
        <v>134.79</v>
      </c>
      <c r="H65" s="6">
        <v>1.0</v>
      </c>
      <c r="I65" s="6">
        <v>1.0</v>
      </c>
      <c r="J65" s="6">
        <v>1.0</v>
      </c>
      <c r="K65" s="5">
        <f t="shared" si="17"/>
        <v>22512560</v>
      </c>
      <c r="L65" s="5">
        <f t="shared" ref="L65:M65" si="68">L64+F65</f>
        <v>4928.75</v>
      </c>
      <c r="M65" s="5">
        <f t="shared" si="68"/>
        <v>5476.09</v>
      </c>
      <c r="N65" s="6">
        <f t="shared" si="3"/>
        <v>0.2288375</v>
      </c>
      <c r="O65" s="6">
        <f t="shared" si="4"/>
        <v>0.1769855346</v>
      </c>
    </row>
    <row r="66">
      <c r="A66" s="4">
        <v>45538.0</v>
      </c>
      <c r="B66" s="5">
        <v>54.0</v>
      </c>
      <c r="C66" s="5">
        <v>753640.000000007</v>
      </c>
      <c r="D66" s="5">
        <v>6.025</v>
      </c>
      <c r="E66" s="5">
        <v>98.19</v>
      </c>
      <c r="F66" s="5">
        <v>120.73</v>
      </c>
      <c r="G66" s="5">
        <v>132.7</v>
      </c>
      <c r="H66" s="6">
        <v>1.0</v>
      </c>
      <c r="I66" s="6">
        <v>1.0</v>
      </c>
      <c r="J66" s="6">
        <v>1.0</v>
      </c>
      <c r="K66" s="5">
        <f t="shared" si="17"/>
        <v>23266200</v>
      </c>
      <c r="L66" s="5">
        <f t="shared" ref="L66:M66" si="69">L65+F66</f>
        <v>5049.48</v>
      </c>
      <c r="M66" s="5">
        <f t="shared" si="69"/>
        <v>5608.79</v>
      </c>
      <c r="N66" s="6">
        <f t="shared" si="3"/>
        <v>0.3140166667</v>
      </c>
      <c r="O66" s="6">
        <f t="shared" si="4"/>
        <v>0.1795231481</v>
      </c>
    </row>
    <row r="67">
      <c r="A67" s="4">
        <v>45539.0</v>
      </c>
      <c r="B67" s="5">
        <v>55.0</v>
      </c>
      <c r="C67" s="5">
        <v>614869.999999988</v>
      </c>
      <c r="D67" s="5">
        <v>4.925</v>
      </c>
      <c r="E67" s="5">
        <v>86.87</v>
      </c>
      <c r="F67" s="5">
        <v>120.86</v>
      </c>
      <c r="G67" s="5">
        <v>133.79</v>
      </c>
      <c r="H67" s="6">
        <v>1.0</v>
      </c>
      <c r="I67" s="6">
        <v>1.0</v>
      </c>
      <c r="J67" s="6">
        <v>1.0</v>
      </c>
      <c r="K67" s="5">
        <f t="shared" si="17"/>
        <v>23881070</v>
      </c>
      <c r="L67" s="5">
        <f t="shared" ref="L67:M67" si="70">L66+F67</f>
        <v>5170.34</v>
      </c>
      <c r="M67" s="5">
        <f t="shared" si="70"/>
        <v>5742.58</v>
      </c>
      <c r="N67" s="6">
        <f t="shared" si="3"/>
        <v>0.2561958333</v>
      </c>
      <c r="O67" s="6">
        <f t="shared" si="4"/>
        <v>0.180917197</v>
      </c>
    </row>
    <row r="68">
      <c r="A68" s="4">
        <v>45540.0</v>
      </c>
      <c r="B68" s="5">
        <v>56.0</v>
      </c>
      <c r="C68" s="5">
        <v>829810.000000005</v>
      </c>
      <c r="D68" s="5">
        <v>6.72</v>
      </c>
      <c r="E68" s="5">
        <v>95.86</v>
      </c>
      <c r="F68" s="5">
        <v>121.33</v>
      </c>
      <c r="G68" s="5">
        <v>133.35</v>
      </c>
      <c r="H68" s="6">
        <v>1.0</v>
      </c>
      <c r="I68" s="6">
        <v>1.0</v>
      </c>
      <c r="J68" s="6">
        <v>1.0</v>
      </c>
      <c r="K68" s="5">
        <f t="shared" si="17"/>
        <v>24710880</v>
      </c>
      <c r="L68" s="5">
        <f t="shared" ref="L68:M68" si="71">L67+F68</f>
        <v>5291.67</v>
      </c>
      <c r="M68" s="5">
        <f t="shared" si="71"/>
        <v>5875.93</v>
      </c>
      <c r="N68" s="6">
        <f t="shared" si="3"/>
        <v>0.3457541667</v>
      </c>
      <c r="O68" s="6">
        <f t="shared" si="4"/>
        <v>0.1838607143</v>
      </c>
    </row>
    <row r="69">
      <c r="A69" s="4">
        <v>45541.0</v>
      </c>
      <c r="B69" s="5">
        <v>57.0</v>
      </c>
      <c r="C69" s="5">
        <v>719649.999999994</v>
      </c>
      <c r="D69" s="5">
        <v>5.77</v>
      </c>
      <c r="E69" s="5">
        <v>94.05</v>
      </c>
      <c r="F69" s="5">
        <v>120.68</v>
      </c>
      <c r="G69" s="5">
        <v>130.68</v>
      </c>
      <c r="H69" s="6">
        <v>1.0</v>
      </c>
      <c r="I69" s="6">
        <v>1.0</v>
      </c>
      <c r="J69" s="6">
        <v>1.0</v>
      </c>
      <c r="K69" s="5">
        <f t="shared" si="17"/>
        <v>25430530</v>
      </c>
      <c r="L69" s="5">
        <f t="shared" ref="L69:M69" si="72">L68+F69</f>
        <v>5412.35</v>
      </c>
      <c r="M69" s="5">
        <f t="shared" si="72"/>
        <v>6006.61</v>
      </c>
      <c r="N69" s="6">
        <f t="shared" si="3"/>
        <v>0.2998541667</v>
      </c>
      <c r="O69" s="6">
        <f t="shared" si="4"/>
        <v>0.1858956871</v>
      </c>
    </row>
    <row r="70">
      <c r="A70" s="4">
        <v>45542.0</v>
      </c>
      <c r="B70" s="5">
        <v>58.0</v>
      </c>
      <c r="C70" s="5">
        <v>650759.999999995</v>
      </c>
      <c r="D70" s="5">
        <v>5.615</v>
      </c>
      <c r="E70" s="5">
        <v>83.87</v>
      </c>
      <c r="F70" s="5">
        <v>120.95</v>
      </c>
      <c r="G70" s="5">
        <v>136.38</v>
      </c>
      <c r="H70" s="6">
        <v>1.0</v>
      </c>
      <c r="I70" s="6">
        <v>1.0</v>
      </c>
      <c r="J70" s="6">
        <v>1.0</v>
      </c>
      <c r="K70" s="5">
        <f t="shared" si="17"/>
        <v>26081290</v>
      </c>
      <c r="L70" s="5">
        <f t="shared" ref="L70:M70" si="73">L69+F70</f>
        <v>5533.3</v>
      </c>
      <c r="M70" s="5">
        <f t="shared" si="73"/>
        <v>6142.99</v>
      </c>
      <c r="N70" s="6">
        <f t="shared" si="3"/>
        <v>0.27115</v>
      </c>
      <c r="O70" s="6">
        <f t="shared" si="4"/>
        <v>0.1873655891</v>
      </c>
    </row>
    <row r="71">
      <c r="A71" s="4">
        <v>45543.0</v>
      </c>
      <c r="B71" s="5">
        <v>59.0</v>
      </c>
      <c r="C71" s="5">
        <v>452780.000000006</v>
      </c>
      <c r="D71" s="5">
        <v>3.66</v>
      </c>
      <c r="E71" s="5">
        <v>78.38</v>
      </c>
      <c r="F71" s="5">
        <v>112.57</v>
      </c>
      <c r="G71" s="5">
        <v>116.33</v>
      </c>
      <c r="H71" s="6">
        <v>0.991739310917393</v>
      </c>
      <c r="I71" s="6">
        <v>1.0</v>
      </c>
      <c r="J71" s="6">
        <v>1.0</v>
      </c>
      <c r="K71" s="5">
        <f t="shared" si="17"/>
        <v>26534070</v>
      </c>
      <c r="L71" s="5">
        <f t="shared" ref="L71:M71" si="74">L70+F71</f>
        <v>5645.87</v>
      </c>
      <c r="M71" s="5">
        <f t="shared" si="74"/>
        <v>6259.32</v>
      </c>
      <c r="N71" s="6">
        <f t="shared" si="3"/>
        <v>0.1886583333</v>
      </c>
      <c r="O71" s="6">
        <f t="shared" si="4"/>
        <v>0.1873875</v>
      </c>
    </row>
    <row r="72">
      <c r="A72" s="4">
        <v>45544.0</v>
      </c>
      <c r="B72" s="5">
        <v>60.0</v>
      </c>
      <c r="C72" s="5">
        <v>499860.000000008</v>
      </c>
      <c r="D72" s="5">
        <v>3.88</v>
      </c>
      <c r="E72" s="5">
        <v>69.57</v>
      </c>
      <c r="F72" s="5">
        <v>121.31</v>
      </c>
      <c r="G72" s="5">
        <v>142.07</v>
      </c>
      <c r="H72" s="6">
        <v>1.0</v>
      </c>
      <c r="I72" s="6">
        <v>1.0</v>
      </c>
      <c r="J72" s="6">
        <v>1.0</v>
      </c>
      <c r="K72" s="5">
        <f t="shared" si="17"/>
        <v>27033930</v>
      </c>
      <c r="L72" s="5">
        <f t="shared" ref="L72:M72" si="75">L71+F72</f>
        <v>5767.18</v>
      </c>
      <c r="M72" s="5">
        <f t="shared" si="75"/>
        <v>6401.39</v>
      </c>
      <c r="N72" s="6">
        <f t="shared" si="3"/>
        <v>0.208275</v>
      </c>
      <c r="O72" s="6">
        <f t="shared" si="4"/>
        <v>0.187735625</v>
      </c>
    </row>
    <row r="73">
      <c r="A73" s="4">
        <v>45545.0</v>
      </c>
      <c r="B73" s="5">
        <v>61.0</v>
      </c>
      <c r="C73" s="5">
        <v>234580.000000002</v>
      </c>
      <c r="D73" s="5">
        <v>1.755</v>
      </c>
      <c r="E73" s="5">
        <v>40.69</v>
      </c>
      <c r="F73" s="5">
        <v>78.28</v>
      </c>
      <c r="G73" s="5">
        <v>76.19</v>
      </c>
      <c r="H73" s="6">
        <v>0.939393939393939</v>
      </c>
      <c r="I73" s="6">
        <v>1.0</v>
      </c>
      <c r="J73" s="6">
        <v>1.0</v>
      </c>
      <c r="K73" s="5">
        <f t="shared" si="17"/>
        <v>27268510</v>
      </c>
      <c r="L73" s="5">
        <f t="shared" ref="L73:M73" si="76">L72+F73</f>
        <v>5845.46</v>
      </c>
      <c r="M73" s="5">
        <f t="shared" si="76"/>
        <v>6477.58</v>
      </c>
      <c r="N73" s="6">
        <f t="shared" si="3"/>
        <v>0.09774166667</v>
      </c>
      <c r="O73" s="6">
        <f t="shared" si="4"/>
        <v>0.1862603142</v>
      </c>
    </row>
    <row r="74">
      <c r="A74" s="4">
        <v>45546.0</v>
      </c>
      <c r="B74" s="5">
        <v>62.0</v>
      </c>
      <c r="C74" s="5">
        <v>472629.99999999</v>
      </c>
      <c r="D74" s="5">
        <v>3.715</v>
      </c>
      <c r="E74" s="5">
        <v>78.02</v>
      </c>
      <c r="F74" s="5">
        <v>120.59</v>
      </c>
      <c r="G74" s="5">
        <v>144.64</v>
      </c>
      <c r="H74" s="6">
        <v>1.0</v>
      </c>
      <c r="I74" s="6">
        <v>1.0</v>
      </c>
      <c r="J74" s="6">
        <v>1.0</v>
      </c>
      <c r="K74" s="5">
        <f t="shared" si="17"/>
        <v>27741140</v>
      </c>
      <c r="L74" s="5">
        <f t="shared" ref="L74:M74" si="77">L73+F74</f>
        <v>5966.05</v>
      </c>
      <c r="M74" s="5">
        <f t="shared" si="77"/>
        <v>6622.22</v>
      </c>
      <c r="N74" s="6">
        <f t="shared" si="3"/>
        <v>0.1969291667</v>
      </c>
      <c r="O74" s="6">
        <f t="shared" si="4"/>
        <v>0.1864323925</v>
      </c>
    </row>
    <row r="75">
      <c r="A75" s="4">
        <v>45547.0</v>
      </c>
      <c r="B75" s="5">
        <v>63.0</v>
      </c>
      <c r="C75" s="5">
        <v>671110.000000008</v>
      </c>
      <c r="D75" s="5">
        <v>5.505</v>
      </c>
      <c r="E75" s="5">
        <v>93.06</v>
      </c>
      <c r="F75" s="5">
        <v>120.45</v>
      </c>
      <c r="G75" s="5">
        <v>133.21</v>
      </c>
      <c r="H75" s="6">
        <v>1.0</v>
      </c>
      <c r="I75" s="6">
        <v>1.0</v>
      </c>
      <c r="J75" s="6">
        <v>1.0</v>
      </c>
      <c r="K75" s="5">
        <f t="shared" si="17"/>
        <v>28412250</v>
      </c>
      <c r="L75" s="5">
        <f t="shared" ref="L75:M75" si="78">L74+F75</f>
        <v>6086.5</v>
      </c>
      <c r="M75" s="5">
        <f t="shared" si="78"/>
        <v>6755.43</v>
      </c>
      <c r="N75" s="6">
        <f t="shared" si="3"/>
        <v>0.2796291667</v>
      </c>
      <c r="O75" s="6">
        <f t="shared" si="4"/>
        <v>0.1879117063</v>
      </c>
    </row>
    <row r="76">
      <c r="A76" s="4">
        <v>45548.0</v>
      </c>
      <c r="B76" s="5">
        <v>64.0</v>
      </c>
      <c r="C76" s="5">
        <v>561770.000000004</v>
      </c>
      <c r="D76" s="5">
        <v>4.495</v>
      </c>
      <c r="E76" s="5">
        <v>82.44</v>
      </c>
      <c r="F76" s="5">
        <v>120.63</v>
      </c>
      <c r="G76" s="5">
        <v>133.37</v>
      </c>
      <c r="H76" s="6">
        <v>1.0</v>
      </c>
      <c r="I76" s="6">
        <v>1.0</v>
      </c>
      <c r="J76" s="6">
        <v>1.0</v>
      </c>
      <c r="K76" s="5">
        <f t="shared" si="17"/>
        <v>28974020</v>
      </c>
      <c r="L76" s="5">
        <f t="shared" ref="L76:M76" si="79">L75+F76</f>
        <v>6207.13</v>
      </c>
      <c r="M76" s="5">
        <f t="shared" si="79"/>
        <v>6888.8</v>
      </c>
      <c r="N76" s="6">
        <f t="shared" si="3"/>
        <v>0.2340708333</v>
      </c>
      <c r="O76" s="6">
        <f t="shared" si="4"/>
        <v>0.1886329427</v>
      </c>
    </row>
    <row r="77">
      <c r="A77" s="4">
        <v>45549.0</v>
      </c>
      <c r="B77" s="5">
        <v>65.0</v>
      </c>
      <c r="C77" s="5">
        <v>562089.999999989</v>
      </c>
      <c r="D77" s="5">
        <v>4.25</v>
      </c>
      <c r="E77" s="5">
        <v>90.05</v>
      </c>
      <c r="F77" s="5">
        <v>120.7</v>
      </c>
      <c r="G77" s="5">
        <v>132.59</v>
      </c>
      <c r="H77" s="6">
        <v>1.0</v>
      </c>
      <c r="I77" s="6">
        <v>1.0</v>
      </c>
      <c r="J77" s="6">
        <v>1.0</v>
      </c>
      <c r="K77" s="5">
        <f t="shared" si="17"/>
        <v>29536110</v>
      </c>
      <c r="L77" s="5">
        <f t="shared" ref="L77:M77" si="80">L76+F77</f>
        <v>6327.83</v>
      </c>
      <c r="M77" s="5">
        <f t="shared" si="80"/>
        <v>7021.39</v>
      </c>
      <c r="N77" s="6">
        <f t="shared" si="3"/>
        <v>0.2342041667</v>
      </c>
      <c r="O77" s="6">
        <f t="shared" si="4"/>
        <v>0.1893340385</v>
      </c>
    </row>
    <row r="78">
      <c r="A78" s="4">
        <v>45550.0</v>
      </c>
      <c r="B78" s="5">
        <v>66.0</v>
      </c>
      <c r="C78" s="5">
        <v>806239.999999998</v>
      </c>
      <c r="D78" s="5">
        <v>6.32</v>
      </c>
      <c r="E78" s="5">
        <v>95.14</v>
      </c>
      <c r="F78" s="5">
        <v>121.1</v>
      </c>
      <c r="G78" s="5">
        <v>133.18</v>
      </c>
      <c r="H78" s="6">
        <v>1.0</v>
      </c>
      <c r="I78" s="6">
        <v>1.0</v>
      </c>
      <c r="J78" s="6">
        <v>1.0</v>
      </c>
      <c r="K78" s="5">
        <f t="shared" si="17"/>
        <v>30342350</v>
      </c>
      <c r="L78" s="5">
        <f t="shared" ref="L78:M78" si="81">L77+F78</f>
        <v>6448.93</v>
      </c>
      <c r="M78" s="5">
        <f t="shared" si="81"/>
        <v>7154.57</v>
      </c>
      <c r="N78" s="6">
        <f t="shared" si="3"/>
        <v>0.3359333333</v>
      </c>
      <c r="O78" s="6">
        <f t="shared" si="4"/>
        <v>0.1915552399</v>
      </c>
    </row>
    <row r="79">
      <c r="A79" s="4">
        <v>45551.0</v>
      </c>
      <c r="B79" s="5">
        <v>67.0</v>
      </c>
      <c r="C79" s="5">
        <v>428880.000000005</v>
      </c>
      <c r="D79" s="5">
        <v>3.265</v>
      </c>
      <c r="E79" s="5">
        <v>91.72</v>
      </c>
      <c r="F79" s="5">
        <v>107.35</v>
      </c>
      <c r="G79" s="5">
        <v>109.16</v>
      </c>
      <c r="H79" s="6">
        <v>1.0</v>
      </c>
      <c r="I79" s="6">
        <v>1.0</v>
      </c>
      <c r="J79" s="6">
        <v>1.0</v>
      </c>
      <c r="K79" s="5">
        <f t="shared" si="17"/>
        <v>30771230</v>
      </c>
      <c r="L79" s="5">
        <f t="shared" ref="L79:M79" si="82">L78+F79</f>
        <v>6556.28</v>
      </c>
      <c r="M79" s="5">
        <f t="shared" si="82"/>
        <v>7263.73</v>
      </c>
      <c r="N79" s="6">
        <f t="shared" si="3"/>
        <v>0.1787</v>
      </c>
      <c r="O79" s="6">
        <f t="shared" si="4"/>
        <v>0.1913633706</v>
      </c>
    </row>
    <row r="80">
      <c r="A80" s="4">
        <v>45552.0</v>
      </c>
      <c r="B80" s="5">
        <v>68.0</v>
      </c>
      <c r="C80" s="5">
        <v>335869.999999995</v>
      </c>
      <c r="D80" s="5">
        <v>2.5</v>
      </c>
      <c r="E80" s="5">
        <v>70.13</v>
      </c>
      <c r="F80" s="5">
        <v>97.0</v>
      </c>
      <c r="G80" s="5">
        <v>106.56</v>
      </c>
      <c r="H80" s="6">
        <v>1.0</v>
      </c>
      <c r="I80" s="6">
        <v>1.0</v>
      </c>
      <c r="J80" s="6">
        <v>1.0</v>
      </c>
      <c r="K80" s="5">
        <f t="shared" si="17"/>
        <v>31107100</v>
      </c>
      <c r="L80" s="5">
        <f t="shared" ref="L80:M80" si="83">L79+F80</f>
        <v>6653.28</v>
      </c>
      <c r="M80" s="5">
        <f t="shared" si="83"/>
        <v>7370.29</v>
      </c>
      <c r="N80" s="6">
        <f t="shared" si="3"/>
        <v>0.1399458333</v>
      </c>
      <c r="O80" s="6">
        <f t="shared" si="4"/>
        <v>0.1906072304</v>
      </c>
    </row>
    <row r="81">
      <c r="A81" s="4">
        <v>45553.0</v>
      </c>
      <c r="B81" s="5">
        <v>69.0</v>
      </c>
      <c r="C81" s="5">
        <v>617810.000000005</v>
      </c>
      <c r="D81" s="5">
        <v>5.045</v>
      </c>
      <c r="E81" s="5">
        <v>92.4</v>
      </c>
      <c r="F81" s="5">
        <v>121.17</v>
      </c>
      <c r="G81" s="5">
        <v>143.14</v>
      </c>
      <c r="H81" s="6">
        <v>1.0</v>
      </c>
      <c r="I81" s="6">
        <v>1.0</v>
      </c>
      <c r="J81" s="6">
        <v>1.0</v>
      </c>
      <c r="K81" s="5">
        <f t="shared" si="17"/>
        <v>31724910</v>
      </c>
      <c r="L81" s="5">
        <f t="shared" ref="L81:M81" si="84">L80+F81</f>
        <v>6774.45</v>
      </c>
      <c r="M81" s="5">
        <f t="shared" si="84"/>
        <v>7513.43</v>
      </c>
      <c r="N81" s="6">
        <f t="shared" si="3"/>
        <v>0.2574208333</v>
      </c>
      <c r="O81" s="6">
        <f t="shared" si="4"/>
        <v>0.1915755435</v>
      </c>
    </row>
    <row r="82">
      <c r="A82" s="4">
        <v>45554.0</v>
      </c>
      <c r="B82" s="5">
        <v>70.0</v>
      </c>
      <c r="C82" s="5">
        <v>714569.999999992</v>
      </c>
      <c r="D82" s="5">
        <v>5.35</v>
      </c>
      <c r="E82" s="5">
        <v>92.1</v>
      </c>
      <c r="F82" s="5">
        <v>120.54</v>
      </c>
      <c r="G82" s="5">
        <v>135.66</v>
      </c>
      <c r="H82" s="6">
        <v>1.0</v>
      </c>
      <c r="I82" s="6">
        <v>1.0</v>
      </c>
      <c r="J82" s="6">
        <v>1.0</v>
      </c>
      <c r="K82" s="5">
        <f t="shared" si="17"/>
        <v>32439480</v>
      </c>
      <c r="L82" s="5">
        <f t="shared" ref="L82:M82" si="85">L81+F82</f>
        <v>6894.99</v>
      </c>
      <c r="M82" s="5">
        <f t="shared" si="85"/>
        <v>7649.09</v>
      </c>
      <c r="N82" s="6">
        <f t="shared" si="3"/>
        <v>0.2977375</v>
      </c>
      <c r="O82" s="6">
        <f t="shared" si="4"/>
        <v>0.1930921429</v>
      </c>
    </row>
    <row r="83">
      <c r="A83" s="4">
        <v>45555.0</v>
      </c>
      <c r="B83" s="5">
        <v>71.0</v>
      </c>
      <c r="C83" s="5">
        <v>727880.000000005</v>
      </c>
      <c r="D83" s="5">
        <v>5.645</v>
      </c>
      <c r="E83" s="5">
        <v>90.26</v>
      </c>
      <c r="F83" s="5">
        <v>120.37</v>
      </c>
      <c r="G83" s="5">
        <v>133.1</v>
      </c>
      <c r="H83" s="6">
        <v>1.0</v>
      </c>
      <c r="I83" s="6">
        <v>1.0</v>
      </c>
      <c r="J83" s="6">
        <v>1.0</v>
      </c>
      <c r="K83" s="5">
        <f t="shared" si="17"/>
        <v>33167360</v>
      </c>
      <c r="L83" s="5">
        <f t="shared" ref="L83:M83" si="86">L82+F83</f>
        <v>7015.36</v>
      </c>
      <c r="M83" s="5">
        <f t="shared" si="86"/>
        <v>7782.19</v>
      </c>
      <c r="N83" s="6">
        <f t="shared" si="3"/>
        <v>0.3032833333</v>
      </c>
      <c r="O83" s="6">
        <f t="shared" si="4"/>
        <v>0.1946441315</v>
      </c>
    </row>
    <row r="84">
      <c r="A84" s="4">
        <v>45556.0</v>
      </c>
      <c r="B84" s="5">
        <v>72.0</v>
      </c>
      <c r="C84" s="5">
        <v>741860.000000015</v>
      </c>
      <c r="D84" s="5">
        <v>5.77</v>
      </c>
      <c r="E84" s="5">
        <v>91.41</v>
      </c>
      <c r="F84" s="5">
        <v>120.61</v>
      </c>
      <c r="G84" s="5">
        <v>133.16</v>
      </c>
      <c r="H84" s="6">
        <v>1.0</v>
      </c>
      <c r="I84" s="6">
        <v>1.0</v>
      </c>
      <c r="J84" s="6">
        <v>1.0</v>
      </c>
      <c r="K84" s="5">
        <f t="shared" si="17"/>
        <v>33909220</v>
      </c>
      <c r="L84" s="5">
        <f t="shared" ref="L84:M84" si="87">L83+F84</f>
        <v>7135.97</v>
      </c>
      <c r="M84" s="5">
        <f t="shared" si="87"/>
        <v>7915.35</v>
      </c>
      <c r="N84" s="6">
        <f t="shared" si="3"/>
        <v>0.3091083333</v>
      </c>
      <c r="O84" s="6">
        <f t="shared" si="4"/>
        <v>0.196233912</v>
      </c>
    </row>
    <row r="85">
      <c r="A85" s="4">
        <v>45557.0</v>
      </c>
      <c r="B85" s="5">
        <v>73.0</v>
      </c>
      <c r="C85" s="5">
        <v>674359.999999986</v>
      </c>
      <c r="D85" s="5">
        <v>5.23</v>
      </c>
      <c r="E85" s="5">
        <v>93.52</v>
      </c>
      <c r="F85" s="5">
        <v>120.37</v>
      </c>
      <c r="G85" s="5">
        <v>129.27</v>
      </c>
      <c r="H85" s="6">
        <v>1.0</v>
      </c>
      <c r="I85" s="6">
        <v>1.0</v>
      </c>
      <c r="J85" s="6">
        <v>1.0</v>
      </c>
      <c r="K85" s="5">
        <f t="shared" si="17"/>
        <v>34583580</v>
      </c>
      <c r="L85" s="5">
        <f t="shared" ref="L85:M85" si="88">L84+F85</f>
        <v>7256.34</v>
      </c>
      <c r="M85" s="5">
        <f t="shared" si="88"/>
        <v>8044.62</v>
      </c>
      <c r="N85" s="6">
        <f t="shared" si="3"/>
        <v>0.2809833333</v>
      </c>
      <c r="O85" s="6">
        <f t="shared" si="4"/>
        <v>0.197394863</v>
      </c>
    </row>
    <row r="86">
      <c r="A86" s="4">
        <v>45558.0</v>
      </c>
      <c r="B86" s="5">
        <v>74.0</v>
      </c>
      <c r="C86" s="5">
        <v>741899.999999994</v>
      </c>
      <c r="D86" s="5">
        <v>5.78</v>
      </c>
      <c r="E86" s="5">
        <v>91.26</v>
      </c>
      <c r="F86" s="5">
        <v>120.19</v>
      </c>
      <c r="G86" s="5">
        <v>136.52</v>
      </c>
      <c r="H86" s="6">
        <v>1.0</v>
      </c>
      <c r="I86" s="6">
        <v>1.0</v>
      </c>
      <c r="J86" s="6">
        <v>1.0</v>
      </c>
      <c r="K86" s="5">
        <f t="shared" si="17"/>
        <v>35325480</v>
      </c>
      <c r="L86" s="5">
        <f t="shared" ref="L86:M86" si="89">L85+F86</f>
        <v>7376.53</v>
      </c>
      <c r="M86" s="5">
        <f t="shared" si="89"/>
        <v>8181.14</v>
      </c>
      <c r="N86" s="6">
        <f t="shared" si="3"/>
        <v>0.309125</v>
      </c>
      <c r="O86" s="6">
        <f t="shared" si="4"/>
        <v>0.1989047297</v>
      </c>
    </row>
    <row r="87">
      <c r="A87" s="4">
        <v>45559.0</v>
      </c>
      <c r="B87" s="5">
        <v>75.0</v>
      </c>
      <c r="C87" s="5">
        <v>460800.000000017</v>
      </c>
      <c r="D87" s="5">
        <v>3.725</v>
      </c>
      <c r="E87" s="5">
        <v>87.73</v>
      </c>
      <c r="F87" s="5">
        <v>120.64</v>
      </c>
      <c r="G87" s="5">
        <v>134.19</v>
      </c>
      <c r="H87" s="6">
        <v>0.998749946118367</v>
      </c>
      <c r="I87" s="6">
        <v>1.0</v>
      </c>
      <c r="J87" s="6">
        <v>1.0</v>
      </c>
      <c r="K87" s="5">
        <f t="shared" si="17"/>
        <v>35786280</v>
      </c>
      <c r="L87" s="5">
        <f t="shared" ref="L87:M87" si="90">L86+F87</f>
        <v>7497.17</v>
      </c>
      <c r="M87" s="5">
        <f t="shared" si="90"/>
        <v>8315.33</v>
      </c>
      <c r="N87" s="6">
        <f t="shared" si="3"/>
        <v>0.192</v>
      </c>
      <c r="O87" s="6">
        <f t="shared" si="4"/>
        <v>0.1988126667</v>
      </c>
    </row>
    <row r="88">
      <c r="A88" s="4">
        <v>45560.0</v>
      </c>
      <c r="B88" s="5">
        <v>76.0</v>
      </c>
      <c r="C88" s="5">
        <v>337369.999999981</v>
      </c>
      <c r="D88" s="5">
        <v>2.635</v>
      </c>
      <c r="E88" s="5">
        <v>58.9</v>
      </c>
      <c r="F88" s="5">
        <v>113.6</v>
      </c>
      <c r="G88" s="5">
        <v>114.98</v>
      </c>
      <c r="H88" s="6">
        <v>1.0</v>
      </c>
      <c r="I88" s="6">
        <v>1.0</v>
      </c>
      <c r="J88" s="6">
        <v>1.0</v>
      </c>
      <c r="K88" s="5">
        <f t="shared" si="17"/>
        <v>36123650</v>
      </c>
      <c r="L88" s="5">
        <f t="shared" ref="L88:M88" si="91">L87+F88</f>
        <v>7610.77</v>
      </c>
      <c r="M88" s="5">
        <f t="shared" si="91"/>
        <v>8430.31</v>
      </c>
      <c r="N88" s="6">
        <f t="shared" si="3"/>
        <v>0.1405708333</v>
      </c>
      <c r="O88" s="6">
        <f t="shared" si="4"/>
        <v>0.1980463268</v>
      </c>
    </row>
    <row r="89">
      <c r="A89" s="4">
        <v>45561.0</v>
      </c>
      <c r="B89" s="5">
        <v>77.0</v>
      </c>
      <c r="C89" s="5">
        <v>384120.00000001</v>
      </c>
      <c r="D89" s="5">
        <v>3.075</v>
      </c>
      <c r="E89" s="5">
        <v>93.63</v>
      </c>
      <c r="F89" s="5">
        <v>106.04</v>
      </c>
      <c r="G89" s="5">
        <v>116.43</v>
      </c>
      <c r="H89" s="6">
        <v>1.0</v>
      </c>
      <c r="I89" s="6">
        <v>1.0</v>
      </c>
      <c r="J89" s="6">
        <v>1.0</v>
      </c>
      <c r="K89" s="5">
        <f t="shared" si="17"/>
        <v>36507770</v>
      </c>
      <c r="L89" s="5">
        <f t="shared" ref="L89:M89" si="92">L88+F89</f>
        <v>7716.81</v>
      </c>
      <c r="M89" s="5">
        <f t="shared" si="92"/>
        <v>8546.74</v>
      </c>
      <c r="N89" s="6">
        <f t="shared" si="3"/>
        <v>0.16005</v>
      </c>
      <c r="O89" s="6">
        <f t="shared" si="4"/>
        <v>0.197552868</v>
      </c>
    </row>
    <row r="90">
      <c r="A90" s="4">
        <v>45562.0</v>
      </c>
      <c r="B90" s="5">
        <v>78.0</v>
      </c>
      <c r="C90" s="5">
        <v>526400.000000009</v>
      </c>
      <c r="D90" s="5">
        <v>4.09</v>
      </c>
      <c r="E90" s="5">
        <v>88.2</v>
      </c>
      <c r="F90" s="5">
        <v>120.62</v>
      </c>
      <c r="G90" s="5">
        <v>143.47</v>
      </c>
      <c r="H90" s="6">
        <v>1.0</v>
      </c>
      <c r="I90" s="6">
        <v>1.0</v>
      </c>
      <c r="J90" s="6">
        <v>1.0</v>
      </c>
      <c r="K90" s="5">
        <f t="shared" si="17"/>
        <v>37034170</v>
      </c>
      <c r="L90" s="5">
        <f t="shared" ref="L90:M90" si="93">L89+F90</f>
        <v>7837.43</v>
      </c>
      <c r="M90" s="5">
        <f t="shared" si="93"/>
        <v>8690.21</v>
      </c>
      <c r="N90" s="6">
        <f t="shared" si="3"/>
        <v>0.2193333333</v>
      </c>
      <c r="O90" s="6">
        <f t="shared" si="4"/>
        <v>0.1978321047</v>
      </c>
    </row>
    <row r="91">
      <c r="A91" s="4">
        <v>45563.0</v>
      </c>
      <c r="B91" s="5">
        <v>79.0</v>
      </c>
      <c r="C91" s="5">
        <v>682199.999999983</v>
      </c>
      <c r="D91" s="5">
        <v>5.455</v>
      </c>
      <c r="E91" s="5">
        <v>98.28</v>
      </c>
      <c r="F91" s="5">
        <v>120.68</v>
      </c>
      <c r="G91" s="5">
        <v>133.47</v>
      </c>
      <c r="H91" s="6">
        <v>1.0</v>
      </c>
      <c r="I91" s="6">
        <v>1.0</v>
      </c>
      <c r="J91" s="6">
        <v>1.0</v>
      </c>
      <c r="K91" s="5">
        <f t="shared" si="17"/>
        <v>37716370</v>
      </c>
      <c r="L91" s="5">
        <f t="shared" ref="L91:M91" si="94">L90+F91</f>
        <v>7958.11</v>
      </c>
      <c r="M91" s="5">
        <f t="shared" si="94"/>
        <v>8823.68</v>
      </c>
      <c r="N91" s="6">
        <f t="shared" si="3"/>
        <v>0.28425</v>
      </c>
      <c r="O91" s="6">
        <f t="shared" si="4"/>
        <v>0.1989260021</v>
      </c>
    </row>
    <row r="92">
      <c r="A92" s="4">
        <v>45564.0</v>
      </c>
      <c r="B92" s="5">
        <v>80.0</v>
      </c>
      <c r="C92" s="5">
        <v>733110.000000001</v>
      </c>
      <c r="D92" s="5">
        <v>5.84</v>
      </c>
      <c r="E92" s="5">
        <v>93.22</v>
      </c>
      <c r="F92" s="5">
        <v>120.53</v>
      </c>
      <c r="G92" s="5">
        <v>133.35</v>
      </c>
      <c r="H92" s="6">
        <v>0.9997214007115</v>
      </c>
      <c r="I92" s="6">
        <v>1.0</v>
      </c>
      <c r="J92" s="6">
        <v>1.0</v>
      </c>
      <c r="K92" s="5">
        <f t="shared" si="17"/>
        <v>38449480</v>
      </c>
      <c r="L92" s="5">
        <f t="shared" ref="L92:M92" si="95">L91+F92</f>
        <v>8078.64</v>
      </c>
      <c r="M92" s="5">
        <f t="shared" si="95"/>
        <v>8957.03</v>
      </c>
      <c r="N92" s="6">
        <f t="shared" si="3"/>
        <v>0.3054625</v>
      </c>
      <c r="O92" s="6">
        <f t="shared" si="4"/>
        <v>0.2002577083</v>
      </c>
    </row>
    <row r="93">
      <c r="A93" s="4">
        <v>45565.0</v>
      </c>
      <c r="B93" s="5">
        <v>81.0</v>
      </c>
      <c r="C93" s="5">
        <v>707669.999999998</v>
      </c>
      <c r="D93" s="5">
        <v>5.685</v>
      </c>
      <c r="E93" s="5">
        <v>91.66</v>
      </c>
      <c r="F93" s="5">
        <v>120.61</v>
      </c>
      <c r="G93" s="5">
        <v>133.63</v>
      </c>
      <c r="H93" s="6">
        <v>1.0</v>
      </c>
      <c r="I93" s="6">
        <v>1.0</v>
      </c>
      <c r="J93" s="6">
        <v>1.0</v>
      </c>
      <c r="K93" s="5">
        <f t="shared" si="17"/>
        <v>39157150</v>
      </c>
      <c r="L93" s="5">
        <f t="shared" ref="L93:M93" si="96">L92+F93</f>
        <v>8199.25</v>
      </c>
      <c r="M93" s="5">
        <f t="shared" si="96"/>
        <v>9090.66</v>
      </c>
      <c r="N93" s="6">
        <f t="shared" si="3"/>
        <v>0.2948625</v>
      </c>
      <c r="O93" s="6">
        <f t="shared" si="4"/>
        <v>0.2014256687</v>
      </c>
    </row>
    <row r="94">
      <c r="A94" s="4">
        <v>45566.0</v>
      </c>
      <c r="B94" s="5">
        <v>82.0</v>
      </c>
      <c r="C94" s="5">
        <v>688040.000000008</v>
      </c>
      <c r="D94" s="5">
        <v>5.505</v>
      </c>
      <c r="E94" s="5">
        <v>90.75</v>
      </c>
      <c r="F94" s="5">
        <v>120.54</v>
      </c>
      <c r="G94" s="5">
        <v>132.93</v>
      </c>
      <c r="H94" s="6">
        <v>0.999511591560302</v>
      </c>
      <c r="I94" s="6">
        <v>1.0</v>
      </c>
      <c r="J94" s="6">
        <v>1.0</v>
      </c>
      <c r="K94" s="5">
        <f t="shared" si="17"/>
        <v>39845190</v>
      </c>
      <c r="L94" s="5">
        <f t="shared" ref="L94:M94" si="97">L93+F94</f>
        <v>8319.79</v>
      </c>
      <c r="M94" s="5">
        <f t="shared" si="97"/>
        <v>9223.59</v>
      </c>
      <c r="N94" s="6">
        <f t="shared" si="3"/>
        <v>0.2866833333</v>
      </c>
      <c r="O94" s="6">
        <f t="shared" si="4"/>
        <v>0.2024653963</v>
      </c>
    </row>
    <row r="95">
      <c r="A95" s="4">
        <v>45567.0</v>
      </c>
      <c r="B95" s="5">
        <v>83.0</v>
      </c>
      <c r="C95" s="5">
        <v>750730.00000001</v>
      </c>
      <c r="D95" s="5">
        <v>5.8</v>
      </c>
      <c r="E95" s="5">
        <v>89.83</v>
      </c>
      <c r="F95" s="5">
        <v>120.25</v>
      </c>
      <c r="G95" s="5">
        <v>133.31</v>
      </c>
      <c r="H95" s="6">
        <v>0.999632559546968</v>
      </c>
      <c r="I95" s="6">
        <v>1.0</v>
      </c>
      <c r="J95" s="6">
        <v>1.0</v>
      </c>
      <c r="K95" s="5">
        <f t="shared" si="17"/>
        <v>40595920</v>
      </c>
      <c r="L95" s="5">
        <f t="shared" ref="L95:M95" si="98">L94+F95</f>
        <v>8440.04</v>
      </c>
      <c r="M95" s="5">
        <f t="shared" si="98"/>
        <v>9356.9</v>
      </c>
      <c r="N95" s="6">
        <f t="shared" si="3"/>
        <v>0.3128041667</v>
      </c>
      <c r="O95" s="6">
        <f t="shared" si="4"/>
        <v>0.2037947791</v>
      </c>
    </row>
    <row r="96">
      <c r="A96" s="4">
        <v>45568.0</v>
      </c>
      <c r="B96" s="5">
        <v>84.0</v>
      </c>
      <c r="C96" s="5">
        <v>614319.999999992</v>
      </c>
      <c r="D96" s="5">
        <v>6.155</v>
      </c>
      <c r="E96" s="5">
        <v>102.59</v>
      </c>
      <c r="F96" s="5">
        <v>121.19</v>
      </c>
      <c r="G96" s="5">
        <v>132.22</v>
      </c>
      <c r="H96" s="6">
        <v>1.0</v>
      </c>
      <c r="I96" s="6">
        <v>0.96054519368723</v>
      </c>
      <c r="J96" s="6">
        <v>1.0</v>
      </c>
      <c r="K96" s="5">
        <f t="shared" si="17"/>
        <v>41210240</v>
      </c>
      <c r="L96" s="5">
        <f t="shared" ref="L96:M96" si="99">L95+F96</f>
        <v>8561.23</v>
      </c>
      <c r="M96" s="5">
        <f t="shared" si="99"/>
        <v>9489.12</v>
      </c>
      <c r="N96" s="6">
        <f t="shared" si="3"/>
        <v>0.2559666667</v>
      </c>
      <c r="O96" s="6">
        <f t="shared" si="4"/>
        <v>0.204415873</v>
      </c>
    </row>
    <row r="97">
      <c r="A97" s="4">
        <v>45569.0</v>
      </c>
      <c r="B97" s="5">
        <v>85.0</v>
      </c>
      <c r="C97" s="5">
        <v>762169.999999998</v>
      </c>
      <c r="D97" s="5">
        <v>5.86</v>
      </c>
      <c r="E97" s="5">
        <v>107.63</v>
      </c>
      <c r="F97" s="5">
        <v>120.62</v>
      </c>
      <c r="G97" s="5">
        <v>133.22</v>
      </c>
      <c r="H97" s="6">
        <v>0.99993524993525</v>
      </c>
      <c r="I97" s="6">
        <v>1.0</v>
      </c>
      <c r="J97" s="6">
        <v>1.0</v>
      </c>
      <c r="K97" s="5">
        <f t="shared" si="17"/>
        <v>41972410</v>
      </c>
      <c r="L97" s="5">
        <f t="shared" ref="L97:M97" si="100">L96+F97</f>
        <v>8681.85</v>
      </c>
      <c r="M97" s="5">
        <f t="shared" si="100"/>
        <v>9622.34</v>
      </c>
      <c r="N97" s="6">
        <f t="shared" si="3"/>
        <v>0.3175708333</v>
      </c>
      <c r="O97" s="6">
        <f t="shared" si="4"/>
        <v>0.2057471078</v>
      </c>
    </row>
    <row r="98">
      <c r="A98" s="4">
        <v>45570.0</v>
      </c>
      <c r="B98" s="5">
        <v>86.0</v>
      </c>
      <c r="C98" s="5">
        <v>640710.000000006</v>
      </c>
      <c r="D98" s="5">
        <v>4.895</v>
      </c>
      <c r="E98" s="5">
        <v>90.27</v>
      </c>
      <c r="F98" s="5">
        <v>114.41</v>
      </c>
      <c r="G98" s="5">
        <v>118.31</v>
      </c>
      <c r="H98" s="6">
        <v>0.999664502164502</v>
      </c>
      <c r="I98" s="6">
        <v>1.0</v>
      </c>
      <c r="J98" s="6">
        <v>1.0</v>
      </c>
      <c r="K98" s="5">
        <f t="shared" si="17"/>
        <v>42613120</v>
      </c>
      <c r="L98" s="5">
        <f t="shared" ref="L98:M98" si="101">L97+F98</f>
        <v>8796.26</v>
      </c>
      <c r="M98" s="5">
        <f t="shared" si="101"/>
        <v>9740.65</v>
      </c>
      <c r="N98" s="6">
        <f t="shared" si="3"/>
        <v>0.2669625</v>
      </c>
      <c r="O98" s="6">
        <f t="shared" si="4"/>
        <v>0.2064589147</v>
      </c>
    </row>
    <row r="99">
      <c r="A99" s="4">
        <v>45571.0</v>
      </c>
      <c r="B99" s="5">
        <v>87.0</v>
      </c>
      <c r="C99" s="5">
        <v>788689.999999988</v>
      </c>
      <c r="D99" s="5">
        <v>6.07</v>
      </c>
      <c r="E99" s="5">
        <v>89.22</v>
      </c>
      <c r="F99" s="5">
        <v>120.04</v>
      </c>
      <c r="G99" s="5">
        <v>142.91</v>
      </c>
      <c r="H99" s="6">
        <v>0.999803793328973</v>
      </c>
      <c r="I99" s="6">
        <v>1.0</v>
      </c>
      <c r="J99" s="6">
        <v>1.0</v>
      </c>
      <c r="K99" s="5">
        <f t="shared" si="17"/>
        <v>43401810</v>
      </c>
      <c r="L99" s="5">
        <f t="shared" ref="L99:M99" si="102">L98+F99</f>
        <v>8916.3</v>
      </c>
      <c r="M99" s="5">
        <f t="shared" si="102"/>
        <v>9883.56</v>
      </c>
      <c r="N99" s="6">
        <f t="shared" si="3"/>
        <v>0.3286208333</v>
      </c>
      <c r="O99" s="6">
        <f t="shared" si="4"/>
        <v>0.2078630747</v>
      </c>
    </row>
    <row r="100">
      <c r="A100" s="4">
        <v>45572.0</v>
      </c>
      <c r="B100" s="5">
        <v>88.0</v>
      </c>
      <c r="C100" s="5">
        <v>709650.000000009</v>
      </c>
      <c r="D100" s="5">
        <v>5.44</v>
      </c>
      <c r="E100" s="5">
        <v>85.36</v>
      </c>
      <c r="F100" s="5">
        <v>120.73</v>
      </c>
      <c r="G100" s="5">
        <v>138.07</v>
      </c>
      <c r="H100" s="6">
        <v>0.999388699676884</v>
      </c>
      <c r="I100" s="6">
        <v>1.0</v>
      </c>
      <c r="J100" s="6">
        <v>1.0</v>
      </c>
      <c r="K100" s="5">
        <f t="shared" si="17"/>
        <v>44111460</v>
      </c>
      <c r="L100" s="5">
        <f t="shared" ref="L100:M100" si="103">L99+F100</f>
        <v>9037.03</v>
      </c>
      <c r="M100" s="5">
        <f t="shared" si="103"/>
        <v>10021.63</v>
      </c>
      <c r="N100" s="6">
        <f t="shared" si="3"/>
        <v>0.2956875</v>
      </c>
      <c r="O100" s="6">
        <f t="shared" si="4"/>
        <v>0.2088610795</v>
      </c>
    </row>
    <row r="101">
      <c r="A101" s="4">
        <v>45573.0</v>
      </c>
      <c r="B101" s="5">
        <v>89.0</v>
      </c>
      <c r="C101" s="5">
        <v>578299.999999988</v>
      </c>
      <c r="D101" s="5">
        <v>4.285</v>
      </c>
      <c r="E101" s="5">
        <v>79.31</v>
      </c>
      <c r="F101" s="5">
        <v>120.43</v>
      </c>
      <c r="G101" s="5">
        <v>133.0</v>
      </c>
      <c r="H101" s="6">
        <v>0.999556324592928</v>
      </c>
      <c r="I101" s="6">
        <v>1.0</v>
      </c>
      <c r="J101" s="6">
        <v>1.0</v>
      </c>
      <c r="K101" s="5">
        <f t="shared" si="17"/>
        <v>44689760</v>
      </c>
      <c r="L101" s="5">
        <f t="shared" ref="L101:M101" si="104">L100+F101</f>
        <v>9157.46</v>
      </c>
      <c r="M101" s="5">
        <f t="shared" si="104"/>
        <v>10154.63</v>
      </c>
      <c r="N101" s="6">
        <f t="shared" si="3"/>
        <v>0.2409583333</v>
      </c>
      <c r="O101" s="6">
        <f t="shared" si="4"/>
        <v>0.2092217228</v>
      </c>
    </row>
    <row r="102">
      <c r="A102" s="4">
        <v>45574.0</v>
      </c>
      <c r="B102" s="5">
        <v>90.0</v>
      </c>
      <c r="C102" s="5">
        <v>650210.000000006</v>
      </c>
      <c r="D102" s="5">
        <v>4.735</v>
      </c>
      <c r="E102" s="5">
        <v>83.48</v>
      </c>
      <c r="F102" s="5">
        <v>120.57</v>
      </c>
      <c r="G102" s="5">
        <v>133.48</v>
      </c>
      <c r="H102" s="6">
        <v>0.99919104464559</v>
      </c>
      <c r="I102" s="6">
        <v>1.0</v>
      </c>
      <c r="J102" s="6">
        <v>1.0</v>
      </c>
      <c r="K102" s="5">
        <f t="shared" si="17"/>
        <v>45339970</v>
      </c>
      <c r="L102" s="5">
        <f t="shared" ref="L102:M102" si="105">L101+F102</f>
        <v>9278.03</v>
      </c>
      <c r="M102" s="5">
        <f t="shared" si="105"/>
        <v>10288.11</v>
      </c>
      <c r="N102" s="6">
        <f t="shared" si="3"/>
        <v>0.2709208333</v>
      </c>
      <c r="O102" s="6">
        <f t="shared" si="4"/>
        <v>0.2099072685</v>
      </c>
    </row>
    <row r="103">
      <c r="A103" s="4">
        <v>45575.0</v>
      </c>
      <c r="B103" s="5">
        <v>91.0</v>
      </c>
      <c r="C103" s="5">
        <v>642560.000000012</v>
      </c>
      <c r="D103" s="5">
        <v>4.99</v>
      </c>
      <c r="E103" s="5">
        <v>87.69</v>
      </c>
      <c r="F103" s="5">
        <v>120.25</v>
      </c>
      <c r="G103" s="5">
        <v>128.62</v>
      </c>
      <c r="H103" s="6">
        <v>0.999726704272159</v>
      </c>
      <c r="I103" s="6">
        <v>1.0</v>
      </c>
      <c r="J103" s="6">
        <v>1.0</v>
      </c>
      <c r="K103" s="5">
        <f t="shared" si="17"/>
        <v>45982530</v>
      </c>
      <c r="L103" s="5">
        <f t="shared" ref="L103:M103" si="106">L102+F103</f>
        <v>9398.28</v>
      </c>
      <c r="M103" s="5">
        <f t="shared" si="106"/>
        <v>10416.73</v>
      </c>
      <c r="N103" s="6">
        <f t="shared" si="3"/>
        <v>0.2677333333</v>
      </c>
      <c r="O103" s="6">
        <f t="shared" si="4"/>
        <v>0.2105427198</v>
      </c>
    </row>
    <row r="104">
      <c r="A104" s="4">
        <v>45576.0</v>
      </c>
      <c r="B104" s="5">
        <v>92.0</v>
      </c>
      <c r="C104" s="5">
        <v>732989.999999991</v>
      </c>
      <c r="D104" s="5">
        <v>5.825</v>
      </c>
      <c r="E104" s="5">
        <v>89.82</v>
      </c>
      <c r="F104" s="5">
        <v>120.45</v>
      </c>
      <c r="G104" s="5">
        <v>137.39</v>
      </c>
      <c r="H104" s="6">
        <v>0.99952582594504</v>
      </c>
      <c r="I104" s="6">
        <v>1.0</v>
      </c>
      <c r="J104" s="6">
        <v>1.0</v>
      </c>
      <c r="K104" s="5">
        <f t="shared" si="17"/>
        <v>46715520</v>
      </c>
      <c r="L104" s="5">
        <f t="shared" ref="L104:M104" si="107">L103+F104</f>
        <v>9518.73</v>
      </c>
      <c r="M104" s="5">
        <f t="shared" si="107"/>
        <v>10554.12</v>
      </c>
      <c r="N104" s="6">
        <f t="shared" si="3"/>
        <v>0.3054125</v>
      </c>
      <c r="O104" s="6">
        <f t="shared" si="4"/>
        <v>0.211573913</v>
      </c>
    </row>
    <row r="105">
      <c r="A105" s="4">
        <v>45577.0</v>
      </c>
      <c r="B105" s="5">
        <v>93.0</v>
      </c>
      <c r="C105" s="5">
        <v>653279.999999999</v>
      </c>
      <c r="D105" s="5">
        <v>5.03</v>
      </c>
      <c r="E105" s="5">
        <v>92.65</v>
      </c>
      <c r="F105" s="5">
        <v>120.5</v>
      </c>
      <c r="G105" s="5">
        <v>133.27</v>
      </c>
      <c r="H105" s="6">
        <v>0.999497135860772</v>
      </c>
      <c r="I105" s="6">
        <v>1.0</v>
      </c>
      <c r="J105" s="6">
        <v>1.0</v>
      </c>
      <c r="K105" s="5">
        <f t="shared" si="17"/>
        <v>47368800</v>
      </c>
      <c r="L105" s="5">
        <f t="shared" ref="L105:M105" si="108">L104+F105</f>
        <v>9639.23</v>
      </c>
      <c r="M105" s="5">
        <f t="shared" si="108"/>
        <v>10687.39</v>
      </c>
      <c r="N105" s="6">
        <f t="shared" si="3"/>
        <v>0.2722</v>
      </c>
      <c r="O105" s="6">
        <f t="shared" si="4"/>
        <v>0.2122258065</v>
      </c>
    </row>
    <row r="106">
      <c r="A106" s="4">
        <v>45578.0</v>
      </c>
      <c r="B106" s="5">
        <v>94.0</v>
      </c>
      <c r="C106" s="5">
        <v>714090.000000011</v>
      </c>
      <c r="D106" s="5">
        <v>5.525</v>
      </c>
      <c r="E106" s="5">
        <v>88.03</v>
      </c>
      <c r="F106" s="5">
        <v>120.71</v>
      </c>
      <c r="G106" s="5">
        <v>133.14</v>
      </c>
      <c r="H106" s="6">
        <v>1.0</v>
      </c>
      <c r="I106" s="6">
        <v>1.0</v>
      </c>
      <c r="J106" s="6">
        <v>1.0</v>
      </c>
      <c r="K106" s="5">
        <f t="shared" si="17"/>
        <v>48082890</v>
      </c>
      <c r="L106" s="5">
        <f t="shared" ref="L106:M106" si="109">L105+F106</f>
        <v>9759.94</v>
      </c>
      <c r="M106" s="5">
        <f t="shared" si="109"/>
        <v>10820.53</v>
      </c>
      <c r="N106" s="6">
        <f t="shared" si="3"/>
        <v>0.2975375</v>
      </c>
      <c r="O106" s="6">
        <f t="shared" si="4"/>
        <v>0.2131333777</v>
      </c>
    </row>
    <row r="107">
      <c r="A107" s="4">
        <v>45579.0</v>
      </c>
      <c r="B107" s="5">
        <v>95.0</v>
      </c>
      <c r="C107" s="5">
        <v>678869.999999981</v>
      </c>
      <c r="D107" s="5">
        <v>5.22</v>
      </c>
      <c r="E107" s="5">
        <v>86.8</v>
      </c>
      <c r="F107" s="5">
        <v>120.23</v>
      </c>
      <c r="G107" s="5">
        <v>130.97</v>
      </c>
      <c r="H107" s="6">
        <v>1.0</v>
      </c>
      <c r="I107" s="6">
        <v>1.0</v>
      </c>
      <c r="J107" s="6">
        <v>1.0</v>
      </c>
      <c r="K107" s="5">
        <f t="shared" si="17"/>
        <v>48761760</v>
      </c>
      <c r="L107" s="5">
        <f t="shared" ref="L107:M107" si="110">L106+F107</f>
        <v>9880.17</v>
      </c>
      <c r="M107" s="5">
        <f t="shared" si="110"/>
        <v>10951.5</v>
      </c>
      <c r="N107" s="6">
        <f t="shared" si="3"/>
        <v>0.2828625</v>
      </c>
      <c r="O107" s="6">
        <f t="shared" si="4"/>
        <v>0.2138673684</v>
      </c>
    </row>
    <row r="108">
      <c r="A108" s="4">
        <v>45580.0</v>
      </c>
      <c r="B108" s="5">
        <v>96.0</v>
      </c>
      <c r="C108" s="5">
        <v>665260.000000009</v>
      </c>
      <c r="D108" s="5">
        <v>5.06</v>
      </c>
      <c r="E108" s="5">
        <v>86.04</v>
      </c>
      <c r="F108" s="5">
        <v>120.48</v>
      </c>
      <c r="G108" s="5">
        <v>136.15</v>
      </c>
      <c r="H108" s="6">
        <v>1.0</v>
      </c>
      <c r="I108" s="6">
        <v>1.0</v>
      </c>
      <c r="J108" s="6">
        <v>1.0</v>
      </c>
      <c r="K108" s="5">
        <f t="shared" si="17"/>
        <v>49427020</v>
      </c>
      <c r="L108" s="5">
        <f t="shared" ref="L108:M108" si="111">L107+F108</f>
        <v>10000.65</v>
      </c>
      <c r="M108" s="5">
        <f t="shared" si="111"/>
        <v>11087.65</v>
      </c>
      <c r="N108" s="6">
        <f t="shared" si="3"/>
        <v>0.2771916667</v>
      </c>
      <c r="O108" s="6">
        <f t="shared" si="4"/>
        <v>0.2145269965</v>
      </c>
    </row>
    <row r="109">
      <c r="A109" s="4">
        <v>45581.0</v>
      </c>
      <c r="B109" s="5">
        <v>97.0</v>
      </c>
      <c r="C109" s="5">
        <v>628659.999999989</v>
      </c>
      <c r="D109" s="5">
        <v>4.905</v>
      </c>
      <c r="E109" s="5">
        <v>90.22</v>
      </c>
      <c r="F109" s="5">
        <v>120.95</v>
      </c>
      <c r="G109" s="5">
        <v>133.9</v>
      </c>
      <c r="H109" s="6">
        <v>1.0</v>
      </c>
      <c r="I109" s="6">
        <v>1.0</v>
      </c>
      <c r="J109" s="6">
        <v>1.0</v>
      </c>
      <c r="K109" s="5">
        <f t="shared" si="17"/>
        <v>50055680</v>
      </c>
      <c r="L109" s="5">
        <f t="shared" ref="L109:M109" si="112">L108+F109</f>
        <v>10121.6</v>
      </c>
      <c r="M109" s="5">
        <f t="shared" si="112"/>
        <v>11221.55</v>
      </c>
      <c r="N109" s="6">
        <f t="shared" si="3"/>
        <v>0.2619416667</v>
      </c>
      <c r="O109" s="6">
        <f t="shared" si="4"/>
        <v>0.2150158076</v>
      </c>
    </row>
    <row r="110">
      <c r="A110" s="4">
        <v>45582.0</v>
      </c>
      <c r="B110" s="5">
        <v>98.0</v>
      </c>
      <c r="C110" s="5">
        <v>663550.000000017</v>
      </c>
      <c r="D110" s="5">
        <v>5.225</v>
      </c>
      <c r="E110" s="5">
        <v>99.44</v>
      </c>
      <c r="F110" s="5">
        <v>118.8</v>
      </c>
      <c r="G110" s="5">
        <v>122.83</v>
      </c>
      <c r="H110" s="6">
        <v>1.0</v>
      </c>
      <c r="I110" s="6">
        <v>1.0</v>
      </c>
      <c r="J110" s="6">
        <v>1.0</v>
      </c>
      <c r="K110" s="5">
        <f t="shared" si="17"/>
        <v>50719230</v>
      </c>
      <c r="L110" s="5">
        <f t="shared" ref="L110:M110" si="113">L109+F110</f>
        <v>10240.4</v>
      </c>
      <c r="M110" s="5">
        <f t="shared" si="113"/>
        <v>11344.38</v>
      </c>
      <c r="N110" s="6">
        <f t="shared" si="3"/>
        <v>0.2764791667</v>
      </c>
      <c r="O110" s="6">
        <f t="shared" si="4"/>
        <v>0.2156429847</v>
      </c>
    </row>
    <row r="111">
      <c r="A111" s="4">
        <v>45583.0</v>
      </c>
      <c r="B111" s="5">
        <v>99.0</v>
      </c>
      <c r="C111" s="5">
        <v>613720.000000001</v>
      </c>
      <c r="D111" s="5">
        <v>5.02</v>
      </c>
      <c r="E111" s="5">
        <v>80.17</v>
      </c>
      <c r="F111" s="5">
        <v>120.78</v>
      </c>
      <c r="G111" s="5">
        <v>143.34</v>
      </c>
      <c r="H111" s="6">
        <v>1.0</v>
      </c>
      <c r="I111" s="6">
        <v>1.0</v>
      </c>
      <c r="J111" s="6">
        <v>1.0</v>
      </c>
      <c r="K111" s="5">
        <f t="shared" si="17"/>
        <v>51332950</v>
      </c>
      <c r="L111" s="5">
        <f t="shared" ref="L111:M111" si="114">L110+F111</f>
        <v>10361.18</v>
      </c>
      <c r="M111" s="5">
        <f t="shared" si="114"/>
        <v>11487.72</v>
      </c>
      <c r="N111" s="6">
        <f t="shared" si="3"/>
        <v>0.2557166667</v>
      </c>
      <c r="O111" s="6">
        <f t="shared" si="4"/>
        <v>0.2160477694</v>
      </c>
    </row>
    <row r="112">
      <c r="A112" s="4">
        <v>45584.0</v>
      </c>
      <c r="B112" s="5">
        <v>100.0</v>
      </c>
      <c r="C112" s="5">
        <v>567839.999999997</v>
      </c>
      <c r="D112" s="5">
        <v>4.25</v>
      </c>
      <c r="E112" s="5">
        <v>83.05</v>
      </c>
      <c r="F112" s="5">
        <v>116.05</v>
      </c>
      <c r="G112" s="5">
        <v>118.16</v>
      </c>
      <c r="H112" s="6">
        <v>0.999822529837171</v>
      </c>
      <c r="I112" s="6">
        <v>1.0</v>
      </c>
      <c r="J112" s="6">
        <v>1.0</v>
      </c>
      <c r="K112" s="5">
        <f t="shared" si="17"/>
        <v>51900790</v>
      </c>
      <c r="L112" s="5">
        <f t="shared" ref="L112:M112" si="115">L111+F112</f>
        <v>10477.23</v>
      </c>
      <c r="M112" s="5">
        <f t="shared" si="115"/>
        <v>11605.88</v>
      </c>
      <c r="N112" s="6">
        <f t="shared" si="3"/>
        <v>0.2366</v>
      </c>
      <c r="O112" s="6">
        <f t="shared" si="4"/>
        <v>0.2162532917</v>
      </c>
    </row>
    <row r="113">
      <c r="A113" s="4">
        <v>45585.0</v>
      </c>
      <c r="B113" s="5">
        <v>101.0</v>
      </c>
      <c r="C113" s="5">
        <v>418960.000000006</v>
      </c>
      <c r="D113" s="5">
        <v>3.36</v>
      </c>
      <c r="E113" s="5">
        <v>79.88</v>
      </c>
      <c r="F113" s="5">
        <v>120.73</v>
      </c>
      <c r="G113" s="5">
        <v>140.83</v>
      </c>
      <c r="H113" s="6">
        <v>1.0</v>
      </c>
      <c r="I113" s="6">
        <v>1.0</v>
      </c>
      <c r="J113" s="6">
        <v>1.0</v>
      </c>
      <c r="K113" s="5">
        <f t="shared" si="17"/>
        <v>52319750</v>
      </c>
      <c r="L113" s="5">
        <f t="shared" ref="L113:M113" si="116">L112+F113</f>
        <v>10597.96</v>
      </c>
      <c r="M113" s="5">
        <f t="shared" si="116"/>
        <v>11746.71</v>
      </c>
      <c r="N113" s="6">
        <f t="shared" si="3"/>
        <v>0.1745666667</v>
      </c>
      <c r="O113" s="6">
        <f t="shared" si="4"/>
        <v>0.2158405528</v>
      </c>
    </row>
    <row r="114">
      <c r="A114" s="4">
        <v>45586.0</v>
      </c>
      <c r="B114" s="5">
        <v>102.0</v>
      </c>
      <c r="C114" s="5">
        <v>430919.999999998</v>
      </c>
      <c r="D114" s="5">
        <v>3.49</v>
      </c>
      <c r="E114" s="5">
        <v>88.81</v>
      </c>
      <c r="F114" s="5">
        <v>108.42</v>
      </c>
      <c r="G114" s="5">
        <v>112.84</v>
      </c>
      <c r="H114" s="6">
        <v>0.999853445165945</v>
      </c>
      <c r="I114" s="6">
        <v>1.0</v>
      </c>
      <c r="J114" s="6">
        <v>1.0</v>
      </c>
      <c r="K114" s="5">
        <f t="shared" si="17"/>
        <v>52750670</v>
      </c>
      <c r="L114" s="5">
        <f t="shared" ref="L114:M114" si="117">L113+F114</f>
        <v>10706.38</v>
      </c>
      <c r="M114" s="5">
        <f t="shared" si="117"/>
        <v>11859.55</v>
      </c>
      <c r="N114" s="6">
        <f t="shared" si="3"/>
        <v>0.17955</v>
      </c>
      <c r="O114" s="6">
        <f t="shared" si="4"/>
        <v>0.2154847631</v>
      </c>
    </row>
    <row r="115">
      <c r="A115" s="4">
        <v>45587.0</v>
      </c>
      <c r="B115" s="5">
        <v>103.0</v>
      </c>
      <c r="C115" s="5">
        <v>649279.999999984</v>
      </c>
      <c r="D115" s="5">
        <v>4.94</v>
      </c>
      <c r="E115" s="5">
        <v>88.45</v>
      </c>
      <c r="F115" s="5">
        <v>116.32</v>
      </c>
      <c r="G115" s="5">
        <v>129.3</v>
      </c>
      <c r="H115" s="6">
        <v>1.0</v>
      </c>
      <c r="I115" s="6">
        <v>1.0</v>
      </c>
      <c r="J115" s="6">
        <v>1.0</v>
      </c>
      <c r="K115" s="5">
        <f t="shared" si="17"/>
        <v>53399950</v>
      </c>
      <c r="L115" s="5">
        <f t="shared" ref="L115:M115" si="118">L114+F115</f>
        <v>10822.7</v>
      </c>
      <c r="M115" s="5">
        <f t="shared" si="118"/>
        <v>11988.85</v>
      </c>
      <c r="N115" s="6">
        <f t="shared" si="3"/>
        <v>0.2705333333</v>
      </c>
      <c r="O115" s="6">
        <f t="shared" si="4"/>
        <v>0.2160192152</v>
      </c>
    </row>
    <row r="116">
      <c r="A116" s="4">
        <v>45588.0</v>
      </c>
      <c r="B116" s="5">
        <v>104.0</v>
      </c>
      <c r="C116" s="5">
        <v>654370.00000001</v>
      </c>
      <c r="D116" s="5">
        <v>5.045</v>
      </c>
      <c r="E116" s="5">
        <v>90.53</v>
      </c>
      <c r="F116" s="5">
        <v>121.15</v>
      </c>
      <c r="G116" s="5">
        <v>142.81</v>
      </c>
      <c r="H116" s="6">
        <v>1.0</v>
      </c>
      <c r="I116" s="6">
        <v>1.0</v>
      </c>
      <c r="J116" s="6">
        <v>1.0</v>
      </c>
      <c r="K116" s="5">
        <f t="shared" si="17"/>
        <v>54054320</v>
      </c>
      <c r="L116" s="5">
        <f t="shared" ref="L116:M116" si="119">L115+F116</f>
        <v>10943.85</v>
      </c>
      <c r="M116" s="5">
        <f t="shared" si="119"/>
        <v>12131.66</v>
      </c>
      <c r="N116" s="6">
        <f t="shared" si="3"/>
        <v>0.2726541667</v>
      </c>
      <c r="O116" s="6">
        <f t="shared" si="4"/>
        <v>0.2165637821</v>
      </c>
    </row>
    <row r="117">
      <c r="A117" s="4">
        <v>45589.0</v>
      </c>
      <c r="B117" s="5">
        <v>105.0</v>
      </c>
      <c r="C117" s="5">
        <v>607830.000000002</v>
      </c>
      <c r="D117" s="5">
        <v>4.6</v>
      </c>
      <c r="E117" s="5">
        <v>92.69</v>
      </c>
      <c r="F117" s="5">
        <v>113.08</v>
      </c>
      <c r="G117" s="5">
        <v>132.24</v>
      </c>
      <c r="H117" s="6">
        <v>1.0</v>
      </c>
      <c r="I117" s="6">
        <v>1.0</v>
      </c>
      <c r="J117" s="6">
        <v>1.0</v>
      </c>
      <c r="K117" s="5">
        <f t="shared" si="17"/>
        <v>54662150</v>
      </c>
      <c r="L117" s="5">
        <f t="shared" ref="L117:M117" si="120">L116+F117</f>
        <v>11056.93</v>
      </c>
      <c r="M117" s="5">
        <f t="shared" si="120"/>
        <v>12263.9</v>
      </c>
      <c r="N117" s="6">
        <f t="shared" si="3"/>
        <v>0.2532625</v>
      </c>
      <c r="O117" s="6">
        <f t="shared" si="4"/>
        <v>0.2169132937</v>
      </c>
    </row>
    <row r="118">
      <c r="A118" s="4">
        <v>45590.0</v>
      </c>
      <c r="B118" s="5">
        <v>106.0</v>
      </c>
      <c r="C118" s="5">
        <v>593269.99999999</v>
      </c>
      <c r="D118" s="5">
        <v>4.55</v>
      </c>
      <c r="E118" s="5">
        <v>95.05</v>
      </c>
      <c r="F118" s="5">
        <v>121.23</v>
      </c>
      <c r="G118" s="5">
        <v>128.34</v>
      </c>
      <c r="H118" s="6">
        <v>0.999761482894916</v>
      </c>
      <c r="I118" s="6">
        <v>1.0</v>
      </c>
      <c r="J118" s="6">
        <v>1.0</v>
      </c>
      <c r="K118" s="5">
        <f t="shared" si="17"/>
        <v>55255420</v>
      </c>
      <c r="L118" s="5">
        <f t="shared" ref="L118:M118" si="121">L117+F118</f>
        <v>11178.16</v>
      </c>
      <c r="M118" s="5">
        <f t="shared" si="121"/>
        <v>12392.24</v>
      </c>
      <c r="N118" s="6">
        <f t="shared" si="3"/>
        <v>0.2471958333</v>
      </c>
      <c r="O118" s="6">
        <f t="shared" si="4"/>
        <v>0.217198978</v>
      </c>
    </row>
    <row r="119">
      <c r="A119" s="4">
        <v>45591.0</v>
      </c>
      <c r="B119" s="5">
        <v>107.0</v>
      </c>
      <c r="C119" s="5">
        <v>687680.000000008</v>
      </c>
      <c r="D119" s="5">
        <v>5.21</v>
      </c>
      <c r="E119" s="5">
        <v>90.96</v>
      </c>
      <c r="F119" s="5">
        <v>121.38</v>
      </c>
      <c r="G119" s="5">
        <v>133.63</v>
      </c>
      <c r="H119" s="6">
        <v>1.0</v>
      </c>
      <c r="I119" s="6">
        <v>1.0</v>
      </c>
      <c r="J119" s="6">
        <v>1.0</v>
      </c>
      <c r="K119" s="5">
        <f t="shared" si="17"/>
        <v>55943100</v>
      </c>
      <c r="L119" s="5">
        <f t="shared" ref="L119:M119" si="122">L118+F119</f>
        <v>11299.54</v>
      </c>
      <c r="M119" s="5">
        <f t="shared" si="122"/>
        <v>12525.87</v>
      </c>
      <c r="N119" s="6">
        <f t="shared" si="3"/>
        <v>0.2865333333</v>
      </c>
      <c r="O119" s="6">
        <f t="shared" si="4"/>
        <v>0.2178469626</v>
      </c>
    </row>
    <row r="120">
      <c r="A120" s="4">
        <v>45592.0</v>
      </c>
      <c r="B120" s="5">
        <v>108.0</v>
      </c>
      <c r="C120" s="5">
        <v>622440.000000002</v>
      </c>
      <c r="D120" s="5">
        <v>4.68</v>
      </c>
      <c r="E120" s="5">
        <v>90.73</v>
      </c>
      <c r="F120" s="5">
        <v>120.57</v>
      </c>
      <c r="G120" s="5">
        <v>135.69</v>
      </c>
      <c r="H120" s="6">
        <v>0.999887265512266</v>
      </c>
      <c r="I120" s="6">
        <v>1.0</v>
      </c>
      <c r="J120" s="6">
        <v>1.0</v>
      </c>
      <c r="K120" s="5">
        <f t="shared" si="17"/>
        <v>56565540</v>
      </c>
      <c r="L120" s="5">
        <f t="shared" ref="L120:M120" si="123">L119+F120</f>
        <v>11420.11</v>
      </c>
      <c r="M120" s="5">
        <f t="shared" si="123"/>
        <v>12661.56</v>
      </c>
      <c r="N120" s="6">
        <f t="shared" si="3"/>
        <v>0.25935</v>
      </c>
      <c r="O120" s="6">
        <f t="shared" si="4"/>
        <v>0.21823125</v>
      </c>
    </row>
    <row r="121">
      <c r="A121" s="4">
        <v>45593.0</v>
      </c>
      <c r="B121" s="5">
        <v>109.0</v>
      </c>
      <c r="C121" s="5">
        <v>428559.999999998</v>
      </c>
      <c r="D121" s="5">
        <v>3.36</v>
      </c>
      <c r="E121" s="5">
        <v>71.0</v>
      </c>
      <c r="F121" s="5">
        <v>120.82</v>
      </c>
      <c r="G121" s="5">
        <v>129.42</v>
      </c>
      <c r="H121" s="6">
        <v>0.999865120043162</v>
      </c>
      <c r="I121" s="6">
        <v>1.0</v>
      </c>
      <c r="J121" s="6">
        <v>1.0</v>
      </c>
      <c r="K121" s="5">
        <f t="shared" si="17"/>
        <v>56994100</v>
      </c>
      <c r="L121" s="5">
        <f t="shared" ref="L121:M121" si="124">L120+F121</f>
        <v>11540.93</v>
      </c>
      <c r="M121" s="5">
        <f t="shared" si="124"/>
        <v>12790.98</v>
      </c>
      <c r="N121" s="6">
        <f t="shared" si="3"/>
        <v>0.1785666667</v>
      </c>
      <c r="O121" s="6">
        <f t="shared" si="4"/>
        <v>0.2178673547</v>
      </c>
    </row>
    <row r="122">
      <c r="A122" s="4">
        <v>45594.0</v>
      </c>
      <c r="B122" s="5">
        <v>110.0</v>
      </c>
      <c r="C122" s="5">
        <v>432169.999999984</v>
      </c>
      <c r="D122" s="5">
        <v>3.305</v>
      </c>
      <c r="E122" s="5">
        <v>73.0</v>
      </c>
      <c r="F122" s="5">
        <v>120.79</v>
      </c>
      <c r="G122" s="5">
        <v>132.93</v>
      </c>
      <c r="H122" s="6">
        <v>0.999886590455453</v>
      </c>
      <c r="I122" s="6">
        <v>1.0</v>
      </c>
      <c r="J122" s="6">
        <v>1.0</v>
      </c>
      <c r="K122" s="5">
        <f t="shared" si="17"/>
        <v>57426270</v>
      </c>
      <c r="L122" s="5">
        <f t="shared" ref="L122:M122" si="125">L121+F122</f>
        <v>11661.72</v>
      </c>
      <c r="M122" s="5">
        <f t="shared" si="125"/>
        <v>12923.91</v>
      </c>
      <c r="N122" s="6">
        <f t="shared" si="3"/>
        <v>0.1800708333</v>
      </c>
      <c r="O122" s="6">
        <f t="shared" si="4"/>
        <v>0.21752375</v>
      </c>
    </row>
    <row r="123">
      <c r="A123" s="4">
        <v>45595.0</v>
      </c>
      <c r="B123" s="5">
        <v>111.0</v>
      </c>
      <c r="C123" s="5">
        <v>531030.000000013</v>
      </c>
      <c r="D123" s="5">
        <v>4.205</v>
      </c>
      <c r="E123" s="5">
        <v>78.4</v>
      </c>
      <c r="F123" s="5">
        <v>120.55</v>
      </c>
      <c r="G123" s="5">
        <v>138.3</v>
      </c>
      <c r="H123" s="6">
        <v>0.999897470950103</v>
      </c>
      <c r="I123" s="6">
        <v>1.0</v>
      </c>
      <c r="J123" s="6">
        <v>1.0</v>
      </c>
      <c r="K123" s="5">
        <f t="shared" si="17"/>
        <v>57957300</v>
      </c>
      <c r="L123" s="5">
        <f t="shared" ref="L123:M123" si="126">L122+F123</f>
        <v>11782.27</v>
      </c>
      <c r="M123" s="5">
        <f t="shared" si="126"/>
        <v>13062.21</v>
      </c>
      <c r="N123" s="6">
        <f t="shared" si="3"/>
        <v>0.2212625</v>
      </c>
      <c r="O123" s="6">
        <f t="shared" si="4"/>
        <v>0.2175574324</v>
      </c>
    </row>
    <row r="124">
      <c r="A124" s="4">
        <v>45596.0</v>
      </c>
      <c r="B124" s="5">
        <v>112.0</v>
      </c>
      <c r="C124" s="5">
        <v>494769.99999999</v>
      </c>
      <c r="D124" s="5">
        <v>3.845</v>
      </c>
      <c r="E124" s="5">
        <v>66.12</v>
      </c>
      <c r="F124" s="5">
        <v>120.55</v>
      </c>
      <c r="G124" s="5">
        <v>128.91</v>
      </c>
      <c r="H124" s="6">
        <v>0.999828602769779</v>
      </c>
      <c r="I124" s="6">
        <v>1.0</v>
      </c>
      <c r="J124" s="6">
        <v>1.0</v>
      </c>
      <c r="K124" s="5">
        <f t="shared" si="17"/>
        <v>58452070</v>
      </c>
      <c r="L124" s="5">
        <f t="shared" ref="L124:M124" si="127">L123+F124</f>
        <v>11902.82</v>
      </c>
      <c r="M124" s="5">
        <f t="shared" si="127"/>
        <v>13191.12</v>
      </c>
      <c r="N124" s="6">
        <f t="shared" si="3"/>
        <v>0.2061541667</v>
      </c>
      <c r="O124" s="6">
        <f t="shared" si="4"/>
        <v>0.2174556176</v>
      </c>
    </row>
    <row r="125">
      <c r="A125" s="4">
        <v>45597.0</v>
      </c>
      <c r="B125" s="5">
        <v>113.0</v>
      </c>
      <c r="C125" s="5">
        <v>660730.00000001</v>
      </c>
      <c r="D125" s="5">
        <v>5.035</v>
      </c>
      <c r="E125" s="5">
        <v>90.03</v>
      </c>
      <c r="F125" s="5">
        <v>120.55</v>
      </c>
      <c r="G125" s="5">
        <v>131.13</v>
      </c>
      <c r="H125" s="6">
        <v>0.999942781287192</v>
      </c>
      <c r="I125" s="6">
        <v>1.0</v>
      </c>
      <c r="J125" s="6">
        <v>1.0</v>
      </c>
      <c r="K125" s="5">
        <f t="shared" si="17"/>
        <v>59112800</v>
      </c>
      <c r="L125" s="5">
        <f t="shared" ref="L125:M125" si="128">L124+F125</f>
        <v>12023.37</v>
      </c>
      <c r="M125" s="5">
        <f t="shared" si="128"/>
        <v>13322.25</v>
      </c>
      <c r="N125" s="6">
        <f t="shared" si="3"/>
        <v>0.2753041667</v>
      </c>
      <c r="O125" s="6">
        <f t="shared" si="4"/>
        <v>0.2179675516</v>
      </c>
    </row>
    <row r="126">
      <c r="A126" s="4">
        <v>45598.0</v>
      </c>
      <c r="B126" s="5">
        <v>114.0</v>
      </c>
      <c r="C126" s="5">
        <v>615220.000000001</v>
      </c>
      <c r="D126" s="5">
        <v>4.71</v>
      </c>
      <c r="E126" s="5">
        <v>86.43</v>
      </c>
      <c r="F126" s="5">
        <v>120.61</v>
      </c>
      <c r="G126" s="5">
        <v>135.44</v>
      </c>
      <c r="H126" s="6">
        <v>1.0</v>
      </c>
      <c r="I126" s="6">
        <v>1.0</v>
      </c>
      <c r="J126" s="6">
        <v>1.0</v>
      </c>
      <c r="K126" s="5">
        <f t="shared" si="17"/>
        <v>59728020</v>
      </c>
      <c r="L126" s="5">
        <f t="shared" ref="L126:M126" si="129">L125+F126</f>
        <v>12143.98</v>
      </c>
      <c r="M126" s="5">
        <f t="shared" si="129"/>
        <v>13457.69</v>
      </c>
      <c r="N126" s="6">
        <f t="shared" si="3"/>
        <v>0.2563416667</v>
      </c>
      <c r="O126" s="6">
        <f t="shared" si="4"/>
        <v>0.2183041667</v>
      </c>
    </row>
    <row r="127">
      <c r="A127" s="4">
        <v>45599.0</v>
      </c>
      <c r="B127" s="5">
        <v>115.0</v>
      </c>
      <c r="C127" s="5">
        <v>555430.000000008</v>
      </c>
      <c r="D127" s="5">
        <v>4.36</v>
      </c>
      <c r="E127" s="5">
        <v>82.53</v>
      </c>
      <c r="F127" s="5">
        <v>120.49</v>
      </c>
      <c r="G127" s="5">
        <v>134.87</v>
      </c>
      <c r="H127" s="6">
        <v>1.0</v>
      </c>
      <c r="I127" s="6">
        <v>1.0</v>
      </c>
      <c r="J127" s="6">
        <v>1.0</v>
      </c>
      <c r="K127" s="5">
        <f t="shared" si="17"/>
        <v>60283450</v>
      </c>
      <c r="L127" s="5">
        <f t="shared" ref="L127:M127" si="130">L126+F127</f>
        <v>12264.47</v>
      </c>
      <c r="M127" s="5">
        <f t="shared" si="130"/>
        <v>13592.56</v>
      </c>
      <c r="N127" s="6">
        <f t="shared" si="3"/>
        <v>0.2314291667</v>
      </c>
      <c r="O127" s="6">
        <f t="shared" si="4"/>
        <v>0.2184182971</v>
      </c>
    </row>
    <row r="128">
      <c r="A128" s="4">
        <v>45600.0</v>
      </c>
      <c r="B128" s="5">
        <v>116.0</v>
      </c>
      <c r="C128" s="5">
        <v>612309.999999983</v>
      </c>
      <c r="D128" s="5">
        <v>4.705</v>
      </c>
      <c r="E128" s="5">
        <v>83.35</v>
      </c>
      <c r="F128" s="5">
        <v>121.56</v>
      </c>
      <c r="G128" s="5">
        <v>134.35</v>
      </c>
      <c r="H128" s="6">
        <v>1.0</v>
      </c>
      <c r="I128" s="6">
        <v>1.0</v>
      </c>
      <c r="J128" s="6">
        <v>1.0</v>
      </c>
      <c r="K128" s="5">
        <f t="shared" si="17"/>
        <v>60895760</v>
      </c>
      <c r="L128" s="5">
        <f t="shared" ref="L128:M128" si="131">L127+F128</f>
        <v>12386.03</v>
      </c>
      <c r="M128" s="5">
        <f t="shared" si="131"/>
        <v>13726.91</v>
      </c>
      <c r="N128" s="6">
        <f t="shared" si="3"/>
        <v>0.2551291667</v>
      </c>
      <c r="O128" s="6">
        <f t="shared" si="4"/>
        <v>0.2187347701</v>
      </c>
    </row>
    <row r="129">
      <c r="A129" s="4">
        <v>45601.0</v>
      </c>
      <c r="B129" s="5">
        <v>117.0</v>
      </c>
      <c r="C129" s="5">
        <v>594770.000000004</v>
      </c>
      <c r="D129" s="5">
        <v>4.55</v>
      </c>
      <c r="E129" s="5">
        <v>83.2</v>
      </c>
      <c r="F129" s="5">
        <v>120.26</v>
      </c>
      <c r="G129" s="5">
        <v>134.57</v>
      </c>
      <c r="H129" s="6">
        <v>1.0</v>
      </c>
      <c r="I129" s="6">
        <v>1.0</v>
      </c>
      <c r="J129" s="6">
        <v>1.0</v>
      </c>
      <c r="K129" s="5">
        <f t="shared" si="17"/>
        <v>61490530</v>
      </c>
      <c r="L129" s="5">
        <f t="shared" ref="L129:M129" si="132">L128+F129</f>
        <v>12506.29</v>
      </c>
      <c r="M129" s="5">
        <f t="shared" si="132"/>
        <v>13861.48</v>
      </c>
      <c r="N129" s="6">
        <f t="shared" si="3"/>
        <v>0.2478208333</v>
      </c>
      <c r="O129" s="6">
        <f t="shared" si="4"/>
        <v>0.2189833689</v>
      </c>
    </row>
    <row r="130">
      <c r="A130" s="4">
        <v>45602.0</v>
      </c>
      <c r="B130" s="5">
        <v>118.0</v>
      </c>
      <c r="C130" s="5">
        <v>532940.000000002</v>
      </c>
      <c r="D130" s="5">
        <v>4.415</v>
      </c>
      <c r="E130" s="5">
        <v>64.11</v>
      </c>
      <c r="F130" s="5">
        <v>120.84</v>
      </c>
      <c r="G130" s="5">
        <v>136.29</v>
      </c>
      <c r="H130" s="6">
        <v>0.99837167405765</v>
      </c>
      <c r="I130" s="6">
        <v>1.0</v>
      </c>
      <c r="J130" s="6">
        <v>1.0</v>
      </c>
      <c r="K130" s="5">
        <f t="shared" si="17"/>
        <v>62023470</v>
      </c>
      <c r="L130" s="5">
        <f t="shared" ref="L130:M130" si="133">L129+F130</f>
        <v>12627.13</v>
      </c>
      <c r="M130" s="5">
        <f t="shared" si="133"/>
        <v>13997.77</v>
      </c>
      <c r="N130" s="6">
        <f t="shared" si="3"/>
        <v>0.2220583333</v>
      </c>
      <c r="O130" s="6">
        <f t="shared" si="4"/>
        <v>0.219009428</v>
      </c>
    </row>
    <row r="131">
      <c r="A131" s="4">
        <v>45603.0</v>
      </c>
      <c r="B131" s="5">
        <v>119.0</v>
      </c>
      <c r="C131" s="5">
        <v>534660.000000003</v>
      </c>
      <c r="D131" s="5">
        <v>4.23</v>
      </c>
      <c r="E131" s="5">
        <v>76.09</v>
      </c>
      <c r="F131" s="5">
        <v>120.28</v>
      </c>
      <c r="G131" s="5">
        <v>134.47</v>
      </c>
      <c r="H131" s="6">
        <v>0.999758587391364</v>
      </c>
      <c r="I131" s="6">
        <v>1.0</v>
      </c>
      <c r="J131" s="6">
        <v>1.0</v>
      </c>
      <c r="K131" s="5">
        <f t="shared" si="17"/>
        <v>62558130</v>
      </c>
      <c r="L131" s="5">
        <f t="shared" ref="L131:M131" si="134">L130+F131</f>
        <v>12747.41</v>
      </c>
      <c r="M131" s="5">
        <f t="shared" si="134"/>
        <v>14132.24</v>
      </c>
      <c r="N131" s="6">
        <f t="shared" si="3"/>
        <v>0.222775</v>
      </c>
      <c r="O131" s="6">
        <f t="shared" si="4"/>
        <v>0.2190410714</v>
      </c>
    </row>
    <row r="132">
      <c r="A132" s="4">
        <v>45604.0</v>
      </c>
      <c r="B132" s="5">
        <v>120.0</v>
      </c>
      <c r="C132" s="5">
        <v>577209.999999992</v>
      </c>
      <c r="D132" s="5">
        <v>4.48</v>
      </c>
      <c r="E132" s="5">
        <v>82.74</v>
      </c>
      <c r="F132" s="5">
        <v>120.31</v>
      </c>
      <c r="G132" s="5">
        <v>132.92</v>
      </c>
      <c r="H132" s="6">
        <v>0.999861419068736</v>
      </c>
      <c r="I132" s="6">
        <v>1.0</v>
      </c>
      <c r="J132" s="6">
        <v>1.0</v>
      </c>
      <c r="K132" s="5">
        <f t="shared" si="17"/>
        <v>63135340</v>
      </c>
      <c r="L132" s="5">
        <f t="shared" ref="L132:M132" si="135">L131+F132</f>
        <v>12867.72</v>
      </c>
      <c r="M132" s="5">
        <f t="shared" si="135"/>
        <v>14265.16</v>
      </c>
      <c r="N132" s="6">
        <f t="shared" si="3"/>
        <v>0.2405041667</v>
      </c>
      <c r="O132" s="6">
        <f t="shared" si="4"/>
        <v>0.2192199306</v>
      </c>
    </row>
    <row r="133">
      <c r="A133" s="4">
        <v>45605.0</v>
      </c>
      <c r="B133" s="5">
        <v>121.0</v>
      </c>
      <c r="C133" s="5">
        <v>528300.000000003</v>
      </c>
      <c r="D133" s="5">
        <v>4.115</v>
      </c>
      <c r="E133" s="5">
        <v>78.73</v>
      </c>
      <c r="F133" s="5">
        <v>121.43</v>
      </c>
      <c r="G133" s="5">
        <v>129.59</v>
      </c>
      <c r="H133" s="6">
        <v>1.0</v>
      </c>
      <c r="I133" s="6">
        <v>1.0</v>
      </c>
      <c r="J133" s="6">
        <v>1.0</v>
      </c>
      <c r="K133" s="5">
        <f t="shared" si="17"/>
        <v>63663640</v>
      </c>
      <c r="L133" s="5">
        <f t="shared" ref="L133:M133" si="136">L132+F133</f>
        <v>12989.15</v>
      </c>
      <c r="M133" s="5">
        <f t="shared" si="136"/>
        <v>14394.75</v>
      </c>
      <c r="N133" s="6">
        <f t="shared" si="3"/>
        <v>0.220125</v>
      </c>
      <c r="O133" s="6">
        <f t="shared" si="4"/>
        <v>0.2192274105</v>
      </c>
    </row>
    <row r="134">
      <c r="A134" s="4">
        <v>45606.0</v>
      </c>
      <c r="B134" s="5">
        <v>122.0</v>
      </c>
      <c r="C134" s="5">
        <v>477029.999999999</v>
      </c>
      <c r="D134" s="5">
        <v>3.83</v>
      </c>
      <c r="E134" s="5">
        <v>70.49</v>
      </c>
      <c r="F134" s="5">
        <v>121.27</v>
      </c>
      <c r="G134" s="5">
        <v>134.87</v>
      </c>
      <c r="H134" s="6">
        <v>0.997694838291169</v>
      </c>
      <c r="I134" s="6">
        <v>1.0</v>
      </c>
      <c r="J134" s="6">
        <v>1.0</v>
      </c>
      <c r="K134" s="5">
        <f t="shared" si="17"/>
        <v>64140670</v>
      </c>
      <c r="L134" s="5">
        <f t="shared" ref="L134:M134" si="137">L133+F134</f>
        <v>13110.42</v>
      </c>
      <c r="M134" s="5">
        <f t="shared" si="137"/>
        <v>14529.62</v>
      </c>
      <c r="N134" s="6">
        <f t="shared" si="3"/>
        <v>0.1987625</v>
      </c>
      <c r="O134" s="6">
        <f t="shared" si="4"/>
        <v>0.2190596653</v>
      </c>
    </row>
    <row r="135">
      <c r="A135" s="4">
        <v>45607.0</v>
      </c>
      <c r="B135" s="5">
        <v>123.0</v>
      </c>
      <c r="C135" s="5">
        <v>509880.000000005</v>
      </c>
      <c r="D135" s="5">
        <v>4.02</v>
      </c>
      <c r="E135" s="5">
        <v>77.86</v>
      </c>
      <c r="F135" s="5">
        <v>121.99</v>
      </c>
      <c r="G135" s="5">
        <v>134.98</v>
      </c>
      <c r="H135" s="6">
        <v>1.0</v>
      </c>
      <c r="I135" s="6">
        <v>1.0</v>
      </c>
      <c r="J135" s="6">
        <v>1.0</v>
      </c>
      <c r="K135" s="5">
        <f t="shared" si="17"/>
        <v>64650550</v>
      </c>
      <c r="L135" s="5">
        <f t="shared" ref="L135:M135" si="138">L134+F135</f>
        <v>13232.41</v>
      </c>
      <c r="M135" s="5">
        <f t="shared" si="138"/>
        <v>14664.6</v>
      </c>
      <c r="N135" s="6">
        <f t="shared" si="3"/>
        <v>0.21245</v>
      </c>
      <c r="O135" s="6">
        <f t="shared" si="4"/>
        <v>0.2190059282</v>
      </c>
    </row>
    <row r="136">
      <c r="A136" s="4">
        <v>45608.0</v>
      </c>
      <c r="B136" s="5">
        <v>124.0</v>
      </c>
      <c r="C136" s="5">
        <v>599630.000000005</v>
      </c>
      <c r="D136" s="5">
        <v>4.655</v>
      </c>
      <c r="E136" s="5">
        <v>83.94</v>
      </c>
      <c r="F136" s="5">
        <v>122.08</v>
      </c>
      <c r="G136" s="5">
        <v>133.33</v>
      </c>
      <c r="H136" s="6">
        <v>1.0</v>
      </c>
      <c r="I136" s="6">
        <v>1.0</v>
      </c>
      <c r="J136" s="6">
        <v>1.0</v>
      </c>
      <c r="K136" s="5">
        <f t="shared" si="17"/>
        <v>65250180</v>
      </c>
      <c r="L136" s="5">
        <f t="shared" ref="L136:M136" si="139">L135+F136</f>
        <v>13354.49</v>
      </c>
      <c r="M136" s="5">
        <f t="shared" si="139"/>
        <v>14797.93</v>
      </c>
      <c r="N136" s="6">
        <f t="shared" si="3"/>
        <v>0.2498458333</v>
      </c>
      <c r="O136" s="6">
        <f t="shared" si="4"/>
        <v>0.2192546371</v>
      </c>
    </row>
    <row r="137">
      <c r="A137" s="4">
        <v>45609.0</v>
      </c>
      <c r="B137" s="5">
        <v>125.0</v>
      </c>
      <c r="C137" s="5">
        <v>584850.000000006</v>
      </c>
      <c r="D137" s="5">
        <v>4.87</v>
      </c>
      <c r="E137" s="5">
        <v>79.36</v>
      </c>
      <c r="F137" s="5">
        <v>121.28</v>
      </c>
      <c r="G137" s="5">
        <v>134.38</v>
      </c>
      <c r="H137" s="6">
        <v>0.999422579453067</v>
      </c>
      <c r="I137" s="6">
        <v>1.0</v>
      </c>
      <c r="J137" s="6">
        <v>1.0</v>
      </c>
      <c r="K137" s="5">
        <f t="shared" si="17"/>
        <v>65835030</v>
      </c>
      <c r="L137" s="5">
        <f t="shared" ref="L137:M137" si="140">L136+F137</f>
        <v>13475.77</v>
      </c>
      <c r="M137" s="5">
        <f t="shared" si="140"/>
        <v>14932.31</v>
      </c>
      <c r="N137" s="6">
        <f t="shared" si="3"/>
        <v>0.2436875</v>
      </c>
      <c r="O137" s="6">
        <f t="shared" si="4"/>
        <v>0.2194501</v>
      </c>
    </row>
    <row r="138">
      <c r="A138" s="4">
        <v>45610.0</v>
      </c>
      <c r="B138" s="5">
        <v>126.0</v>
      </c>
      <c r="C138" s="5">
        <v>613899.999999994</v>
      </c>
      <c r="D138" s="5">
        <v>4.67</v>
      </c>
      <c r="E138" s="5">
        <v>84.15</v>
      </c>
      <c r="F138" s="5">
        <v>121.9</v>
      </c>
      <c r="G138" s="5">
        <v>132.61</v>
      </c>
      <c r="H138" s="6">
        <v>1.0</v>
      </c>
      <c r="I138" s="6">
        <v>1.0</v>
      </c>
      <c r="J138" s="6">
        <v>1.0</v>
      </c>
      <c r="K138" s="5">
        <f t="shared" si="17"/>
        <v>66448930</v>
      </c>
      <c r="L138" s="5">
        <f t="shared" ref="L138:M138" si="141">L137+F138</f>
        <v>13597.67</v>
      </c>
      <c r="M138" s="5">
        <f t="shared" si="141"/>
        <v>15064.92</v>
      </c>
      <c r="N138" s="6">
        <f t="shared" si="3"/>
        <v>0.2557916667</v>
      </c>
      <c r="O138" s="6">
        <f t="shared" si="4"/>
        <v>0.2197385251</v>
      </c>
    </row>
    <row r="139">
      <c r="A139" s="4">
        <v>45611.0</v>
      </c>
      <c r="B139" s="5">
        <v>127.0</v>
      </c>
      <c r="C139" s="5">
        <v>617149.999999994</v>
      </c>
      <c r="D139" s="5">
        <v>4.78</v>
      </c>
      <c r="E139" s="5">
        <v>84.31</v>
      </c>
      <c r="F139" s="5">
        <v>122.1</v>
      </c>
      <c r="G139" s="5">
        <v>135.52</v>
      </c>
      <c r="H139" s="6">
        <v>0.999871399176955</v>
      </c>
      <c r="I139" s="6">
        <v>1.0</v>
      </c>
      <c r="J139" s="6">
        <v>1.0</v>
      </c>
      <c r="K139" s="5">
        <f t="shared" si="17"/>
        <v>67066080</v>
      </c>
      <c r="L139" s="5">
        <f t="shared" ref="L139:M139" si="142">L138+F139</f>
        <v>13719.77</v>
      </c>
      <c r="M139" s="5">
        <f t="shared" si="142"/>
        <v>15200.44</v>
      </c>
      <c r="N139" s="6">
        <f t="shared" si="3"/>
        <v>0.2571458333</v>
      </c>
      <c r="O139" s="6">
        <f t="shared" si="4"/>
        <v>0.2200330709</v>
      </c>
    </row>
    <row r="140">
      <c r="A140" s="4">
        <v>45612.0</v>
      </c>
      <c r="B140" s="5">
        <v>128.0</v>
      </c>
      <c r="C140" s="5">
        <v>600230.00000001</v>
      </c>
      <c r="D140" s="5">
        <v>4.62</v>
      </c>
      <c r="E140" s="5">
        <v>84.32</v>
      </c>
      <c r="F140" s="5">
        <v>120.96</v>
      </c>
      <c r="G140" s="5">
        <v>134.65</v>
      </c>
      <c r="H140" s="6">
        <v>0.999801864801865</v>
      </c>
      <c r="I140" s="6">
        <v>1.0</v>
      </c>
      <c r="J140" s="6">
        <v>1.0</v>
      </c>
      <c r="K140" s="5">
        <f t="shared" si="17"/>
        <v>67666310</v>
      </c>
      <c r="L140" s="5">
        <f t="shared" ref="L140:M140" si="143">L139+F140</f>
        <v>13840.73</v>
      </c>
      <c r="M140" s="5">
        <f t="shared" si="143"/>
        <v>15335.09</v>
      </c>
      <c r="N140" s="6">
        <f t="shared" si="3"/>
        <v>0.2500958333</v>
      </c>
      <c r="O140" s="6">
        <f t="shared" si="4"/>
        <v>0.2202679362</v>
      </c>
    </row>
    <row r="141">
      <c r="A141" s="4">
        <v>45613.0</v>
      </c>
      <c r="B141" s="5">
        <v>129.0</v>
      </c>
      <c r="C141" s="5">
        <v>567629.99999999</v>
      </c>
      <c r="D141" s="5">
        <v>4.395</v>
      </c>
      <c r="E141" s="5">
        <v>79.37</v>
      </c>
      <c r="F141" s="5">
        <v>121.32</v>
      </c>
      <c r="G141" s="5">
        <v>135.54</v>
      </c>
      <c r="H141" s="6">
        <v>0.999906616239436</v>
      </c>
      <c r="I141" s="6">
        <v>1.0</v>
      </c>
      <c r="J141" s="6">
        <v>1.0</v>
      </c>
      <c r="K141" s="5">
        <f t="shared" si="17"/>
        <v>68233940</v>
      </c>
      <c r="L141" s="5">
        <f t="shared" ref="L141:M141" si="144">L140+F141</f>
        <v>13962.05</v>
      </c>
      <c r="M141" s="5">
        <f t="shared" si="144"/>
        <v>15470.63</v>
      </c>
      <c r="N141" s="6">
        <f t="shared" si="3"/>
        <v>0.2365125</v>
      </c>
      <c r="O141" s="6">
        <f t="shared" si="4"/>
        <v>0.220393863</v>
      </c>
    </row>
    <row r="142">
      <c r="A142" s="4">
        <v>45614.0</v>
      </c>
      <c r="B142" s="5">
        <v>130.0</v>
      </c>
      <c r="C142" s="5">
        <v>602000.0</v>
      </c>
      <c r="D142" s="5">
        <v>4.58</v>
      </c>
      <c r="E142" s="5">
        <v>82.56</v>
      </c>
      <c r="F142" s="5">
        <v>118.09</v>
      </c>
      <c r="G142" s="5">
        <v>125.73</v>
      </c>
      <c r="H142" s="6">
        <v>0.999918036625919</v>
      </c>
      <c r="I142" s="6">
        <v>1.0</v>
      </c>
      <c r="J142" s="6">
        <v>0.997468620757566</v>
      </c>
      <c r="K142" s="5">
        <f t="shared" si="17"/>
        <v>68835940</v>
      </c>
      <c r="L142" s="5">
        <f t="shared" ref="L142:M142" si="145">L141+F142</f>
        <v>14080.14</v>
      </c>
      <c r="M142" s="5">
        <f t="shared" si="145"/>
        <v>15596.36</v>
      </c>
      <c r="N142" s="6">
        <f t="shared" si="3"/>
        <v>0.2508333333</v>
      </c>
      <c r="O142" s="6">
        <f t="shared" si="4"/>
        <v>0.2206280128</v>
      </c>
    </row>
    <row r="143">
      <c r="A143" s="4">
        <v>45615.0</v>
      </c>
      <c r="B143" s="5">
        <v>131.0</v>
      </c>
      <c r="C143" s="5">
        <v>530960.000000006</v>
      </c>
      <c r="D143" s="5">
        <v>4.125</v>
      </c>
      <c r="E143" s="5">
        <v>75.94</v>
      </c>
      <c r="F143" s="5">
        <v>121.11</v>
      </c>
      <c r="G143" s="5">
        <v>136.41</v>
      </c>
      <c r="H143" s="6">
        <v>0.999752580234695</v>
      </c>
      <c r="I143" s="6">
        <v>1.0</v>
      </c>
      <c r="J143" s="6">
        <v>1.0</v>
      </c>
      <c r="K143" s="5">
        <f t="shared" si="17"/>
        <v>69366900</v>
      </c>
      <c r="L143" s="5">
        <f t="shared" ref="L143:M143" si="146">L142+F143</f>
        <v>14201.25</v>
      </c>
      <c r="M143" s="5">
        <f t="shared" si="146"/>
        <v>15732.77</v>
      </c>
      <c r="N143" s="6">
        <f t="shared" si="3"/>
        <v>0.2212333333</v>
      </c>
      <c r="O143" s="6">
        <f t="shared" si="4"/>
        <v>0.2206326336</v>
      </c>
    </row>
    <row r="144">
      <c r="A144" s="4">
        <v>45616.0</v>
      </c>
      <c r="B144" s="5">
        <v>132.0</v>
      </c>
      <c r="C144" s="5">
        <v>516219.999999987</v>
      </c>
      <c r="D144" s="5">
        <v>4.01</v>
      </c>
      <c r="E144" s="5">
        <v>72.86</v>
      </c>
      <c r="F144" s="5">
        <v>121.02</v>
      </c>
      <c r="G144" s="5">
        <v>134.75</v>
      </c>
      <c r="H144" s="6">
        <v>0.999870801033592</v>
      </c>
      <c r="I144" s="6">
        <v>1.0</v>
      </c>
      <c r="J144" s="6">
        <v>1.0</v>
      </c>
      <c r="K144" s="5">
        <f t="shared" si="17"/>
        <v>69883120</v>
      </c>
      <c r="L144" s="5">
        <f t="shared" ref="L144:M144" si="147">L143+F144</f>
        <v>14322.27</v>
      </c>
      <c r="M144" s="5">
        <f t="shared" si="147"/>
        <v>15867.52</v>
      </c>
      <c r="N144" s="6">
        <f t="shared" si="3"/>
        <v>0.2150916667</v>
      </c>
      <c r="O144" s="6">
        <f t="shared" si="4"/>
        <v>0.2205906566</v>
      </c>
    </row>
    <row r="145">
      <c r="A145" s="4">
        <v>45617.0</v>
      </c>
      <c r="B145" s="5">
        <v>133.0</v>
      </c>
      <c r="C145" s="5">
        <v>508360.000000001</v>
      </c>
      <c r="D145" s="5">
        <v>3.95</v>
      </c>
      <c r="E145" s="5">
        <v>72.81</v>
      </c>
      <c r="F145" s="5">
        <v>121.26</v>
      </c>
      <c r="G145" s="5">
        <v>134.06</v>
      </c>
      <c r="H145" s="6">
        <v>0.999623564840956</v>
      </c>
      <c r="I145" s="6">
        <v>1.0</v>
      </c>
      <c r="J145" s="6">
        <v>1.0</v>
      </c>
      <c r="K145" s="5">
        <f t="shared" si="17"/>
        <v>70391480</v>
      </c>
      <c r="L145" s="5">
        <f t="shared" ref="L145:M145" si="148">L144+F145</f>
        <v>14443.53</v>
      </c>
      <c r="M145" s="5">
        <f t="shared" si="148"/>
        <v>16001.58</v>
      </c>
      <c r="N145" s="6">
        <f t="shared" si="3"/>
        <v>0.2118166667</v>
      </c>
      <c r="O145" s="6">
        <f t="shared" si="4"/>
        <v>0.2205246867</v>
      </c>
    </row>
    <row r="146">
      <c r="A146" s="4">
        <v>45618.0</v>
      </c>
      <c r="B146" s="5">
        <v>134.0</v>
      </c>
      <c r="C146" s="5">
        <v>505740.000000005</v>
      </c>
      <c r="D146" s="5">
        <v>3.92</v>
      </c>
      <c r="E146" s="5">
        <v>71.28</v>
      </c>
      <c r="F146" s="5">
        <v>120.8</v>
      </c>
      <c r="G146" s="5">
        <v>134.12</v>
      </c>
      <c r="H146" s="6">
        <v>0.999598165744812</v>
      </c>
      <c r="I146" s="6">
        <v>1.0</v>
      </c>
      <c r="J146" s="6">
        <v>1.0</v>
      </c>
      <c r="K146" s="5">
        <f t="shared" si="17"/>
        <v>70897220</v>
      </c>
      <c r="L146" s="5">
        <f t="shared" ref="L146:M146" si="149">L145+F146</f>
        <v>14564.33</v>
      </c>
      <c r="M146" s="5">
        <f t="shared" si="149"/>
        <v>16135.7</v>
      </c>
      <c r="N146" s="6">
        <f t="shared" si="3"/>
        <v>0.210725</v>
      </c>
      <c r="O146" s="6">
        <f t="shared" si="4"/>
        <v>0.2204515547</v>
      </c>
    </row>
    <row r="147">
      <c r="A147" s="4">
        <v>45619.0</v>
      </c>
      <c r="B147" s="5">
        <v>135.0</v>
      </c>
      <c r="C147" s="5">
        <v>522229.999999996</v>
      </c>
      <c r="D147" s="5">
        <v>4.04</v>
      </c>
      <c r="E147" s="5">
        <v>72.77</v>
      </c>
      <c r="F147" s="5">
        <v>121.03</v>
      </c>
      <c r="G147" s="5">
        <v>134.56</v>
      </c>
      <c r="H147" s="6">
        <v>0.999751808254148</v>
      </c>
      <c r="I147" s="6">
        <v>1.0</v>
      </c>
      <c r="J147" s="6">
        <v>1.0</v>
      </c>
      <c r="K147" s="5">
        <f t="shared" si="17"/>
        <v>71419450</v>
      </c>
      <c r="L147" s="5">
        <f t="shared" ref="L147:M147" si="150">L146+F147</f>
        <v>14685.36</v>
      </c>
      <c r="M147" s="5">
        <f t="shared" si="150"/>
        <v>16270.26</v>
      </c>
      <c r="N147" s="6">
        <f t="shared" si="3"/>
        <v>0.2175958333</v>
      </c>
      <c r="O147" s="6">
        <f t="shared" si="4"/>
        <v>0.2204304012</v>
      </c>
    </row>
    <row r="148">
      <c r="A148" s="4">
        <v>45620.0</v>
      </c>
      <c r="B148" s="5">
        <v>136.0</v>
      </c>
      <c r="C148" s="5">
        <v>552410.000000018</v>
      </c>
      <c r="D148" s="5">
        <v>4.33</v>
      </c>
      <c r="E148" s="5">
        <v>77.37</v>
      </c>
      <c r="F148" s="5">
        <v>121.79</v>
      </c>
      <c r="G148" s="5">
        <v>134.49</v>
      </c>
      <c r="H148" s="6">
        <v>1.0</v>
      </c>
      <c r="I148" s="6">
        <v>1.0</v>
      </c>
      <c r="J148" s="6">
        <v>1.0</v>
      </c>
      <c r="K148" s="5">
        <f t="shared" si="17"/>
        <v>71971860</v>
      </c>
      <c r="L148" s="5">
        <f t="shared" ref="L148:M148" si="151">L147+F148</f>
        <v>14807.15</v>
      </c>
      <c r="M148" s="5">
        <f t="shared" si="151"/>
        <v>16404.75</v>
      </c>
      <c r="N148" s="6">
        <f t="shared" si="3"/>
        <v>0.2301708333</v>
      </c>
      <c r="O148" s="6">
        <f t="shared" si="4"/>
        <v>0.2205020221</v>
      </c>
    </row>
    <row r="149">
      <c r="A149" s="4">
        <v>45621.0</v>
      </c>
      <c r="B149" s="5">
        <v>137.0</v>
      </c>
      <c r="C149" s="5">
        <v>588649.99999998</v>
      </c>
      <c r="D149" s="5">
        <v>4.47</v>
      </c>
      <c r="E149" s="5">
        <v>82.34</v>
      </c>
      <c r="F149" s="5">
        <v>120.82</v>
      </c>
      <c r="G149" s="5">
        <v>134.61</v>
      </c>
      <c r="H149" s="6">
        <v>1.0</v>
      </c>
      <c r="I149" s="6">
        <v>1.0</v>
      </c>
      <c r="J149" s="6">
        <v>1.0</v>
      </c>
      <c r="K149" s="5">
        <f t="shared" si="17"/>
        <v>72560510</v>
      </c>
      <c r="L149" s="5">
        <f t="shared" ref="L149:M149" si="152">L148+F149</f>
        <v>14927.97</v>
      </c>
      <c r="M149" s="5">
        <f t="shared" si="152"/>
        <v>16539.36</v>
      </c>
      <c r="N149" s="6">
        <f t="shared" si="3"/>
        <v>0.2452708333</v>
      </c>
      <c r="O149" s="6">
        <f t="shared" si="4"/>
        <v>0.2206828163</v>
      </c>
    </row>
    <row r="150">
      <c r="A150" s="4">
        <v>45622.0</v>
      </c>
      <c r="B150" s="5">
        <v>138.0</v>
      </c>
      <c r="C150" s="5">
        <v>546420.000000013</v>
      </c>
      <c r="D150" s="5">
        <v>4.11</v>
      </c>
      <c r="E150" s="5">
        <v>80.98</v>
      </c>
      <c r="F150" s="5">
        <v>120.93</v>
      </c>
      <c r="G150" s="5">
        <v>134.67</v>
      </c>
      <c r="H150" s="6">
        <v>1.0</v>
      </c>
      <c r="I150" s="6">
        <v>1.0</v>
      </c>
      <c r="J150" s="6">
        <v>1.0</v>
      </c>
      <c r="K150" s="5">
        <f t="shared" si="17"/>
        <v>73106930</v>
      </c>
      <c r="L150" s="5">
        <f t="shared" ref="L150:M150" si="153">L149+F150</f>
        <v>15048.9</v>
      </c>
      <c r="M150" s="5">
        <f t="shared" si="153"/>
        <v>16674.03</v>
      </c>
      <c r="N150" s="6">
        <f t="shared" si="3"/>
        <v>0.227675</v>
      </c>
      <c r="O150" s="6">
        <f t="shared" si="4"/>
        <v>0.2207334843</v>
      </c>
    </row>
    <row r="151">
      <c r="A151" s="4">
        <v>45623.0</v>
      </c>
      <c r="B151" s="5">
        <v>139.0</v>
      </c>
      <c r="C151" s="5">
        <v>564490.000000005</v>
      </c>
      <c r="D151" s="5">
        <v>4.25</v>
      </c>
      <c r="E151" s="5">
        <v>80.59</v>
      </c>
      <c r="F151" s="5">
        <v>120.9</v>
      </c>
      <c r="G151" s="5">
        <v>134.19</v>
      </c>
      <c r="H151" s="6">
        <v>1.0</v>
      </c>
      <c r="I151" s="6">
        <v>1.0</v>
      </c>
      <c r="J151" s="6">
        <v>1.0</v>
      </c>
      <c r="K151" s="5">
        <f t="shared" si="17"/>
        <v>73671420</v>
      </c>
      <c r="L151" s="5">
        <f t="shared" ref="L151:M151" si="154">L150+F151</f>
        <v>15169.8</v>
      </c>
      <c r="M151" s="5">
        <f t="shared" si="154"/>
        <v>16808.22</v>
      </c>
      <c r="N151" s="6">
        <f t="shared" si="3"/>
        <v>0.2352041667</v>
      </c>
      <c r="O151" s="6">
        <f t="shared" si="4"/>
        <v>0.2208375899</v>
      </c>
    </row>
    <row r="152">
      <c r="A152" s="4">
        <v>45624.0</v>
      </c>
      <c r="B152" s="5">
        <v>140.0</v>
      </c>
      <c r="C152" s="5">
        <v>394559.999999983</v>
      </c>
      <c r="D152" s="5">
        <v>3.875</v>
      </c>
      <c r="E152" s="5">
        <v>87.01</v>
      </c>
      <c r="F152" s="5">
        <v>0.0</v>
      </c>
      <c r="G152" s="5">
        <v>134.42</v>
      </c>
      <c r="H152" s="6">
        <v>1.0</v>
      </c>
      <c r="I152" s="6">
        <v>1.0</v>
      </c>
      <c r="J152" s="6" t="s">
        <v>16</v>
      </c>
      <c r="K152" s="5">
        <f t="shared" si="17"/>
        <v>74065980</v>
      </c>
      <c r="L152" s="5">
        <f t="shared" ref="L152:M152" si="155">L151+F152</f>
        <v>15169.8</v>
      </c>
      <c r="M152" s="5">
        <f t="shared" si="155"/>
        <v>16942.64</v>
      </c>
      <c r="N152" s="6">
        <f t="shared" si="3"/>
        <v>0.1644</v>
      </c>
      <c r="O152" s="6">
        <f t="shared" si="4"/>
        <v>0.2204344643</v>
      </c>
    </row>
    <row r="153">
      <c r="A153" s="4">
        <v>45625.0</v>
      </c>
      <c r="B153" s="5">
        <v>141.0</v>
      </c>
      <c r="C153" s="5">
        <v>538830.000000002</v>
      </c>
      <c r="D153" s="5">
        <v>4.105</v>
      </c>
      <c r="E153" s="5">
        <v>76.4</v>
      </c>
      <c r="F153" s="5">
        <v>120.75</v>
      </c>
      <c r="G153" s="5">
        <v>131.32</v>
      </c>
      <c r="H153" s="6">
        <v>1.0</v>
      </c>
      <c r="I153" s="6">
        <v>1.0</v>
      </c>
      <c r="J153" s="6">
        <v>1.0</v>
      </c>
      <c r="K153" s="5">
        <f t="shared" si="17"/>
        <v>74604810</v>
      </c>
      <c r="L153" s="5">
        <f t="shared" ref="L153:M153" si="156">L152+F153</f>
        <v>15290.55</v>
      </c>
      <c r="M153" s="5">
        <f t="shared" si="156"/>
        <v>17073.96</v>
      </c>
      <c r="N153" s="6">
        <f t="shared" si="3"/>
        <v>0.2245125</v>
      </c>
      <c r="O153" s="6">
        <f t="shared" si="4"/>
        <v>0.2204633865</v>
      </c>
    </row>
    <row r="154">
      <c r="A154" s="4">
        <v>45626.0</v>
      </c>
      <c r="B154" s="5">
        <v>142.0</v>
      </c>
      <c r="C154" s="5">
        <v>368480.00000001</v>
      </c>
      <c r="D154" s="5">
        <v>2.95</v>
      </c>
      <c r="E154" s="5">
        <v>57.67</v>
      </c>
      <c r="F154" s="5">
        <v>120.02</v>
      </c>
      <c r="G154" s="5">
        <v>126.27</v>
      </c>
      <c r="H154" s="6">
        <v>1.0</v>
      </c>
      <c r="I154" s="6">
        <v>1.0</v>
      </c>
      <c r="J154" s="6">
        <v>1.0</v>
      </c>
      <c r="K154" s="5">
        <f t="shared" si="17"/>
        <v>74973290</v>
      </c>
      <c r="L154" s="5">
        <f t="shared" ref="L154:M154" si="157">L153+F154</f>
        <v>15410.57</v>
      </c>
      <c r="M154" s="5">
        <f t="shared" si="157"/>
        <v>17200.23</v>
      </c>
      <c r="N154" s="6">
        <f t="shared" si="3"/>
        <v>0.1535333333</v>
      </c>
      <c r="O154" s="6">
        <f t="shared" si="4"/>
        <v>0.2199920481</v>
      </c>
    </row>
    <row r="155">
      <c r="A155" s="4">
        <v>45627.0</v>
      </c>
      <c r="B155" s="5">
        <v>143.0</v>
      </c>
      <c r="C155" s="5">
        <v>267240.000000005</v>
      </c>
      <c r="D155" s="5">
        <v>1.92</v>
      </c>
      <c r="E155" s="5">
        <v>43.05</v>
      </c>
      <c r="F155" s="5">
        <v>114.85</v>
      </c>
      <c r="G155" s="5">
        <v>95.18</v>
      </c>
      <c r="H155" s="6">
        <v>1.0</v>
      </c>
      <c r="I155" s="6">
        <v>1.0</v>
      </c>
      <c r="J155" s="6">
        <v>1.0</v>
      </c>
      <c r="K155" s="5">
        <f t="shared" si="17"/>
        <v>75240530</v>
      </c>
      <c r="L155" s="5">
        <f t="shared" ref="L155:M155" si="158">L154+F155</f>
        <v>15525.42</v>
      </c>
      <c r="M155" s="5">
        <f t="shared" si="158"/>
        <v>17295.41</v>
      </c>
      <c r="N155" s="6">
        <f t="shared" si="3"/>
        <v>0.11135</v>
      </c>
      <c r="O155" s="6">
        <f t="shared" si="4"/>
        <v>0.2192323135</v>
      </c>
    </row>
    <row r="156">
      <c r="A156" s="4">
        <v>45628.0</v>
      </c>
      <c r="B156" s="5">
        <v>144.0</v>
      </c>
      <c r="C156" s="5">
        <v>315059.999999983</v>
      </c>
      <c r="D156" s="5">
        <v>1.875</v>
      </c>
      <c r="E156" s="5">
        <v>43.36</v>
      </c>
      <c r="F156" s="5">
        <v>158.57</v>
      </c>
      <c r="G156" s="5">
        <v>78.75</v>
      </c>
      <c r="H156" s="6">
        <v>1.0</v>
      </c>
      <c r="I156" s="6">
        <v>1.0</v>
      </c>
      <c r="J156" s="6">
        <v>1.0</v>
      </c>
      <c r="K156" s="5">
        <f t="shared" si="17"/>
        <v>75555590</v>
      </c>
      <c r="L156" s="5">
        <f t="shared" ref="L156:M156" si="159">L155+F156</f>
        <v>15683.99</v>
      </c>
      <c r="M156" s="5">
        <f t="shared" si="159"/>
        <v>17374.16</v>
      </c>
      <c r="N156" s="6">
        <f t="shared" si="3"/>
        <v>0.131275</v>
      </c>
      <c r="O156" s="6">
        <f t="shared" si="4"/>
        <v>0.2186214988</v>
      </c>
    </row>
    <row r="157">
      <c r="A157" s="4">
        <v>45629.0</v>
      </c>
      <c r="B157" s="5">
        <v>145.0</v>
      </c>
      <c r="C157" s="5">
        <v>280040.000000008</v>
      </c>
      <c r="D157" s="5">
        <v>2.215</v>
      </c>
      <c r="E157" s="5">
        <v>43.01</v>
      </c>
      <c r="F157" s="5">
        <v>82.97</v>
      </c>
      <c r="G157" s="5">
        <v>92.57</v>
      </c>
      <c r="H157" s="6">
        <v>1.0</v>
      </c>
      <c r="I157" s="6">
        <v>1.0</v>
      </c>
      <c r="J157" s="6">
        <v>1.0</v>
      </c>
      <c r="K157" s="5">
        <f t="shared" si="17"/>
        <v>75835630</v>
      </c>
      <c r="L157" s="5">
        <f t="shared" ref="L157:M157" si="160">L156+F157</f>
        <v>15766.96</v>
      </c>
      <c r="M157" s="5">
        <f t="shared" si="160"/>
        <v>17466.73</v>
      </c>
      <c r="N157" s="6">
        <f t="shared" si="3"/>
        <v>0.1166833333</v>
      </c>
      <c r="O157" s="6">
        <f t="shared" si="4"/>
        <v>0.217918477</v>
      </c>
    </row>
    <row r="158">
      <c r="A158" s="4">
        <v>45630.0</v>
      </c>
      <c r="B158" s="5">
        <v>146.0</v>
      </c>
      <c r="C158" s="5">
        <v>496169.999999998</v>
      </c>
      <c r="D158" s="5">
        <v>4.01</v>
      </c>
      <c r="E158" s="5">
        <v>73.49</v>
      </c>
      <c r="F158" s="5">
        <v>120.86</v>
      </c>
      <c r="G158" s="5">
        <v>135.5</v>
      </c>
      <c r="H158" s="6">
        <v>0.998958333333333</v>
      </c>
      <c r="I158" s="6">
        <v>1.0</v>
      </c>
      <c r="J158" s="6">
        <v>1.0</v>
      </c>
      <c r="K158" s="5">
        <f t="shared" si="17"/>
        <v>76331800</v>
      </c>
      <c r="L158" s="5">
        <f t="shared" ref="L158:M158" si="161">L157+F158</f>
        <v>15887.82</v>
      </c>
      <c r="M158" s="5">
        <f t="shared" si="161"/>
        <v>17602.23</v>
      </c>
      <c r="N158" s="6">
        <f t="shared" si="3"/>
        <v>0.2067375</v>
      </c>
      <c r="O158" s="6">
        <f t="shared" si="4"/>
        <v>0.217841895</v>
      </c>
    </row>
    <row r="159">
      <c r="A159" s="4">
        <v>45631.0</v>
      </c>
      <c r="B159" s="5">
        <v>147.0</v>
      </c>
      <c r="C159" s="5">
        <v>511200.000000012</v>
      </c>
      <c r="D159" s="5">
        <v>4.03</v>
      </c>
      <c r="E159" s="5">
        <v>69.96</v>
      </c>
      <c r="F159" s="5">
        <v>120.37</v>
      </c>
      <c r="G159" s="5">
        <v>132.66</v>
      </c>
      <c r="H159" s="6">
        <v>1.0</v>
      </c>
      <c r="I159" s="6">
        <v>1.0</v>
      </c>
      <c r="J159" s="6">
        <v>1.0</v>
      </c>
      <c r="K159" s="5">
        <f t="shared" si="17"/>
        <v>76843000</v>
      </c>
      <c r="L159" s="5">
        <f t="shared" ref="L159:M159" si="162">L158+F159</f>
        <v>16008.19</v>
      </c>
      <c r="M159" s="5">
        <f t="shared" si="162"/>
        <v>17734.89</v>
      </c>
      <c r="N159" s="6">
        <f t="shared" si="3"/>
        <v>0.213</v>
      </c>
      <c r="O159" s="6">
        <f t="shared" si="4"/>
        <v>0.2178089569</v>
      </c>
    </row>
    <row r="160">
      <c r="A160" s="4">
        <v>45632.0</v>
      </c>
      <c r="B160" s="5">
        <v>148.0</v>
      </c>
      <c r="C160" s="5">
        <v>463769.99999999</v>
      </c>
      <c r="D160" s="5">
        <v>3.64</v>
      </c>
      <c r="E160" s="5">
        <v>67.99</v>
      </c>
      <c r="F160" s="5">
        <v>120.85</v>
      </c>
      <c r="G160" s="5">
        <v>134.68</v>
      </c>
      <c r="H160" s="6">
        <v>0.999441911275767</v>
      </c>
      <c r="I160" s="6">
        <v>1.0</v>
      </c>
      <c r="J160" s="6">
        <v>1.0</v>
      </c>
      <c r="K160" s="5">
        <f t="shared" si="17"/>
        <v>77306770</v>
      </c>
      <c r="L160" s="5">
        <f t="shared" ref="L160:M160" si="163">L159+F160</f>
        <v>16129.04</v>
      </c>
      <c r="M160" s="5">
        <f t="shared" si="163"/>
        <v>17869.57</v>
      </c>
      <c r="N160" s="6">
        <f t="shared" si="3"/>
        <v>0.1932375</v>
      </c>
      <c r="O160" s="6">
        <f t="shared" si="4"/>
        <v>0.2176429336</v>
      </c>
    </row>
    <row r="161">
      <c r="A161" s="4">
        <v>45633.0</v>
      </c>
      <c r="B161" s="5">
        <v>149.0</v>
      </c>
      <c r="C161" s="5">
        <v>265300.000000003</v>
      </c>
      <c r="D161" s="5">
        <v>2.185</v>
      </c>
      <c r="E161" s="5">
        <v>42.18</v>
      </c>
      <c r="F161" s="5">
        <v>87.39</v>
      </c>
      <c r="G161" s="5">
        <v>96.43</v>
      </c>
      <c r="H161" s="6">
        <v>1.0</v>
      </c>
      <c r="I161" s="6">
        <v>1.0</v>
      </c>
      <c r="J161" s="6">
        <v>1.0</v>
      </c>
      <c r="K161" s="5">
        <f t="shared" si="17"/>
        <v>77572070</v>
      </c>
      <c r="L161" s="5">
        <f t="shared" ref="L161:M161" si="164">L160+F161</f>
        <v>16216.43</v>
      </c>
      <c r="M161" s="5">
        <f t="shared" si="164"/>
        <v>17966</v>
      </c>
      <c r="N161" s="6">
        <f t="shared" si="3"/>
        <v>0.1105416667</v>
      </c>
      <c r="O161" s="6">
        <f t="shared" si="4"/>
        <v>0.2169241331</v>
      </c>
    </row>
    <row r="162">
      <c r="A162" s="4">
        <v>45634.0</v>
      </c>
      <c r="B162" s="5">
        <v>150.0</v>
      </c>
      <c r="C162" s="5">
        <v>305869.999999995</v>
      </c>
      <c r="D162" s="5">
        <v>2.5</v>
      </c>
      <c r="E162" s="5">
        <v>41.68</v>
      </c>
      <c r="F162" s="5">
        <v>118.81</v>
      </c>
      <c r="G162" s="5">
        <v>130.2</v>
      </c>
      <c r="H162" s="6">
        <v>0.999475065616798</v>
      </c>
      <c r="I162" s="6">
        <v>1.0</v>
      </c>
      <c r="J162" s="6">
        <v>1.0</v>
      </c>
      <c r="K162" s="5">
        <f t="shared" si="17"/>
        <v>77877940</v>
      </c>
      <c r="L162" s="5">
        <f t="shared" ref="L162:M162" si="165">L161+F162</f>
        <v>16335.24</v>
      </c>
      <c r="M162" s="5">
        <f t="shared" si="165"/>
        <v>18096.2</v>
      </c>
      <c r="N162" s="6">
        <f t="shared" si="3"/>
        <v>0.1274458333</v>
      </c>
      <c r="O162" s="6">
        <f t="shared" si="4"/>
        <v>0.2163276111</v>
      </c>
    </row>
    <row r="163">
      <c r="A163" s="4">
        <v>45635.0</v>
      </c>
      <c r="B163" s="5">
        <v>151.0</v>
      </c>
      <c r="C163" s="5">
        <v>486150.000000009</v>
      </c>
      <c r="D163" s="5">
        <v>3.655</v>
      </c>
      <c r="E163" s="5">
        <v>65.58</v>
      </c>
      <c r="F163" s="5">
        <v>120.89</v>
      </c>
      <c r="G163" s="5">
        <v>136.01</v>
      </c>
      <c r="H163" s="6">
        <v>1.0</v>
      </c>
      <c r="I163" s="6">
        <v>1.0</v>
      </c>
      <c r="J163" s="6">
        <v>1.0</v>
      </c>
      <c r="K163" s="5">
        <f t="shared" si="17"/>
        <v>78364090</v>
      </c>
      <c r="L163" s="5">
        <f t="shared" ref="L163:M163" si="166">L162+F163</f>
        <v>16456.13</v>
      </c>
      <c r="M163" s="5">
        <f t="shared" si="166"/>
        <v>18232.21</v>
      </c>
      <c r="N163" s="6">
        <f t="shared" si="3"/>
        <v>0.2025625</v>
      </c>
      <c r="O163" s="6">
        <f t="shared" si="4"/>
        <v>0.2162364514</v>
      </c>
    </row>
    <row r="164">
      <c r="A164" s="4">
        <v>45636.0</v>
      </c>
      <c r="B164" s="5">
        <v>152.0</v>
      </c>
      <c r="C164" s="5">
        <v>593419.999999984</v>
      </c>
      <c r="D164" s="5">
        <v>4.33</v>
      </c>
      <c r="E164" s="5">
        <v>82.18</v>
      </c>
      <c r="F164" s="5">
        <v>121.28</v>
      </c>
      <c r="G164" s="5">
        <v>134.77</v>
      </c>
      <c r="H164" s="6">
        <v>1.0</v>
      </c>
      <c r="I164" s="6">
        <v>1.0</v>
      </c>
      <c r="J164" s="6">
        <v>1.0</v>
      </c>
      <c r="K164" s="5">
        <f t="shared" si="17"/>
        <v>78957510</v>
      </c>
      <c r="L164" s="5">
        <f t="shared" ref="L164:M164" si="167">L163+F164</f>
        <v>16577.41</v>
      </c>
      <c r="M164" s="5">
        <f t="shared" si="167"/>
        <v>18366.98</v>
      </c>
      <c r="N164" s="6">
        <f t="shared" si="3"/>
        <v>0.2472583333</v>
      </c>
      <c r="O164" s="6">
        <f t="shared" si="4"/>
        <v>0.2164405428</v>
      </c>
    </row>
    <row r="165">
      <c r="A165" s="4">
        <v>45637.0</v>
      </c>
      <c r="B165" s="5">
        <v>153.0</v>
      </c>
      <c r="C165" s="5">
        <v>603639.999999999</v>
      </c>
      <c r="D165" s="5">
        <v>4.41</v>
      </c>
      <c r="E165" s="5">
        <v>84.56</v>
      </c>
      <c r="F165" s="5">
        <v>121.06</v>
      </c>
      <c r="G165" s="5">
        <v>134.48</v>
      </c>
      <c r="H165" s="6">
        <v>0.999808511656853</v>
      </c>
      <c r="I165" s="6">
        <v>1.0</v>
      </c>
      <c r="J165" s="6">
        <v>1.0</v>
      </c>
      <c r="K165" s="5">
        <f t="shared" si="17"/>
        <v>79561150</v>
      </c>
      <c r="L165" s="5">
        <f t="shared" ref="L165:M165" si="168">L164+F165</f>
        <v>16698.47</v>
      </c>
      <c r="M165" s="5">
        <f t="shared" si="168"/>
        <v>18501.46</v>
      </c>
      <c r="N165" s="6">
        <f t="shared" si="3"/>
        <v>0.2515166667</v>
      </c>
      <c r="O165" s="6">
        <f t="shared" si="4"/>
        <v>0.2166697985</v>
      </c>
    </row>
    <row r="166">
      <c r="A166" s="4">
        <v>45638.0</v>
      </c>
      <c r="B166" s="5">
        <v>154.0</v>
      </c>
      <c r="C166" s="5">
        <v>582850.000000006</v>
      </c>
      <c r="D166" s="5">
        <v>4.315</v>
      </c>
      <c r="E166" s="5">
        <v>80.91</v>
      </c>
      <c r="F166" s="5">
        <v>120.96</v>
      </c>
      <c r="G166" s="5">
        <v>134.12</v>
      </c>
      <c r="H166" s="6">
        <v>0.999844905750418</v>
      </c>
      <c r="I166" s="6">
        <v>1.0</v>
      </c>
      <c r="J166" s="6">
        <v>1.0</v>
      </c>
      <c r="K166" s="5">
        <f t="shared" si="17"/>
        <v>80144000</v>
      </c>
      <c r="L166" s="5">
        <f t="shared" ref="L166:M166" si="169">L165+F166</f>
        <v>16819.43</v>
      </c>
      <c r="M166" s="5">
        <f t="shared" si="169"/>
        <v>18635.58</v>
      </c>
      <c r="N166" s="6">
        <f t="shared" si="3"/>
        <v>0.2428541667</v>
      </c>
      <c r="O166" s="6">
        <f t="shared" si="4"/>
        <v>0.2168398268</v>
      </c>
    </row>
    <row r="167">
      <c r="A167" s="4">
        <v>45639.0</v>
      </c>
      <c r="B167" s="5">
        <v>155.0</v>
      </c>
      <c r="C167" s="5">
        <v>620850.000000006</v>
      </c>
      <c r="D167" s="5">
        <v>4.51</v>
      </c>
      <c r="E167" s="5">
        <v>85.11</v>
      </c>
      <c r="F167" s="5">
        <v>120.78</v>
      </c>
      <c r="G167" s="5">
        <v>134.36</v>
      </c>
      <c r="H167" s="6">
        <v>1.0</v>
      </c>
      <c r="I167" s="6">
        <v>1.0</v>
      </c>
      <c r="J167" s="6">
        <v>1.0</v>
      </c>
      <c r="K167" s="5">
        <f t="shared" si="17"/>
        <v>80764850</v>
      </c>
      <c r="L167" s="5">
        <f t="shared" ref="L167:M167" si="170">L166+F167</f>
        <v>16940.21</v>
      </c>
      <c r="M167" s="5">
        <f t="shared" si="170"/>
        <v>18769.94</v>
      </c>
      <c r="N167" s="6">
        <f t="shared" si="3"/>
        <v>0.2586875</v>
      </c>
      <c r="O167" s="6">
        <f t="shared" si="4"/>
        <v>0.2171098118</v>
      </c>
    </row>
    <row r="168">
      <c r="A168" s="4">
        <v>45640.0</v>
      </c>
      <c r="B168" s="5">
        <v>156.0</v>
      </c>
      <c r="C168" s="5">
        <v>648339.999999997</v>
      </c>
      <c r="D168" s="5">
        <v>4.67</v>
      </c>
      <c r="E168" s="5">
        <v>88.24</v>
      </c>
      <c r="F168" s="5">
        <v>121.04</v>
      </c>
      <c r="G168" s="5">
        <v>133.94</v>
      </c>
      <c r="H168" s="6">
        <v>0.999868146937053</v>
      </c>
      <c r="I168" s="6">
        <v>1.0</v>
      </c>
      <c r="J168" s="6">
        <v>1.0</v>
      </c>
      <c r="K168" s="5">
        <f t="shared" si="17"/>
        <v>81413190</v>
      </c>
      <c r="L168" s="5">
        <f t="shared" ref="L168:M168" si="171">L167+F168</f>
        <v>17061.25</v>
      </c>
      <c r="M168" s="5">
        <f t="shared" si="171"/>
        <v>18903.88</v>
      </c>
      <c r="N168" s="6">
        <f t="shared" si="3"/>
        <v>0.2701416667</v>
      </c>
      <c r="O168" s="6">
        <f t="shared" si="4"/>
        <v>0.2174497596</v>
      </c>
    </row>
    <row r="169">
      <c r="A169" s="4">
        <v>45641.0</v>
      </c>
      <c r="B169" s="5">
        <v>157.0</v>
      </c>
      <c r="C169" s="5">
        <v>669380.000000005</v>
      </c>
      <c r="D169" s="5">
        <v>4.815</v>
      </c>
      <c r="E169" s="5">
        <v>89.38</v>
      </c>
      <c r="F169" s="5">
        <v>120.67</v>
      </c>
      <c r="G169" s="5">
        <v>134.46</v>
      </c>
      <c r="H169" s="6">
        <v>1.0</v>
      </c>
      <c r="I169" s="6">
        <v>1.0</v>
      </c>
      <c r="J169" s="6">
        <v>1.0</v>
      </c>
      <c r="K169" s="5">
        <f t="shared" si="17"/>
        <v>82082570</v>
      </c>
      <c r="L169" s="5">
        <f t="shared" ref="L169:M169" si="172">L168+F169</f>
        <v>17181.92</v>
      </c>
      <c r="M169" s="5">
        <f t="shared" si="172"/>
        <v>19038.34</v>
      </c>
      <c r="N169" s="6">
        <f t="shared" si="3"/>
        <v>0.2789083333</v>
      </c>
      <c r="O169" s="6">
        <f t="shared" si="4"/>
        <v>0.2178412155</v>
      </c>
    </row>
    <row r="170">
      <c r="A170" s="4">
        <v>45642.0</v>
      </c>
      <c r="B170" s="5">
        <v>158.0</v>
      </c>
      <c r="C170" s="5">
        <v>642949.999999997</v>
      </c>
      <c r="D170" s="5">
        <v>4.67</v>
      </c>
      <c r="E170" s="5">
        <v>86.32</v>
      </c>
      <c r="F170" s="5">
        <v>120.59</v>
      </c>
      <c r="G170" s="5">
        <v>134.66</v>
      </c>
      <c r="H170" s="6">
        <v>1.0</v>
      </c>
      <c r="I170" s="6">
        <v>1.0</v>
      </c>
      <c r="J170" s="6">
        <v>1.0</v>
      </c>
      <c r="K170" s="5">
        <f t="shared" si="17"/>
        <v>82725520</v>
      </c>
      <c r="L170" s="5">
        <f t="shared" ref="L170:M170" si="173">L169+F170</f>
        <v>17302.51</v>
      </c>
      <c r="M170" s="5">
        <f t="shared" si="173"/>
        <v>19173</v>
      </c>
      <c r="N170" s="6">
        <f t="shared" si="3"/>
        <v>0.2678958333</v>
      </c>
      <c r="O170" s="6">
        <f t="shared" si="4"/>
        <v>0.2181580169</v>
      </c>
    </row>
    <row r="171">
      <c r="A171" s="4">
        <v>45643.0</v>
      </c>
      <c r="B171" s="5">
        <v>159.0</v>
      </c>
      <c r="C171" s="5">
        <v>621139.999999999</v>
      </c>
      <c r="D171" s="5">
        <v>4.535</v>
      </c>
      <c r="E171" s="5">
        <v>85.82</v>
      </c>
      <c r="F171" s="5">
        <v>120.45</v>
      </c>
      <c r="G171" s="5">
        <v>133.59</v>
      </c>
      <c r="H171" s="6">
        <v>1.0</v>
      </c>
      <c r="I171" s="6">
        <v>1.0</v>
      </c>
      <c r="J171" s="6">
        <v>1.0</v>
      </c>
      <c r="K171" s="5">
        <f t="shared" si="17"/>
        <v>83346660</v>
      </c>
      <c r="L171" s="5">
        <f t="shared" ref="L171:M171" si="174">L170+F171</f>
        <v>17422.96</v>
      </c>
      <c r="M171" s="5">
        <f t="shared" si="174"/>
        <v>19306.59</v>
      </c>
      <c r="N171" s="6">
        <f t="shared" si="3"/>
        <v>0.2588083333</v>
      </c>
      <c r="O171" s="6">
        <f t="shared" si="4"/>
        <v>0.2184136792</v>
      </c>
    </row>
    <row r="172">
      <c r="A172" s="4">
        <v>45644.0</v>
      </c>
      <c r="B172" s="5">
        <v>160.0</v>
      </c>
      <c r="C172" s="5">
        <v>582699.999999997</v>
      </c>
      <c r="D172" s="5">
        <v>4.275</v>
      </c>
      <c r="E172" s="5">
        <v>79.49</v>
      </c>
      <c r="F172" s="5">
        <v>120.84</v>
      </c>
      <c r="G172" s="5">
        <v>133.53</v>
      </c>
      <c r="H172" s="6">
        <v>1.0</v>
      </c>
      <c r="I172" s="6">
        <v>1.0</v>
      </c>
      <c r="J172" s="6">
        <v>1.0</v>
      </c>
      <c r="K172" s="5">
        <f t="shared" si="17"/>
        <v>83929360</v>
      </c>
      <c r="L172" s="5">
        <f t="shared" ref="L172:M172" si="175">L171+F172</f>
        <v>17543.8</v>
      </c>
      <c r="M172" s="5">
        <f t="shared" si="175"/>
        <v>19440.12</v>
      </c>
      <c r="N172" s="6">
        <f t="shared" si="3"/>
        <v>0.2427916667</v>
      </c>
      <c r="O172" s="6">
        <f t="shared" si="4"/>
        <v>0.2185660417</v>
      </c>
    </row>
    <row r="173">
      <c r="A173" s="4">
        <v>45645.0</v>
      </c>
      <c r="B173" s="5">
        <v>161.0</v>
      </c>
      <c r="C173" s="5">
        <v>550619.999999995</v>
      </c>
      <c r="D173" s="5">
        <v>4.01</v>
      </c>
      <c r="E173" s="5">
        <v>78.85</v>
      </c>
      <c r="F173" s="5">
        <v>120.81</v>
      </c>
      <c r="G173" s="5">
        <v>134.1</v>
      </c>
      <c r="H173" s="6">
        <v>1.0</v>
      </c>
      <c r="I173" s="6">
        <v>1.0</v>
      </c>
      <c r="J173" s="6">
        <v>1.0</v>
      </c>
      <c r="K173" s="5">
        <f t="shared" si="17"/>
        <v>84479980</v>
      </c>
      <c r="L173" s="5">
        <f t="shared" ref="L173:M173" si="176">L172+F173</f>
        <v>17664.61</v>
      </c>
      <c r="M173" s="5">
        <f t="shared" si="176"/>
        <v>19574.22</v>
      </c>
      <c r="N173" s="6">
        <f t="shared" si="3"/>
        <v>0.229425</v>
      </c>
      <c r="O173" s="6">
        <f t="shared" si="4"/>
        <v>0.2186334886</v>
      </c>
    </row>
    <row r="174">
      <c r="A174" s="4">
        <v>45646.0</v>
      </c>
      <c r="B174" s="5">
        <v>162.0</v>
      </c>
      <c r="C174" s="5">
        <v>478970.000000001</v>
      </c>
      <c r="D174" s="5">
        <v>3.625</v>
      </c>
      <c r="E174" s="5">
        <v>74.26</v>
      </c>
      <c r="F174" s="5">
        <v>120.95</v>
      </c>
      <c r="G174" s="5">
        <v>133.86</v>
      </c>
      <c r="H174" s="6">
        <v>1.0</v>
      </c>
      <c r="I174" s="6">
        <v>1.0</v>
      </c>
      <c r="J174" s="6">
        <v>1.0</v>
      </c>
      <c r="K174" s="5">
        <f t="shared" si="17"/>
        <v>84958950</v>
      </c>
      <c r="L174" s="5">
        <f t="shared" ref="L174:M174" si="177">L173+F174</f>
        <v>17785.56</v>
      </c>
      <c r="M174" s="5">
        <f t="shared" si="177"/>
        <v>19708.08</v>
      </c>
      <c r="N174" s="6">
        <f t="shared" si="3"/>
        <v>0.1995708333</v>
      </c>
      <c r="O174" s="6">
        <f t="shared" si="4"/>
        <v>0.2185158179</v>
      </c>
    </row>
    <row r="175">
      <c r="A175" s="4">
        <v>45647.0</v>
      </c>
      <c r="B175" s="5">
        <v>163.0</v>
      </c>
      <c r="C175" s="5">
        <v>308300.000000017</v>
      </c>
      <c r="D175" s="5">
        <v>2.425</v>
      </c>
      <c r="E175" s="5">
        <v>59.61</v>
      </c>
      <c r="F175" s="5">
        <v>88.87</v>
      </c>
      <c r="G175" s="5">
        <v>96.52</v>
      </c>
      <c r="H175" s="6">
        <v>1.0</v>
      </c>
      <c r="I175" s="6">
        <v>1.0</v>
      </c>
      <c r="J175" s="6">
        <v>1.0</v>
      </c>
      <c r="K175" s="5">
        <f t="shared" si="17"/>
        <v>85267250</v>
      </c>
      <c r="L175" s="5">
        <f t="shared" ref="L175:M175" si="178">L174+F175</f>
        <v>17874.43</v>
      </c>
      <c r="M175" s="5">
        <f t="shared" si="178"/>
        <v>19804.6</v>
      </c>
      <c r="N175" s="6">
        <f t="shared" si="3"/>
        <v>0.1284583333</v>
      </c>
      <c r="O175" s="6">
        <f t="shared" si="4"/>
        <v>0.217963318</v>
      </c>
    </row>
    <row r="176">
      <c r="A176" s="4">
        <v>45648.0</v>
      </c>
      <c r="B176" s="5">
        <v>164.0</v>
      </c>
      <c r="C176" s="5">
        <v>519479.999999996</v>
      </c>
      <c r="D176" s="5">
        <v>3.865</v>
      </c>
      <c r="E176" s="5">
        <v>69.19</v>
      </c>
      <c r="F176" s="5">
        <v>119.44</v>
      </c>
      <c r="G176" s="5">
        <v>132.44</v>
      </c>
      <c r="H176" s="6">
        <v>1.0</v>
      </c>
      <c r="I176" s="6">
        <v>1.0</v>
      </c>
      <c r="J176" s="6">
        <v>0.98055159850325</v>
      </c>
      <c r="K176" s="5">
        <f t="shared" si="17"/>
        <v>85786730</v>
      </c>
      <c r="L176" s="5">
        <f t="shared" ref="L176:M176" si="179">L175+F176</f>
        <v>17993.87</v>
      </c>
      <c r="M176" s="5">
        <f t="shared" si="179"/>
        <v>19937.04</v>
      </c>
      <c r="N176" s="6">
        <f t="shared" si="3"/>
        <v>0.21645</v>
      </c>
      <c r="O176" s="6">
        <f t="shared" si="4"/>
        <v>0.2179540904</v>
      </c>
    </row>
    <row r="177">
      <c r="A177" s="4">
        <v>45649.0</v>
      </c>
      <c r="B177" s="5">
        <v>165.0</v>
      </c>
      <c r="C177" s="5">
        <v>528449.999999983</v>
      </c>
      <c r="D177" s="5">
        <v>3.925</v>
      </c>
      <c r="E177" s="5">
        <v>72.74</v>
      </c>
      <c r="F177" s="5">
        <v>120.85</v>
      </c>
      <c r="G177" s="5">
        <v>134.54</v>
      </c>
      <c r="H177" s="6">
        <v>0.999665423955645</v>
      </c>
      <c r="I177" s="6">
        <v>1.0</v>
      </c>
      <c r="J177" s="6">
        <v>1.0</v>
      </c>
      <c r="K177" s="5">
        <f t="shared" si="17"/>
        <v>86315180</v>
      </c>
      <c r="L177" s="5">
        <f t="shared" ref="L177:M177" si="180">L176+F177</f>
        <v>18114.72</v>
      </c>
      <c r="M177" s="5">
        <f t="shared" si="180"/>
        <v>20071.58</v>
      </c>
      <c r="N177" s="6">
        <f t="shared" si="3"/>
        <v>0.2201875</v>
      </c>
      <c r="O177" s="6">
        <f t="shared" si="4"/>
        <v>0.2179676263</v>
      </c>
    </row>
    <row r="178">
      <c r="A178" s="4">
        <v>45650.0</v>
      </c>
      <c r="B178" s="5">
        <v>166.0</v>
      </c>
      <c r="C178" s="5">
        <v>430370.00000001</v>
      </c>
      <c r="D178" s="5">
        <v>3.345</v>
      </c>
      <c r="E178" s="5">
        <v>78.35</v>
      </c>
      <c r="F178" s="5">
        <v>120.99</v>
      </c>
      <c r="G178" s="5">
        <v>134.15</v>
      </c>
      <c r="H178" s="6">
        <v>0.999268795550441</v>
      </c>
      <c r="I178" s="6">
        <v>1.0</v>
      </c>
      <c r="J178" s="6">
        <v>1.0</v>
      </c>
      <c r="K178" s="5">
        <f t="shared" si="17"/>
        <v>86745550</v>
      </c>
      <c r="L178" s="5">
        <f t="shared" ref="L178:M178" si="181">L177+F178</f>
        <v>18235.71</v>
      </c>
      <c r="M178" s="5">
        <f t="shared" si="181"/>
        <v>20205.73</v>
      </c>
      <c r="N178" s="6">
        <f t="shared" si="3"/>
        <v>0.1793208333</v>
      </c>
      <c r="O178" s="6">
        <f t="shared" si="4"/>
        <v>0.2177348143</v>
      </c>
    </row>
    <row r="179">
      <c r="A179" s="4">
        <v>45651.0</v>
      </c>
      <c r="B179" s="5">
        <v>167.0</v>
      </c>
      <c r="C179" s="5">
        <v>343699.999999997</v>
      </c>
      <c r="D179" s="5">
        <v>2.7</v>
      </c>
      <c r="E179" s="5">
        <v>47.09</v>
      </c>
      <c r="F179" s="5">
        <v>120.8</v>
      </c>
      <c r="G179" s="5">
        <v>134.01</v>
      </c>
      <c r="H179" s="6">
        <v>1.0</v>
      </c>
      <c r="I179" s="6">
        <v>1.0</v>
      </c>
      <c r="J179" s="6">
        <v>1.0</v>
      </c>
      <c r="K179" s="5">
        <f t="shared" si="17"/>
        <v>87089250</v>
      </c>
      <c r="L179" s="5">
        <f t="shared" ref="L179:M179" si="182">L178+F179</f>
        <v>18356.51</v>
      </c>
      <c r="M179" s="5">
        <f t="shared" si="182"/>
        <v>20339.74</v>
      </c>
      <c r="N179" s="6">
        <f t="shared" si="3"/>
        <v>0.1432083333</v>
      </c>
      <c r="O179" s="6">
        <f t="shared" si="4"/>
        <v>0.2172885479</v>
      </c>
    </row>
    <row r="180">
      <c r="A180" s="4">
        <v>45652.0</v>
      </c>
      <c r="B180" s="5">
        <v>168.0</v>
      </c>
      <c r="C180" s="5">
        <v>374699.999999997</v>
      </c>
      <c r="D180" s="5">
        <v>3.035</v>
      </c>
      <c r="E180" s="5">
        <v>67.56</v>
      </c>
      <c r="F180" s="5">
        <v>120.8</v>
      </c>
      <c r="G180" s="5">
        <v>133.83</v>
      </c>
      <c r="H180" s="6">
        <v>0.999832975423527</v>
      </c>
      <c r="I180" s="6">
        <v>1.0</v>
      </c>
      <c r="J180" s="6">
        <v>1.0</v>
      </c>
      <c r="K180" s="5">
        <f t="shared" si="17"/>
        <v>87463950</v>
      </c>
      <c r="L180" s="5">
        <f t="shared" ref="L180:M180" si="183">L179+F180</f>
        <v>18477.31</v>
      </c>
      <c r="M180" s="5">
        <f t="shared" si="183"/>
        <v>20473.57</v>
      </c>
      <c r="N180" s="6">
        <f t="shared" si="3"/>
        <v>0.156125</v>
      </c>
      <c r="O180" s="6">
        <f t="shared" si="4"/>
        <v>0.2169244792</v>
      </c>
    </row>
    <row r="181">
      <c r="A181" s="4">
        <v>45653.0</v>
      </c>
      <c r="B181" s="5">
        <v>169.0</v>
      </c>
      <c r="C181" s="5">
        <v>497440.000000002</v>
      </c>
      <c r="D181" s="5">
        <v>3.96</v>
      </c>
      <c r="E181" s="5">
        <v>69.93</v>
      </c>
      <c r="F181" s="5">
        <v>120.13</v>
      </c>
      <c r="G181" s="5">
        <v>133.89</v>
      </c>
      <c r="H181" s="6">
        <v>0.988393322900365</v>
      </c>
      <c r="I181" s="6">
        <v>1.0</v>
      </c>
      <c r="J181" s="6">
        <v>1.0</v>
      </c>
      <c r="K181" s="5">
        <f t="shared" si="17"/>
        <v>87961390</v>
      </c>
      <c r="L181" s="5">
        <f t="shared" ref="L181:M181" si="184">L180+F181</f>
        <v>18597.44</v>
      </c>
      <c r="M181" s="5">
        <f t="shared" si="184"/>
        <v>20607.46</v>
      </c>
      <c r="N181" s="6">
        <f t="shared" si="3"/>
        <v>0.2072666667</v>
      </c>
      <c r="O181" s="6">
        <f t="shared" si="4"/>
        <v>0.2168673323</v>
      </c>
    </row>
    <row r="182">
      <c r="A182" s="4">
        <v>45654.0</v>
      </c>
      <c r="B182" s="5">
        <v>170.0</v>
      </c>
      <c r="C182" s="5">
        <v>479750.0</v>
      </c>
      <c r="D182" s="5">
        <v>3.68</v>
      </c>
      <c r="E182" s="5">
        <v>67.59</v>
      </c>
      <c r="F182" s="5">
        <v>121.35</v>
      </c>
      <c r="G182" s="5">
        <v>133.67</v>
      </c>
      <c r="H182" s="6">
        <v>0.999154278635411</v>
      </c>
      <c r="I182" s="6">
        <v>1.0</v>
      </c>
      <c r="J182" s="6">
        <v>1.0</v>
      </c>
      <c r="K182" s="5">
        <f t="shared" si="17"/>
        <v>88441140</v>
      </c>
      <c r="L182" s="5">
        <f t="shared" ref="L182:M182" si="185">L181+F182</f>
        <v>18718.79</v>
      </c>
      <c r="M182" s="5">
        <f t="shared" si="185"/>
        <v>20741.13</v>
      </c>
      <c r="N182" s="6">
        <f t="shared" si="3"/>
        <v>0.1998958333</v>
      </c>
      <c r="O182" s="6">
        <f t="shared" si="4"/>
        <v>0.2167675</v>
      </c>
    </row>
    <row r="183">
      <c r="A183" s="4">
        <v>45655.0</v>
      </c>
      <c r="B183" s="5">
        <v>171.0</v>
      </c>
      <c r="C183" s="5">
        <v>523029.999999999</v>
      </c>
      <c r="D183" s="5">
        <v>3.975</v>
      </c>
      <c r="E183" s="5">
        <v>70.14</v>
      </c>
      <c r="F183" s="5">
        <v>121.22</v>
      </c>
      <c r="G183" s="5">
        <v>134.84</v>
      </c>
      <c r="H183" s="6">
        <v>0.999881071309643</v>
      </c>
      <c r="I183" s="6">
        <v>1.0</v>
      </c>
      <c r="J183" s="6">
        <v>1.0</v>
      </c>
      <c r="K183" s="5">
        <f t="shared" si="17"/>
        <v>88964170</v>
      </c>
      <c r="L183" s="5">
        <f t="shared" ref="L183:M183" si="186">L182+F183</f>
        <v>18840.01</v>
      </c>
      <c r="M183" s="5">
        <f t="shared" si="186"/>
        <v>20875.97</v>
      </c>
      <c r="N183" s="6">
        <f t="shared" si="3"/>
        <v>0.2179291667</v>
      </c>
      <c r="O183" s="6">
        <f t="shared" si="4"/>
        <v>0.2167742934</v>
      </c>
    </row>
    <row r="184">
      <c r="A184" s="4">
        <v>45656.0</v>
      </c>
      <c r="B184" s="5">
        <v>172.0</v>
      </c>
      <c r="C184" s="5">
        <v>522010.000000009</v>
      </c>
      <c r="D184" s="5">
        <v>4.08</v>
      </c>
      <c r="E184" s="5">
        <v>70.94</v>
      </c>
      <c r="F184" s="5">
        <v>121.19</v>
      </c>
      <c r="G184" s="5">
        <v>134.65</v>
      </c>
      <c r="H184" s="6">
        <v>0.99267321098307</v>
      </c>
      <c r="I184" s="6">
        <v>1.0</v>
      </c>
      <c r="J184" s="6">
        <v>1.0</v>
      </c>
      <c r="K184" s="5">
        <f t="shared" si="17"/>
        <v>89486180</v>
      </c>
      <c r="L184" s="5">
        <f t="shared" ref="L184:M184" si="187">L183+F184</f>
        <v>18961.2</v>
      </c>
      <c r="M184" s="5">
        <f t="shared" si="187"/>
        <v>21010.62</v>
      </c>
      <c r="N184" s="6">
        <f t="shared" si="3"/>
        <v>0.2175041667</v>
      </c>
      <c r="O184" s="6">
        <f t="shared" si="4"/>
        <v>0.2167785368</v>
      </c>
    </row>
    <row r="185">
      <c r="A185" s="4">
        <v>45657.0</v>
      </c>
      <c r="B185" s="5">
        <v>173.0</v>
      </c>
      <c r="C185" s="5">
        <v>610720.000000001</v>
      </c>
      <c r="D185" s="5">
        <v>4.545</v>
      </c>
      <c r="E185" s="5">
        <v>81.23</v>
      </c>
      <c r="F185" s="5">
        <v>121.44</v>
      </c>
      <c r="G185" s="5">
        <v>134.47</v>
      </c>
      <c r="H185" s="6">
        <v>0.998636600749277</v>
      </c>
      <c r="I185" s="6">
        <v>1.0</v>
      </c>
      <c r="J185" s="6">
        <v>1.0</v>
      </c>
      <c r="K185" s="5">
        <f t="shared" si="17"/>
        <v>90096900</v>
      </c>
      <c r="L185" s="5">
        <f t="shared" ref="L185:M185" si="188">L184+F185</f>
        <v>19082.64</v>
      </c>
      <c r="M185" s="5">
        <f t="shared" si="188"/>
        <v>21145.09</v>
      </c>
      <c r="N185" s="6">
        <f t="shared" si="3"/>
        <v>0.2544666667</v>
      </c>
      <c r="O185" s="6">
        <f t="shared" si="4"/>
        <v>0.2169963873</v>
      </c>
    </row>
    <row r="186">
      <c r="A186" s="4">
        <v>45658.0</v>
      </c>
      <c r="B186" s="5">
        <v>174.0</v>
      </c>
      <c r="C186" s="5">
        <v>680099.999999991</v>
      </c>
      <c r="D186" s="5">
        <v>4.99</v>
      </c>
      <c r="E186" s="5">
        <v>90.11</v>
      </c>
      <c r="F186" s="5">
        <v>121.16</v>
      </c>
      <c r="G186" s="5">
        <v>135.25</v>
      </c>
      <c r="H186" s="6">
        <v>0.999760639571066</v>
      </c>
      <c r="I186" s="6">
        <v>1.0</v>
      </c>
      <c r="J186" s="6">
        <v>1.0</v>
      </c>
      <c r="K186" s="5">
        <f t="shared" si="17"/>
        <v>90777000</v>
      </c>
      <c r="L186" s="5">
        <f t="shared" ref="L186:M186" si="189">L185+F186</f>
        <v>19203.8</v>
      </c>
      <c r="M186" s="5">
        <f t="shared" si="189"/>
        <v>21280.34</v>
      </c>
      <c r="N186" s="6">
        <f t="shared" si="3"/>
        <v>0.283375</v>
      </c>
      <c r="O186" s="6">
        <f t="shared" si="4"/>
        <v>0.2173778736</v>
      </c>
    </row>
    <row r="187">
      <c r="A187" s="4">
        <v>45659.0</v>
      </c>
      <c r="B187" s="5">
        <v>175.0</v>
      </c>
      <c r="C187" s="5">
        <v>678000.0</v>
      </c>
      <c r="D187" s="5">
        <v>4.97</v>
      </c>
      <c r="E187" s="5">
        <v>87.98</v>
      </c>
      <c r="F187" s="5">
        <v>121.45</v>
      </c>
      <c r="G187" s="5">
        <v>134.17</v>
      </c>
      <c r="H187" s="6">
        <v>1.0</v>
      </c>
      <c r="I187" s="6">
        <v>1.0</v>
      </c>
      <c r="J187" s="6">
        <v>1.0</v>
      </c>
      <c r="K187" s="5">
        <f t="shared" si="17"/>
        <v>91455000</v>
      </c>
      <c r="L187" s="5">
        <f t="shared" ref="L187:M187" si="190">L186+F187</f>
        <v>19325.25</v>
      </c>
      <c r="M187" s="5">
        <f t="shared" si="190"/>
        <v>21414.51</v>
      </c>
      <c r="N187" s="6">
        <f t="shared" si="3"/>
        <v>0.2825</v>
      </c>
      <c r="O187" s="6">
        <f t="shared" si="4"/>
        <v>0.21775</v>
      </c>
    </row>
    <row r="188">
      <c r="A188" s="4">
        <v>45660.0</v>
      </c>
      <c r="B188" s="5">
        <v>176.0</v>
      </c>
      <c r="C188" s="5">
        <v>667600.000000006</v>
      </c>
      <c r="D188" s="5">
        <v>4.885</v>
      </c>
      <c r="E188" s="5">
        <v>85.78</v>
      </c>
      <c r="F188" s="5">
        <v>121.05</v>
      </c>
      <c r="G188" s="5">
        <v>133.64</v>
      </c>
      <c r="H188" s="6">
        <v>0.999904557384872</v>
      </c>
      <c r="I188" s="6">
        <v>1.0</v>
      </c>
      <c r="J188" s="6">
        <v>1.0</v>
      </c>
      <c r="K188" s="5">
        <f t="shared" si="17"/>
        <v>92122600</v>
      </c>
      <c r="L188" s="5">
        <f t="shared" ref="L188:M188" si="191">L187+F188</f>
        <v>19446.3</v>
      </c>
      <c r="M188" s="5">
        <f t="shared" si="191"/>
        <v>21548.15</v>
      </c>
      <c r="N188" s="6">
        <f t="shared" si="3"/>
        <v>0.2781666667</v>
      </c>
      <c r="O188" s="6">
        <f t="shared" si="4"/>
        <v>0.2180932765</v>
      </c>
    </row>
    <row r="189">
      <c r="A189" s="4">
        <v>45661.0</v>
      </c>
      <c r="B189" s="5">
        <v>177.0</v>
      </c>
      <c r="C189" s="5">
        <v>700380.000000005</v>
      </c>
      <c r="D189" s="5">
        <v>5.115</v>
      </c>
      <c r="E189" s="5">
        <v>89.52</v>
      </c>
      <c r="F189" s="5">
        <v>122.12</v>
      </c>
      <c r="G189" s="5">
        <v>135.33</v>
      </c>
      <c r="H189" s="6">
        <v>0.999844415721193</v>
      </c>
      <c r="I189" s="6">
        <v>1.0</v>
      </c>
      <c r="J189" s="6">
        <v>1.0</v>
      </c>
      <c r="K189" s="5">
        <f t="shared" si="17"/>
        <v>92822980</v>
      </c>
      <c r="L189" s="5">
        <f t="shared" ref="L189:M189" si="192">L188+F189</f>
        <v>19568.42</v>
      </c>
      <c r="M189" s="5">
        <f t="shared" si="192"/>
        <v>21683.48</v>
      </c>
      <c r="N189" s="6">
        <f t="shared" si="3"/>
        <v>0.291825</v>
      </c>
      <c r="O189" s="6">
        <f t="shared" si="4"/>
        <v>0.2185098399</v>
      </c>
    </row>
    <row r="190">
      <c r="A190" s="4">
        <v>45662.0</v>
      </c>
      <c r="B190" s="5">
        <v>178.0</v>
      </c>
      <c r="C190" s="5">
        <v>637759.999999995</v>
      </c>
      <c r="D190" s="5">
        <v>4.65</v>
      </c>
      <c r="E190" s="5">
        <v>85.62</v>
      </c>
      <c r="F190" s="5">
        <v>121.11</v>
      </c>
      <c r="G190" s="5">
        <v>133.79</v>
      </c>
      <c r="H190" s="6">
        <v>0.999582438558816</v>
      </c>
      <c r="I190" s="6">
        <v>1.0</v>
      </c>
      <c r="J190" s="6">
        <v>1.0</v>
      </c>
      <c r="K190" s="5">
        <f t="shared" si="17"/>
        <v>93460740</v>
      </c>
      <c r="L190" s="5">
        <f t="shared" ref="L190:M190" si="193">L189+F190</f>
        <v>19689.53</v>
      </c>
      <c r="M190" s="5">
        <f t="shared" si="193"/>
        <v>21817.27</v>
      </c>
      <c r="N190" s="6">
        <f t="shared" si="3"/>
        <v>0.2657333333</v>
      </c>
      <c r="O190" s="6">
        <f t="shared" si="4"/>
        <v>0.2187751404</v>
      </c>
    </row>
    <row r="191">
      <c r="A191" s="4">
        <v>45663.0</v>
      </c>
      <c r="B191" s="5">
        <v>179.0</v>
      </c>
      <c r="C191" s="5">
        <v>592719.999999987</v>
      </c>
      <c r="D191" s="5">
        <v>4.35</v>
      </c>
      <c r="E191" s="5">
        <v>76.06</v>
      </c>
      <c r="F191" s="5">
        <v>121.27</v>
      </c>
      <c r="G191" s="5">
        <v>134.21</v>
      </c>
      <c r="H191" s="6">
        <v>0.999643773154745</v>
      </c>
      <c r="I191" s="6">
        <v>1.0</v>
      </c>
      <c r="J191" s="6">
        <v>1.0</v>
      </c>
      <c r="K191" s="5">
        <f t="shared" si="17"/>
        <v>94053460</v>
      </c>
      <c r="L191" s="5">
        <f t="shared" ref="L191:M191" si="194">L190+F191</f>
        <v>19810.8</v>
      </c>
      <c r="M191" s="5">
        <f t="shared" si="194"/>
        <v>21951.48</v>
      </c>
      <c r="N191" s="6">
        <f t="shared" si="3"/>
        <v>0.2469666667</v>
      </c>
      <c r="O191" s="6">
        <f t="shared" si="4"/>
        <v>0.218932635</v>
      </c>
    </row>
    <row r="192">
      <c r="A192" s="4">
        <v>45664.0</v>
      </c>
      <c r="B192" s="5">
        <v>180.0</v>
      </c>
      <c r="C192" s="5">
        <v>597450.000000012</v>
      </c>
      <c r="D192" s="5">
        <v>4.37</v>
      </c>
      <c r="E192" s="5">
        <v>77.06</v>
      </c>
      <c r="F192" s="5">
        <v>121.13</v>
      </c>
      <c r="G192" s="5">
        <v>134.68</v>
      </c>
      <c r="H192" s="6">
        <v>0.999066326289415</v>
      </c>
      <c r="I192" s="6">
        <v>1.0</v>
      </c>
      <c r="J192" s="6">
        <v>1.0</v>
      </c>
      <c r="K192" s="5">
        <f t="shared" si="17"/>
        <v>94650910</v>
      </c>
      <c r="L192" s="5">
        <f t="shared" ref="L192:M192" si="195">L191+F192</f>
        <v>19931.93</v>
      </c>
      <c r="M192" s="5">
        <f t="shared" si="195"/>
        <v>22086.16</v>
      </c>
      <c r="N192" s="6">
        <f t="shared" si="3"/>
        <v>0.2489375</v>
      </c>
      <c r="O192" s="6">
        <f t="shared" si="4"/>
        <v>0.2190993287</v>
      </c>
    </row>
    <row r="193">
      <c r="A193" s="4">
        <v>45665.0</v>
      </c>
      <c r="B193" s="5">
        <v>181.0</v>
      </c>
      <c r="C193" s="5">
        <v>684599.999999991</v>
      </c>
      <c r="D193" s="5">
        <v>4.945</v>
      </c>
      <c r="E193" s="5">
        <v>86.63</v>
      </c>
      <c r="F193" s="5">
        <v>121.27</v>
      </c>
      <c r="G193" s="5">
        <v>134.37</v>
      </c>
      <c r="H193" s="6">
        <v>0.99815051927728</v>
      </c>
      <c r="I193" s="6">
        <v>1.0</v>
      </c>
      <c r="J193" s="6">
        <v>1.0</v>
      </c>
      <c r="K193" s="5">
        <f t="shared" si="17"/>
        <v>95335510</v>
      </c>
      <c r="L193" s="5">
        <f t="shared" ref="L193:M193" si="196">L192+F193</f>
        <v>20053.2</v>
      </c>
      <c r="M193" s="5">
        <f t="shared" si="196"/>
        <v>22220.53</v>
      </c>
      <c r="N193" s="6">
        <f t="shared" si="3"/>
        <v>0.28525</v>
      </c>
      <c r="O193" s="6">
        <f t="shared" si="4"/>
        <v>0.219464802</v>
      </c>
    </row>
    <row r="194">
      <c r="A194" s="4">
        <v>45666.0</v>
      </c>
      <c r="B194" s="5">
        <v>182.0</v>
      </c>
      <c r="C194" s="5">
        <v>656380.000000019</v>
      </c>
      <c r="D194" s="5">
        <v>4.735</v>
      </c>
      <c r="E194" s="5">
        <v>86.57</v>
      </c>
      <c r="F194" s="5">
        <v>121.67</v>
      </c>
      <c r="G194" s="5">
        <v>134.41</v>
      </c>
      <c r="H194" s="6">
        <v>0.999869587897757</v>
      </c>
      <c r="I194" s="6">
        <v>1.0</v>
      </c>
      <c r="J194" s="6">
        <v>1.0</v>
      </c>
      <c r="K194" s="5">
        <f t="shared" si="17"/>
        <v>95991890</v>
      </c>
      <c r="L194" s="5">
        <f t="shared" ref="L194:M194" si="197">L193+F194</f>
        <v>20174.87</v>
      </c>
      <c r="M194" s="5">
        <f t="shared" si="197"/>
        <v>22354.94</v>
      </c>
      <c r="N194" s="6">
        <f t="shared" si="3"/>
        <v>0.2734916667</v>
      </c>
      <c r="O194" s="6">
        <f t="shared" si="4"/>
        <v>0.2197616529</v>
      </c>
    </row>
    <row r="195">
      <c r="A195" s="4">
        <v>45667.0</v>
      </c>
      <c r="B195" s="5">
        <v>183.0</v>
      </c>
      <c r="C195" s="5">
        <v>648989.999999991</v>
      </c>
      <c r="D195" s="5">
        <v>4.66</v>
      </c>
      <c r="E195" s="5">
        <v>94.28</v>
      </c>
      <c r="F195" s="5">
        <v>121.7</v>
      </c>
      <c r="G195" s="5">
        <v>134.4</v>
      </c>
      <c r="H195" s="6">
        <v>0.999680896326762</v>
      </c>
      <c r="I195" s="6">
        <v>1.0</v>
      </c>
      <c r="J195" s="6">
        <v>1.0</v>
      </c>
      <c r="K195" s="5">
        <f t="shared" si="17"/>
        <v>96640880</v>
      </c>
      <c r="L195" s="5">
        <f t="shared" ref="L195:M195" si="198">L194+F195</f>
        <v>20296.57</v>
      </c>
      <c r="M195" s="5">
        <f t="shared" si="198"/>
        <v>22489.34</v>
      </c>
      <c r="N195" s="6">
        <f t="shared" si="3"/>
        <v>0.2704125</v>
      </c>
      <c r="O195" s="6">
        <f t="shared" si="4"/>
        <v>0.2200384335</v>
      </c>
    </row>
    <row r="196">
      <c r="A196" s="4">
        <v>45668.0</v>
      </c>
      <c r="B196" s="5">
        <v>184.0</v>
      </c>
      <c r="C196" s="5">
        <v>597720.000000001</v>
      </c>
      <c r="D196" s="5">
        <v>4.315</v>
      </c>
      <c r="E196" s="5">
        <v>80.4</v>
      </c>
      <c r="F196" s="5">
        <v>121.0</v>
      </c>
      <c r="G196" s="5">
        <v>134.38</v>
      </c>
      <c r="H196" s="6">
        <v>0.997982158028887</v>
      </c>
      <c r="I196" s="6">
        <v>1.0</v>
      </c>
      <c r="J196" s="6">
        <v>1.0</v>
      </c>
      <c r="K196" s="5">
        <f t="shared" si="17"/>
        <v>97238600</v>
      </c>
      <c r="L196" s="5">
        <f t="shared" ref="L196:M196" si="199">L195+F196</f>
        <v>20417.57</v>
      </c>
      <c r="M196" s="5">
        <f t="shared" si="199"/>
        <v>22623.72</v>
      </c>
      <c r="N196" s="6">
        <f t="shared" si="3"/>
        <v>0.24905</v>
      </c>
      <c r="O196" s="6">
        <f t="shared" si="4"/>
        <v>0.2201961051</v>
      </c>
    </row>
    <row r="197">
      <c r="A197" s="4">
        <v>45669.0</v>
      </c>
      <c r="B197" s="5">
        <v>185.0</v>
      </c>
      <c r="C197" s="5">
        <v>513490.000000005</v>
      </c>
      <c r="D197" s="5">
        <v>3.82</v>
      </c>
      <c r="E197" s="5">
        <v>65.47</v>
      </c>
      <c r="F197" s="5">
        <v>120.96</v>
      </c>
      <c r="G197" s="5">
        <v>133.34</v>
      </c>
      <c r="H197" s="6">
        <v>0.999515435162861</v>
      </c>
      <c r="I197" s="6">
        <v>1.0</v>
      </c>
      <c r="J197" s="6">
        <v>1.0</v>
      </c>
      <c r="K197" s="5">
        <f t="shared" si="17"/>
        <v>97752090</v>
      </c>
      <c r="L197" s="5">
        <f t="shared" ref="L197:M197" si="200">L196+F197</f>
        <v>20538.53</v>
      </c>
      <c r="M197" s="5">
        <f t="shared" si="200"/>
        <v>22757.06</v>
      </c>
      <c r="N197" s="6">
        <f t="shared" si="3"/>
        <v>0.2139541667</v>
      </c>
      <c r="O197" s="6">
        <f t="shared" si="4"/>
        <v>0.2201623649</v>
      </c>
    </row>
    <row r="198">
      <c r="A198" s="4">
        <v>45670.0</v>
      </c>
      <c r="B198" s="5">
        <v>186.0</v>
      </c>
      <c r="C198" s="5">
        <v>420509.999999995</v>
      </c>
      <c r="D198" s="5">
        <v>3.23</v>
      </c>
      <c r="E198" s="5">
        <v>56.37</v>
      </c>
      <c r="F198" s="5">
        <v>121.09</v>
      </c>
      <c r="G198" s="5">
        <v>133.94</v>
      </c>
      <c r="H198" s="6">
        <v>0.999692234848485</v>
      </c>
      <c r="I198" s="6">
        <v>1.0</v>
      </c>
      <c r="J198" s="6">
        <v>1.0</v>
      </c>
      <c r="K198" s="5">
        <f t="shared" si="17"/>
        <v>98172600</v>
      </c>
      <c r="L198" s="5">
        <f t="shared" ref="L198:M198" si="201">L197+F198</f>
        <v>20659.62</v>
      </c>
      <c r="M198" s="5">
        <f t="shared" si="201"/>
        <v>22891</v>
      </c>
      <c r="N198" s="6">
        <f t="shared" si="3"/>
        <v>0.1752125</v>
      </c>
      <c r="O198" s="6">
        <f t="shared" si="4"/>
        <v>0.2199206989</v>
      </c>
    </row>
    <row r="199">
      <c r="A199" s="4">
        <v>45671.0</v>
      </c>
      <c r="B199" s="5">
        <v>187.0</v>
      </c>
      <c r="C199" s="5">
        <v>485709.999999992</v>
      </c>
      <c r="D199" s="5">
        <v>3.825</v>
      </c>
      <c r="E199" s="5">
        <v>60.31</v>
      </c>
      <c r="F199" s="5">
        <v>120.9</v>
      </c>
      <c r="G199" s="5">
        <v>134.33</v>
      </c>
      <c r="H199" s="6">
        <v>0.987283127688744</v>
      </c>
      <c r="I199" s="6">
        <v>1.0</v>
      </c>
      <c r="J199" s="6">
        <v>1.0</v>
      </c>
      <c r="K199" s="5">
        <f t="shared" si="17"/>
        <v>98658310</v>
      </c>
      <c r="L199" s="5">
        <f t="shared" ref="L199:M199" si="202">L198+F199</f>
        <v>20780.52</v>
      </c>
      <c r="M199" s="5">
        <f t="shared" si="202"/>
        <v>23025.33</v>
      </c>
      <c r="N199" s="6">
        <f t="shared" si="3"/>
        <v>0.2023791667</v>
      </c>
      <c r="O199" s="6">
        <f t="shared" si="4"/>
        <v>0.2198268939</v>
      </c>
    </row>
    <row r="200">
      <c r="A200" s="4">
        <v>45672.0</v>
      </c>
      <c r="B200" s="5">
        <v>188.0</v>
      </c>
      <c r="C200" s="5">
        <v>437840.000000011</v>
      </c>
      <c r="D200" s="5">
        <v>3.405</v>
      </c>
      <c r="E200" s="5">
        <v>65.6</v>
      </c>
      <c r="F200" s="5">
        <v>121.01</v>
      </c>
      <c r="G200" s="5">
        <v>134.05</v>
      </c>
      <c r="H200" s="6">
        <v>0.991400491400491</v>
      </c>
      <c r="I200" s="6">
        <v>1.0</v>
      </c>
      <c r="J200" s="6">
        <v>1.0</v>
      </c>
      <c r="K200" s="5">
        <f t="shared" si="17"/>
        <v>99096150</v>
      </c>
      <c r="L200" s="5">
        <f t="shared" ref="L200:M200" si="203">L199+F200</f>
        <v>20901.53</v>
      </c>
      <c r="M200" s="5">
        <f t="shared" si="203"/>
        <v>23159.38</v>
      </c>
      <c r="N200" s="6">
        <f t="shared" si="3"/>
        <v>0.1824333333</v>
      </c>
      <c r="O200" s="6">
        <f t="shared" si="4"/>
        <v>0.219627992</v>
      </c>
    </row>
    <row r="201">
      <c r="A201" s="4">
        <v>45673.0</v>
      </c>
      <c r="B201" s="5">
        <v>189.0</v>
      </c>
      <c r="C201" s="5">
        <v>424959.999999992</v>
      </c>
      <c r="D201" s="5">
        <v>3.245</v>
      </c>
      <c r="E201" s="5">
        <v>73.16</v>
      </c>
      <c r="F201" s="5">
        <v>121.32</v>
      </c>
      <c r="G201" s="5">
        <v>133.31</v>
      </c>
      <c r="H201" s="6">
        <v>0.992198985156732</v>
      </c>
      <c r="I201" s="6">
        <v>1.0</v>
      </c>
      <c r="J201" s="6">
        <v>1.0</v>
      </c>
      <c r="K201" s="5">
        <f t="shared" si="17"/>
        <v>99521110</v>
      </c>
      <c r="L201" s="5">
        <f t="shared" ref="L201:M201" si="204">L200+F201</f>
        <v>21022.85</v>
      </c>
      <c r="M201" s="5">
        <f t="shared" si="204"/>
        <v>23292.69</v>
      </c>
      <c r="N201" s="6">
        <f t="shared" si="3"/>
        <v>0.1770666667</v>
      </c>
      <c r="O201" s="6">
        <f t="shared" si="4"/>
        <v>0.2194027998</v>
      </c>
    </row>
    <row r="202">
      <c r="A202" s="4">
        <v>45674.0</v>
      </c>
      <c r="B202" s="5">
        <v>190.0</v>
      </c>
      <c r="C202" s="5">
        <v>589339.999999997</v>
      </c>
      <c r="D202" s="5">
        <v>4.4</v>
      </c>
      <c r="E202" s="5">
        <v>78.46</v>
      </c>
      <c r="F202" s="5">
        <v>121.66</v>
      </c>
      <c r="G202" s="5">
        <v>135.14</v>
      </c>
      <c r="H202" s="6">
        <v>0.992354096520763</v>
      </c>
      <c r="I202" s="6">
        <v>1.0</v>
      </c>
      <c r="J202" s="6">
        <v>1.0</v>
      </c>
      <c r="K202" s="5">
        <f t="shared" si="17"/>
        <v>100110450</v>
      </c>
      <c r="L202" s="5">
        <f t="shared" ref="L202:M202" si="205">L201+F202</f>
        <v>21144.51</v>
      </c>
      <c r="M202" s="5">
        <f t="shared" si="205"/>
        <v>23427.83</v>
      </c>
      <c r="N202" s="6">
        <f t="shared" si="3"/>
        <v>0.2455583333</v>
      </c>
      <c r="O202" s="6">
        <f t="shared" si="4"/>
        <v>0.2195404605</v>
      </c>
    </row>
    <row r="203">
      <c r="A203" s="4">
        <v>45675.0</v>
      </c>
      <c r="B203" s="5">
        <v>191.0</v>
      </c>
      <c r="C203" s="5">
        <v>635160.000000003</v>
      </c>
      <c r="D203" s="5">
        <v>4.705</v>
      </c>
      <c r="E203" s="5">
        <v>78.86</v>
      </c>
      <c r="F203" s="5">
        <v>121.2</v>
      </c>
      <c r="G203" s="5">
        <v>133.67</v>
      </c>
      <c r="H203" s="6">
        <v>0.992424242424243</v>
      </c>
      <c r="I203" s="6">
        <v>1.0</v>
      </c>
      <c r="J203" s="6">
        <v>1.0</v>
      </c>
      <c r="K203" s="5">
        <f t="shared" si="17"/>
        <v>100745610</v>
      </c>
      <c r="L203" s="5">
        <f t="shared" ref="L203:M203" si="206">L202+F203</f>
        <v>21265.71</v>
      </c>
      <c r="M203" s="5">
        <f t="shared" si="206"/>
        <v>23561.5</v>
      </c>
      <c r="N203" s="6">
        <f t="shared" si="3"/>
        <v>0.26465</v>
      </c>
      <c r="O203" s="6">
        <f t="shared" si="4"/>
        <v>0.2197766361</v>
      </c>
    </row>
    <row r="204">
      <c r="A204" s="4">
        <v>45676.0</v>
      </c>
      <c r="B204" s="5">
        <v>192.0</v>
      </c>
      <c r="C204" s="5">
        <v>675300.000000003</v>
      </c>
      <c r="D204" s="5">
        <v>5.025</v>
      </c>
      <c r="E204" s="5">
        <v>89.92</v>
      </c>
      <c r="F204" s="5">
        <v>121.11</v>
      </c>
      <c r="G204" s="5">
        <v>134.79</v>
      </c>
      <c r="H204" s="6">
        <v>0.992165844491426</v>
      </c>
      <c r="I204" s="6">
        <v>1.0</v>
      </c>
      <c r="J204" s="6">
        <v>1.0</v>
      </c>
      <c r="K204" s="5">
        <f t="shared" si="17"/>
        <v>101420910</v>
      </c>
      <c r="L204" s="5">
        <f t="shared" ref="L204:M204" si="207">L203+F204</f>
        <v>21386.82</v>
      </c>
      <c r="M204" s="5">
        <f t="shared" si="207"/>
        <v>23696.29</v>
      </c>
      <c r="N204" s="6">
        <f t="shared" si="3"/>
        <v>0.281375</v>
      </c>
      <c r="O204" s="6">
        <f t="shared" si="4"/>
        <v>0.2200974609</v>
      </c>
    </row>
    <row r="205">
      <c r="A205" s="4">
        <v>45677.0</v>
      </c>
      <c r="B205" s="5">
        <v>193.0</v>
      </c>
      <c r="C205" s="5">
        <v>682300.000000003</v>
      </c>
      <c r="D205" s="5">
        <v>5.09</v>
      </c>
      <c r="E205" s="5">
        <v>86.26</v>
      </c>
      <c r="F205" s="5">
        <v>121.3</v>
      </c>
      <c r="G205" s="5">
        <v>133.7</v>
      </c>
      <c r="H205" s="6">
        <v>0.992295243456234</v>
      </c>
      <c r="I205" s="6">
        <v>1.0</v>
      </c>
      <c r="J205" s="6">
        <v>1.0</v>
      </c>
      <c r="K205" s="5">
        <f t="shared" si="17"/>
        <v>102103210</v>
      </c>
      <c r="L205" s="5">
        <f t="shared" ref="L205:M205" si="208">L204+F205</f>
        <v>21508.12</v>
      </c>
      <c r="M205" s="5">
        <f t="shared" si="208"/>
        <v>23829.99</v>
      </c>
      <c r="N205" s="6">
        <f t="shared" si="3"/>
        <v>0.2842916667</v>
      </c>
      <c r="O205" s="6">
        <f t="shared" si="4"/>
        <v>0.2204300734</v>
      </c>
    </row>
    <row r="206">
      <c r="A206" s="4">
        <v>45678.0</v>
      </c>
      <c r="B206" s="5">
        <v>194.0</v>
      </c>
      <c r="C206" s="5">
        <v>678900.000000009</v>
      </c>
      <c r="D206" s="5">
        <v>5.08</v>
      </c>
      <c r="E206" s="5">
        <v>85.92</v>
      </c>
      <c r="F206" s="5">
        <v>121.29</v>
      </c>
      <c r="G206" s="5">
        <v>133.95</v>
      </c>
      <c r="H206" s="6">
        <v>0.991602067183463</v>
      </c>
      <c r="I206" s="6">
        <v>1.0</v>
      </c>
      <c r="J206" s="6">
        <v>1.0</v>
      </c>
      <c r="K206" s="5">
        <f t="shared" si="17"/>
        <v>102782110</v>
      </c>
      <c r="L206" s="5">
        <f t="shared" ref="L206:M206" si="209">L205+F206</f>
        <v>21629.41</v>
      </c>
      <c r="M206" s="5">
        <f t="shared" si="209"/>
        <v>23963.94</v>
      </c>
      <c r="N206" s="6">
        <f t="shared" si="3"/>
        <v>0.282875</v>
      </c>
      <c r="O206" s="6">
        <f t="shared" si="4"/>
        <v>0.2207519545</v>
      </c>
    </row>
    <row r="207">
      <c r="A207" s="4">
        <v>45679.0</v>
      </c>
      <c r="B207" s="5">
        <v>195.0</v>
      </c>
      <c r="C207" s="5">
        <v>666799.999999988</v>
      </c>
      <c r="D207" s="5">
        <v>5.015</v>
      </c>
      <c r="E207" s="5">
        <v>85.26</v>
      </c>
      <c r="F207" s="5">
        <v>121.03</v>
      </c>
      <c r="G207" s="5">
        <v>134.22</v>
      </c>
      <c r="H207" s="6">
        <v>0.991301907968575</v>
      </c>
      <c r="I207" s="6">
        <v>1.0</v>
      </c>
      <c r="J207" s="6">
        <v>1.0</v>
      </c>
      <c r="K207" s="5">
        <f t="shared" si="17"/>
        <v>103448910</v>
      </c>
      <c r="L207" s="5">
        <f t="shared" ref="L207:M207" si="210">L206+F207</f>
        <v>21750.44</v>
      </c>
      <c r="M207" s="5">
        <f t="shared" si="210"/>
        <v>24098.16</v>
      </c>
      <c r="N207" s="6">
        <f t="shared" si="3"/>
        <v>0.2778333333</v>
      </c>
      <c r="O207" s="6">
        <f t="shared" si="4"/>
        <v>0.2210446795</v>
      </c>
    </row>
    <row r="208">
      <c r="A208" s="4">
        <v>45680.0</v>
      </c>
      <c r="B208" s="5">
        <v>196.0</v>
      </c>
      <c r="C208" s="5">
        <v>621699.999999997</v>
      </c>
      <c r="D208" s="5">
        <v>4.68</v>
      </c>
      <c r="E208" s="5">
        <v>89.13</v>
      </c>
      <c r="F208" s="5">
        <v>121.18</v>
      </c>
      <c r="G208" s="5">
        <v>134.43</v>
      </c>
      <c r="H208" s="6">
        <v>0.992120276842499</v>
      </c>
      <c r="I208" s="6">
        <v>1.0</v>
      </c>
      <c r="J208" s="6">
        <v>1.0</v>
      </c>
      <c r="K208" s="5">
        <f t="shared" si="17"/>
        <v>104070610</v>
      </c>
      <c r="L208" s="5">
        <f t="shared" ref="L208:M208" si="211">L207+F208</f>
        <v>21871.62</v>
      </c>
      <c r="M208" s="5">
        <f t="shared" si="211"/>
        <v>24232.59</v>
      </c>
      <c r="N208" s="6">
        <f t="shared" si="3"/>
        <v>0.2590416667</v>
      </c>
      <c r="O208" s="6">
        <f t="shared" si="4"/>
        <v>0.2212385417</v>
      </c>
    </row>
    <row r="209">
      <c r="A209" s="4">
        <v>45681.0</v>
      </c>
      <c r="B209" s="5">
        <v>197.0</v>
      </c>
      <c r="C209" s="5">
        <v>643000.0</v>
      </c>
      <c r="D209" s="5">
        <v>4.885</v>
      </c>
      <c r="E209" s="5">
        <v>78.83</v>
      </c>
      <c r="F209" s="5">
        <v>121.41</v>
      </c>
      <c r="G209" s="5">
        <v>134.99</v>
      </c>
      <c r="H209" s="6">
        <v>0.988519813519813</v>
      </c>
      <c r="I209" s="6">
        <v>1.0</v>
      </c>
      <c r="J209" s="6">
        <v>1.0</v>
      </c>
      <c r="K209" s="5">
        <f t="shared" si="17"/>
        <v>104713610</v>
      </c>
      <c r="L209" s="5">
        <f t="shared" ref="L209:M209" si="212">L208+F209</f>
        <v>21993.03</v>
      </c>
      <c r="M209" s="5">
        <f t="shared" si="212"/>
        <v>24367.58</v>
      </c>
      <c r="N209" s="6">
        <f t="shared" si="3"/>
        <v>0.2679166667</v>
      </c>
      <c r="O209" s="6">
        <f t="shared" si="4"/>
        <v>0.2214754865</v>
      </c>
    </row>
    <row r="210">
      <c r="A210" s="4">
        <v>45682.0</v>
      </c>
      <c r="B210" s="5">
        <v>198.0</v>
      </c>
      <c r="C210" s="5">
        <v>616200.000000012</v>
      </c>
      <c r="D210" s="5">
        <v>4.56</v>
      </c>
      <c r="E210" s="5">
        <v>82.38</v>
      </c>
      <c r="F210" s="5">
        <v>121.14</v>
      </c>
      <c r="G210" s="5">
        <v>134.18</v>
      </c>
      <c r="H210" s="6">
        <v>0.999337702175125</v>
      </c>
      <c r="I210" s="6">
        <v>1.0</v>
      </c>
      <c r="J210" s="6">
        <v>1.0</v>
      </c>
      <c r="K210" s="5">
        <f t="shared" si="17"/>
        <v>105329810</v>
      </c>
      <c r="L210" s="5">
        <f t="shared" ref="L210:M210" si="213">L209+F210</f>
        <v>22114.17</v>
      </c>
      <c r="M210" s="5">
        <f t="shared" si="213"/>
        <v>24501.76</v>
      </c>
      <c r="N210" s="6">
        <f t="shared" si="3"/>
        <v>0.25675</v>
      </c>
      <c r="O210" s="6">
        <f t="shared" si="4"/>
        <v>0.2216536406</v>
      </c>
    </row>
    <row r="211">
      <c r="A211" s="4">
        <v>45683.0</v>
      </c>
      <c r="B211" s="5">
        <v>199.0</v>
      </c>
      <c r="C211" s="5">
        <v>659799.999999988</v>
      </c>
      <c r="D211" s="5">
        <v>4.84</v>
      </c>
      <c r="E211" s="5">
        <v>85.1</v>
      </c>
      <c r="F211" s="5">
        <v>121.27</v>
      </c>
      <c r="G211" s="5">
        <v>134.51</v>
      </c>
      <c r="H211" s="6">
        <v>0.999789886538731</v>
      </c>
      <c r="I211" s="6">
        <v>1.0</v>
      </c>
      <c r="J211" s="6">
        <v>1.0</v>
      </c>
      <c r="K211" s="5">
        <f t="shared" si="17"/>
        <v>105989610</v>
      </c>
      <c r="L211" s="5">
        <f t="shared" ref="L211:M211" si="214">L210+F211</f>
        <v>22235.44</v>
      </c>
      <c r="M211" s="5">
        <f t="shared" si="214"/>
        <v>24636.27</v>
      </c>
      <c r="N211" s="6">
        <f t="shared" si="3"/>
        <v>0.2749166667</v>
      </c>
      <c r="O211" s="6">
        <f t="shared" si="4"/>
        <v>0.221921294</v>
      </c>
    </row>
    <row r="212">
      <c r="A212" s="4">
        <v>45684.0</v>
      </c>
      <c r="B212" s="5">
        <v>200.0</v>
      </c>
      <c r="C212" s="5">
        <v>682000.000000015</v>
      </c>
      <c r="D212" s="5">
        <v>5.115</v>
      </c>
      <c r="E212" s="5">
        <v>84.44</v>
      </c>
      <c r="F212" s="5">
        <v>121.17</v>
      </c>
      <c r="G212" s="5">
        <v>133.44</v>
      </c>
      <c r="H212" s="6">
        <v>0.999347319347319</v>
      </c>
      <c r="I212" s="6">
        <v>1.0</v>
      </c>
      <c r="J212" s="6">
        <v>1.0</v>
      </c>
      <c r="K212" s="5">
        <f t="shared" si="17"/>
        <v>106671610</v>
      </c>
      <c r="L212" s="5">
        <f t="shared" ref="L212:M212" si="215">L211+F212</f>
        <v>22356.61</v>
      </c>
      <c r="M212" s="5">
        <f t="shared" si="215"/>
        <v>24769.71</v>
      </c>
      <c r="N212" s="6">
        <f t="shared" si="3"/>
        <v>0.2841666667</v>
      </c>
      <c r="O212" s="6">
        <f t="shared" si="4"/>
        <v>0.2222325208</v>
      </c>
    </row>
    <row r="213">
      <c r="A213" s="4">
        <v>45685.0</v>
      </c>
      <c r="B213" s="5">
        <v>201.0</v>
      </c>
      <c r="C213" s="5">
        <v>682499.999999985</v>
      </c>
      <c r="D213" s="5">
        <v>5.105</v>
      </c>
      <c r="E213" s="5">
        <v>86.03</v>
      </c>
      <c r="F213" s="5">
        <v>120.87</v>
      </c>
      <c r="G213" s="5">
        <v>134.2</v>
      </c>
      <c r="H213" s="6">
        <v>0.993951048951049</v>
      </c>
      <c r="I213" s="6">
        <v>1.0</v>
      </c>
      <c r="J213" s="6">
        <v>1.0</v>
      </c>
      <c r="K213" s="5">
        <f t="shared" si="17"/>
        <v>107354110</v>
      </c>
      <c r="L213" s="5">
        <f t="shared" ref="L213:M213" si="216">L212+F213</f>
        <v>22477.48</v>
      </c>
      <c r="M213" s="5">
        <f t="shared" si="216"/>
        <v>24903.91</v>
      </c>
      <c r="N213" s="6">
        <f t="shared" si="3"/>
        <v>0.284375</v>
      </c>
      <c r="O213" s="6">
        <f t="shared" si="4"/>
        <v>0.2225416874</v>
      </c>
    </row>
    <row r="214">
      <c r="A214" s="4">
        <v>45686.0</v>
      </c>
      <c r="B214" s="5">
        <v>202.0</v>
      </c>
      <c r="C214" s="5">
        <v>629100.000000006</v>
      </c>
      <c r="D214" s="5">
        <v>4.73</v>
      </c>
      <c r="E214" s="5">
        <v>79.11</v>
      </c>
      <c r="F214" s="5">
        <v>121.16</v>
      </c>
      <c r="G214" s="5">
        <v>134.02</v>
      </c>
      <c r="H214" s="6">
        <v>0.999651956007239</v>
      </c>
      <c r="I214" s="6">
        <v>1.0</v>
      </c>
      <c r="J214" s="6">
        <v>1.0</v>
      </c>
      <c r="K214" s="5">
        <f t="shared" si="17"/>
        <v>107983210</v>
      </c>
      <c r="L214" s="5">
        <f t="shared" ref="L214:M214" si="217">L213+F214</f>
        <v>22598.64</v>
      </c>
      <c r="M214" s="5">
        <f t="shared" si="217"/>
        <v>25037.93</v>
      </c>
      <c r="N214" s="6">
        <f t="shared" si="3"/>
        <v>0.262125</v>
      </c>
      <c r="O214" s="6">
        <f t="shared" si="4"/>
        <v>0.2227376444</v>
      </c>
    </row>
    <row r="215">
      <c r="A215" s="4">
        <v>45687.0</v>
      </c>
      <c r="B215" s="5">
        <v>203.0</v>
      </c>
      <c r="C215" s="5">
        <v>637899.999999994</v>
      </c>
      <c r="D215" s="5">
        <v>4.795</v>
      </c>
      <c r="E215" s="5">
        <v>83.48</v>
      </c>
      <c r="F215" s="5">
        <v>121.23</v>
      </c>
      <c r="G215" s="5">
        <v>134.53</v>
      </c>
      <c r="H215" s="6">
        <v>1.0</v>
      </c>
      <c r="I215" s="6">
        <v>1.0</v>
      </c>
      <c r="J215" s="6">
        <v>1.0</v>
      </c>
      <c r="K215" s="5">
        <f t="shared" si="17"/>
        <v>108621110</v>
      </c>
      <c r="L215" s="5">
        <f t="shared" ref="L215:M215" si="218">L214+F215</f>
        <v>22719.87</v>
      </c>
      <c r="M215" s="5">
        <f t="shared" si="218"/>
        <v>25172.46</v>
      </c>
      <c r="N215" s="6">
        <f t="shared" si="3"/>
        <v>0.2657916667</v>
      </c>
      <c r="O215" s="6">
        <f t="shared" si="4"/>
        <v>0.2229497332</v>
      </c>
    </row>
    <row r="216">
      <c r="A216" s="4">
        <v>45688.0</v>
      </c>
      <c r="B216" s="5">
        <v>204.0</v>
      </c>
      <c r="C216" s="5">
        <v>605300.000000003</v>
      </c>
      <c r="D216" s="5">
        <v>4.545</v>
      </c>
      <c r="E216" s="5">
        <v>74.42</v>
      </c>
      <c r="F216" s="5">
        <v>119.23</v>
      </c>
      <c r="G216" s="5">
        <v>134.01</v>
      </c>
      <c r="H216" s="6">
        <v>1.0</v>
      </c>
      <c r="I216" s="6">
        <v>1.0</v>
      </c>
      <c r="J216" s="6">
        <v>0.997283397886168</v>
      </c>
      <c r="K216" s="5">
        <f t="shared" si="17"/>
        <v>109226410</v>
      </c>
      <c r="L216" s="5">
        <f t="shared" ref="L216:M216" si="219">L215+F216</f>
        <v>22839.1</v>
      </c>
      <c r="M216" s="5">
        <f t="shared" si="219"/>
        <v>25306.47</v>
      </c>
      <c r="N216" s="6">
        <f t="shared" si="3"/>
        <v>0.2522083333</v>
      </c>
      <c r="O216" s="6">
        <f t="shared" si="4"/>
        <v>0.2230931577</v>
      </c>
    </row>
    <row r="217">
      <c r="A217" s="4">
        <v>45689.0</v>
      </c>
      <c r="B217" s="5">
        <v>205.0</v>
      </c>
      <c r="C217" s="5">
        <v>628500.0</v>
      </c>
      <c r="D217" s="5">
        <v>4.725</v>
      </c>
      <c r="E217" s="5">
        <v>75.73</v>
      </c>
      <c r="F217" s="5">
        <v>119.84</v>
      </c>
      <c r="G217" s="5">
        <v>132.23</v>
      </c>
      <c r="H217" s="6">
        <v>0.999907612712491</v>
      </c>
      <c r="I217" s="6">
        <v>1.0</v>
      </c>
      <c r="J217" s="6">
        <v>0.99685121118624</v>
      </c>
      <c r="K217" s="5">
        <f t="shared" si="17"/>
        <v>109854910</v>
      </c>
      <c r="L217" s="5">
        <f t="shared" ref="L217:M217" si="220">L216+F217</f>
        <v>22958.94</v>
      </c>
      <c r="M217" s="5">
        <f t="shared" si="220"/>
        <v>25438.7</v>
      </c>
      <c r="N217" s="6">
        <f t="shared" si="3"/>
        <v>0.261875</v>
      </c>
      <c r="O217" s="6">
        <f t="shared" si="4"/>
        <v>0.2232823374</v>
      </c>
    </row>
    <row r="218">
      <c r="A218" s="4">
        <v>45690.0</v>
      </c>
      <c r="B218" s="5">
        <v>206.0</v>
      </c>
      <c r="C218" s="5">
        <v>662100.000000006</v>
      </c>
      <c r="D218" s="5">
        <v>4.94</v>
      </c>
      <c r="E218" s="5">
        <v>80.74</v>
      </c>
      <c r="F218" s="5">
        <v>121.22</v>
      </c>
      <c r="G218" s="5">
        <v>134.9</v>
      </c>
      <c r="H218" s="6">
        <v>0.999585520862117</v>
      </c>
      <c r="I218" s="6">
        <v>1.0</v>
      </c>
      <c r="J218" s="6">
        <v>1.0</v>
      </c>
      <c r="K218" s="5">
        <f t="shared" si="17"/>
        <v>110517010</v>
      </c>
      <c r="L218" s="5">
        <f t="shared" ref="L218:M218" si="221">L217+F218</f>
        <v>23080.16</v>
      </c>
      <c r="M218" s="5">
        <f t="shared" si="221"/>
        <v>25573.6</v>
      </c>
      <c r="N218" s="6">
        <f t="shared" si="3"/>
        <v>0.275875</v>
      </c>
      <c r="O218" s="6">
        <f t="shared" si="4"/>
        <v>0.2235376416</v>
      </c>
    </row>
    <row r="219">
      <c r="A219" s="4">
        <v>45691.0</v>
      </c>
      <c r="B219" s="5">
        <v>207.0</v>
      </c>
      <c r="C219" s="5">
        <v>666199.999999997</v>
      </c>
      <c r="D219" s="5">
        <v>5.06</v>
      </c>
      <c r="E219" s="5">
        <v>81.81</v>
      </c>
      <c r="F219" s="5">
        <v>120.67</v>
      </c>
      <c r="G219" s="5">
        <v>135.15</v>
      </c>
      <c r="H219" s="6">
        <v>0.999816345270891</v>
      </c>
      <c r="I219" s="6">
        <v>1.0</v>
      </c>
      <c r="J219" s="6">
        <v>1.0</v>
      </c>
      <c r="K219" s="5">
        <f t="shared" si="17"/>
        <v>111183210</v>
      </c>
      <c r="L219" s="5">
        <f t="shared" ref="L219:M219" si="222">L218+F219</f>
        <v>23200.83</v>
      </c>
      <c r="M219" s="5">
        <f t="shared" si="222"/>
        <v>25708.75</v>
      </c>
      <c r="N219" s="6">
        <f t="shared" si="3"/>
        <v>0.2775833333</v>
      </c>
      <c r="O219" s="6">
        <f t="shared" si="4"/>
        <v>0.2237987319</v>
      </c>
    </row>
    <row r="220">
      <c r="A220" s="4">
        <v>45692.0</v>
      </c>
      <c r="B220" s="5">
        <v>208.0</v>
      </c>
      <c r="C220" s="5">
        <v>620500.0</v>
      </c>
      <c r="D220" s="5">
        <v>4.745</v>
      </c>
      <c r="E220" s="5">
        <v>78.17</v>
      </c>
      <c r="F220" s="5">
        <v>121.19</v>
      </c>
      <c r="G220" s="5">
        <v>133.77</v>
      </c>
      <c r="H220" s="6">
        <v>0.999815225424982</v>
      </c>
      <c r="I220" s="6">
        <v>1.0</v>
      </c>
      <c r="J220" s="6">
        <v>1.0</v>
      </c>
      <c r="K220" s="5">
        <f t="shared" si="17"/>
        <v>111803710</v>
      </c>
      <c r="L220" s="5">
        <f t="shared" ref="L220:M220" si="223">L219+F220</f>
        <v>23322.02</v>
      </c>
      <c r="M220" s="5">
        <f t="shared" si="223"/>
        <v>25842.52</v>
      </c>
      <c r="N220" s="6">
        <f t="shared" si="3"/>
        <v>0.2585416667</v>
      </c>
      <c r="O220" s="6">
        <f t="shared" si="4"/>
        <v>0.2239657652</v>
      </c>
    </row>
    <row r="221">
      <c r="A221" s="4">
        <v>45693.0</v>
      </c>
      <c r="B221" s="5">
        <v>209.0</v>
      </c>
      <c r="C221" s="5">
        <v>671099.999999991</v>
      </c>
      <c r="D221" s="5">
        <v>5.065</v>
      </c>
      <c r="E221" s="5">
        <v>84.73</v>
      </c>
      <c r="F221" s="5">
        <v>121.73</v>
      </c>
      <c r="G221" s="5">
        <v>134.99</v>
      </c>
      <c r="H221" s="6">
        <v>0.999657205539558</v>
      </c>
      <c r="I221" s="6">
        <v>1.0</v>
      </c>
      <c r="J221" s="6">
        <v>1.0</v>
      </c>
      <c r="K221" s="5">
        <f t="shared" si="17"/>
        <v>112474810</v>
      </c>
      <c r="L221" s="5">
        <f t="shared" ref="L221:M221" si="224">L220+F221</f>
        <v>23443.75</v>
      </c>
      <c r="M221" s="5">
        <f t="shared" si="224"/>
        <v>25977.51</v>
      </c>
      <c r="N221" s="6">
        <f t="shared" si="3"/>
        <v>0.279625</v>
      </c>
      <c r="O221" s="6">
        <f t="shared" si="4"/>
        <v>0.2242320774</v>
      </c>
    </row>
    <row r="222">
      <c r="A222" s="4">
        <v>45694.0</v>
      </c>
      <c r="B222" s="5">
        <v>210.0</v>
      </c>
      <c r="C222" s="5">
        <v>618230.00000001</v>
      </c>
      <c r="D222" s="5">
        <v>4.63</v>
      </c>
      <c r="E222" s="5">
        <v>82.28</v>
      </c>
      <c r="F222" s="5">
        <v>121.58</v>
      </c>
      <c r="G222" s="5">
        <v>134.81</v>
      </c>
      <c r="H222" s="6">
        <v>1.0</v>
      </c>
      <c r="I222" s="6">
        <v>1.0</v>
      </c>
      <c r="J222" s="6">
        <v>1.0</v>
      </c>
      <c r="K222" s="5">
        <f t="shared" si="17"/>
        <v>113093040</v>
      </c>
      <c r="L222" s="5">
        <f t="shared" ref="L222:M222" si="225">L221+F222</f>
        <v>23565.33</v>
      </c>
      <c r="M222" s="5">
        <f t="shared" si="225"/>
        <v>26112.32</v>
      </c>
      <c r="N222" s="6">
        <f t="shared" si="3"/>
        <v>0.2575958333</v>
      </c>
      <c r="O222" s="6">
        <f t="shared" si="4"/>
        <v>0.2243909524</v>
      </c>
    </row>
    <row r="223">
      <c r="A223" s="4">
        <v>45695.0</v>
      </c>
      <c r="B223" s="5">
        <v>211.0</v>
      </c>
      <c r="C223" s="5">
        <v>642869.999999995</v>
      </c>
      <c r="D223" s="5">
        <v>4.81</v>
      </c>
      <c r="E223" s="5">
        <v>79.68</v>
      </c>
      <c r="F223" s="5">
        <v>121.55</v>
      </c>
      <c r="G223" s="5">
        <v>134.81</v>
      </c>
      <c r="H223" s="6">
        <v>1.0</v>
      </c>
      <c r="I223" s="6">
        <v>1.0</v>
      </c>
      <c r="J223" s="6">
        <v>1.0</v>
      </c>
      <c r="K223" s="5">
        <f t="shared" si="17"/>
        <v>113735910</v>
      </c>
      <c r="L223" s="5">
        <f t="shared" ref="L223:M223" si="226">L222+F223</f>
        <v>23686.88</v>
      </c>
      <c r="M223" s="5">
        <f t="shared" si="226"/>
        <v>26247.13</v>
      </c>
      <c r="N223" s="6">
        <f t="shared" si="3"/>
        <v>0.2678625</v>
      </c>
      <c r="O223" s="6">
        <f t="shared" si="4"/>
        <v>0.2245969787</v>
      </c>
    </row>
    <row r="224">
      <c r="A224" s="4">
        <v>45696.0</v>
      </c>
      <c r="B224" s="5">
        <v>212.0</v>
      </c>
      <c r="C224" s="5">
        <v>697800.000000003</v>
      </c>
      <c r="D224" s="5">
        <v>5.175</v>
      </c>
      <c r="E224" s="5">
        <v>85.12</v>
      </c>
      <c r="F224" s="5">
        <v>121.64</v>
      </c>
      <c r="G224" s="5">
        <v>134.95</v>
      </c>
      <c r="H224" s="6">
        <v>0.998889956971528</v>
      </c>
      <c r="I224" s="6">
        <v>1.0</v>
      </c>
      <c r="J224" s="6">
        <v>1.0</v>
      </c>
      <c r="K224" s="5">
        <f t="shared" si="17"/>
        <v>114433710</v>
      </c>
      <c r="L224" s="5">
        <f t="shared" ref="L224:M224" si="227">L223+F224</f>
        <v>23808.52</v>
      </c>
      <c r="M224" s="5">
        <f t="shared" si="227"/>
        <v>26382.08</v>
      </c>
      <c r="N224" s="6">
        <f t="shared" si="3"/>
        <v>0.29075</v>
      </c>
      <c r="O224" s="6">
        <f t="shared" si="4"/>
        <v>0.2249090212</v>
      </c>
    </row>
    <row r="225">
      <c r="A225" s="4">
        <v>45697.0</v>
      </c>
      <c r="B225" s="5">
        <v>213.0</v>
      </c>
      <c r="C225" s="5">
        <v>741300.000000003</v>
      </c>
      <c r="D225" s="5">
        <v>5.495</v>
      </c>
      <c r="E225" s="5">
        <v>90.49</v>
      </c>
      <c r="F225" s="5">
        <v>117.89</v>
      </c>
      <c r="G225" s="5">
        <v>134.41</v>
      </c>
      <c r="H225" s="6">
        <v>0.999523679912901</v>
      </c>
      <c r="I225" s="6">
        <v>1.0</v>
      </c>
      <c r="J225" s="6">
        <v>0.971846123547561</v>
      </c>
      <c r="K225" s="5">
        <f t="shared" si="17"/>
        <v>115175010</v>
      </c>
      <c r="L225" s="5">
        <f t="shared" ref="L225:M225" si="228">L224+F225</f>
        <v>23926.41</v>
      </c>
      <c r="M225" s="5">
        <f t="shared" si="228"/>
        <v>26516.49</v>
      </c>
      <c r="N225" s="6">
        <f t="shared" si="3"/>
        <v>0.308875</v>
      </c>
      <c r="O225" s="6">
        <f t="shared" si="4"/>
        <v>0.2253032277</v>
      </c>
    </row>
    <row r="226">
      <c r="A226" s="4">
        <v>45698.0</v>
      </c>
      <c r="B226" s="5">
        <v>214.0</v>
      </c>
      <c r="C226" s="5">
        <v>680899.999999994</v>
      </c>
      <c r="D226" s="5">
        <v>5.125</v>
      </c>
      <c r="E226" s="5">
        <v>83.45</v>
      </c>
      <c r="F226" s="5">
        <v>120.97</v>
      </c>
      <c r="G226" s="5">
        <v>132.51</v>
      </c>
      <c r="H226" s="6">
        <v>1.0</v>
      </c>
      <c r="I226" s="6">
        <v>1.0</v>
      </c>
      <c r="J226" s="6">
        <v>1.0</v>
      </c>
      <c r="K226" s="5">
        <f t="shared" si="17"/>
        <v>115855910</v>
      </c>
      <c r="L226" s="5">
        <f t="shared" ref="L226:M226" si="229">L225+F226</f>
        <v>24047.38</v>
      </c>
      <c r="M226" s="5">
        <f t="shared" si="229"/>
        <v>26649</v>
      </c>
      <c r="N226" s="6">
        <f t="shared" si="3"/>
        <v>0.2837083333</v>
      </c>
      <c r="O226" s="6">
        <f t="shared" si="4"/>
        <v>0.2255761488</v>
      </c>
    </row>
    <row r="227">
      <c r="A227" s="4">
        <v>45699.0</v>
      </c>
      <c r="B227" s="5">
        <v>215.0</v>
      </c>
      <c r="C227" s="5">
        <v>630899.999999994</v>
      </c>
      <c r="D227" s="5">
        <v>4.785</v>
      </c>
      <c r="E227" s="5">
        <v>74.95</v>
      </c>
      <c r="F227" s="5">
        <v>120.35</v>
      </c>
      <c r="G227" s="5">
        <v>132.46</v>
      </c>
      <c r="H227" s="6">
        <v>0.999692412850308</v>
      </c>
      <c r="I227" s="6">
        <v>1.0</v>
      </c>
      <c r="J227" s="6">
        <v>1.0</v>
      </c>
      <c r="K227" s="5">
        <f t="shared" si="17"/>
        <v>116486810</v>
      </c>
      <c r="L227" s="5">
        <f t="shared" ref="L227:M227" si="230">L226+F227</f>
        <v>24167.73</v>
      </c>
      <c r="M227" s="5">
        <f t="shared" si="230"/>
        <v>26781.46</v>
      </c>
      <c r="N227" s="6">
        <f t="shared" si="3"/>
        <v>0.262875</v>
      </c>
      <c r="O227" s="6">
        <f t="shared" si="4"/>
        <v>0.2257496318</v>
      </c>
    </row>
    <row r="228">
      <c r="A228" s="4">
        <v>45700.0</v>
      </c>
      <c r="B228" s="5">
        <v>216.0</v>
      </c>
      <c r="C228" s="5">
        <v>674000.0</v>
      </c>
      <c r="D228" s="5">
        <v>5.055</v>
      </c>
      <c r="E228" s="5">
        <v>80.24</v>
      </c>
      <c r="F228" s="5">
        <v>120.72</v>
      </c>
      <c r="G228" s="5">
        <v>134.89</v>
      </c>
      <c r="H228" s="6">
        <v>0.999817999818</v>
      </c>
      <c r="I228" s="6">
        <v>1.0</v>
      </c>
      <c r="J228" s="6">
        <v>1.0</v>
      </c>
      <c r="K228" s="5">
        <f t="shared" si="17"/>
        <v>117160810</v>
      </c>
      <c r="L228" s="5">
        <f t="shared" ref="L228:M228" si="231">L227+F228</f>
        <v>24288.45</v>
      </c>
      <c r="M228" s="5">
        <f t="shared" si="231"/>
        <v>26916.35</v>
      </c>
      <c r="N228" s="6">
        <f t="shared" si="3"/>
        <v>0.2808333333</v>
      </c>
      <c r="O228" s="6">
        <f t="shared" si="4"/>
        <v>0.2260046489</v>
      </c>
    </row>
    <row r="229">
      <c r="A229" s="4">
        <v>45701.0</v>
      </c>
      <c r="B229" s="5">
        <v>217.0</v>
      </c>
      <c r="C229" s="5">
        <v>761100.000000006</v>
      </c>
      <c r="D229" s="5">
        <v>5.645</v>
      </c>
      <c r="E229" s="5">
        <v>90.57</v>
      </c>
      <c r="F229" s="5">
        <v>121.08</v>
      </c>
      <c r="G229" s="5">
        <v>134.56</v>
      </c>
      <c r="H229" s="6">
        <v>0.999864314789688</v>
      </c>
      <c r="I229" s="6">
        <v>1.0</v>
      </c>
      <c r="J229" s="6">
        <v>1.0</v>
      </c>
      <c r="K229" s="5">
        <f t="shared" si="17"/>
        <v>117921910</v>
      </c>
      <c r="L229" s="5">
        <f t="shared" ref="L229:M229" si="232">L228+F229</f>
        <v>24409.53</v>
      </c>
      <c r="M229" s="5">
        <f t="shared" si="232"/>
        <v>27050.91</v>
      </c>
      <c r="N229" s="6">
        <f t="shared" si="3"/>
        <v>0.317125</v>
      </c>
      <c r="O229" s="6">
        <f t="shared" si="4"/>
        <v>0.2264245584</v>
      </c>
    </row>
    <row r="230">
      <c r="A230" s="4">
        <v>45702.0</v>
      </c>
      <c r="B230" s="5">
        <v>218.0</v>
      </c>
      <c r="C230" s="5">
        <v>812800.000000003</v>
      </c>
      <c r="D230" s="5">
        <v>6.055</v>
      </c>
      <c r="E230" s="5">
        <v>93.96</v>
      </c>
      <c r="F230" s="5">
        <v>121.26</v>
      </c>
      <c r="G230" s="5">
        <v>134.48</v>
      </c>
      <c r="H230" s="6">
        <v>0.999138355489906</v>
      </c>
      <c r="I230" s="6">
        <v>1.0</v>
      </c>
      <c r="J230" s="6">
        <v>1.0</v>
      </c>
      <c r="K230" s="5">
        <f t="shared" si="17"/>
        <v>118734710</v>
      </c>
      <c r="L230" s="5">
        <f t="shared" ref="L230:M230" si="233">L229+F230</f>
        <v>24530.79</v>
      </c>
      <c r="M230" s="5">
        <f t="shared" si="233"/>
        <v>27185.39</v>
      </c>
      <c r="N230" s="6">
        <f t="shared" si="3"/>
        <v>0.3386666667</v>
      </c>
      <c r="O230" s="6">
        <f t="shared" si="4"/>
        <v>0.2269394304</v>
      </c>
    </row>
    <row r="231">
      <c r="A231" s="4">
        <v>45703.0</v>
      </c>
      <c r="B231" s="5">
        <v>219.0</v>
      </c>
      <c r="C231" s="5">
        <v>781899.999999994</v>
      </c>
      <c r="D231" s="5">
        <v>5.855</v>
      </c>
      <c r="E231" s="5">
        <v>96.06</v>
      </c>
      <c r="F231" s="5">
        <v>121.51</v>
      </c>
      <c r="G231" s="5">
        <v>134.4</v>
      </c>
      <c r="H231" s="6">
        <v>0.999239067185891</v>
      </c>
      <c r="I231" s="6">
        <v>1.0</v>
      </c>
      <c r="J231" s="6">
        <v>1.0</v>
      </c>
      <c r="K231" s="5">
        <f t="shared" si="17"/>
        <v>119516610</v>
      </c>
      <c r="L231" s="5">
        <f t="shared" ref="L231:M231" si="234">L230+F231</f>
        <v>24652.3</v>
      </c>
      <c r="M231" s="5">
        <f t="shared" si="234"/>
        <v>27319.79</v>
      </c>
      <c r="N231" s="6">
        <f t="shared" si="3"/>
        <v>0.3257916667</v>
      </c>
      <c r="O231" s="6">
        <f t="shared" si="4"/>
        <v>0.2273908105</v>
      </c>
    </row>
    <row r="232">
      <c r="A232" s="4">
        <v>45704.0</v>
      </c>
      <c r="B232" s="5">
        <v>220.0</v>
      </c>
      <c r="C232" s="5">
        <v>768699.999999997</v>
      </c>
      <c r="D232" s="5">
        <v>5.745</v>
      </c>
      <c r="E232" s="5">
        <v>93.94</v>
      </c>
      <c r="F232" s="5">
        <v>121.17</v>
      </c>
      <c r="G232" s="5">
        <v>133.72</v>
      </c>
      <c r="H232" s="6">
        <v>0.999002599964138</v>
      </c>
      <c r="I232" s="6">
        <v>1.0</v>
      </c>
      <c r="J232" s="6">
        <v>1.0</v>
      </c>
      <c r="K232" s="5">
        <f t="shared" si="17"/>
        <v>120285310</v>
      </c>
      <c r="L232" s="5">
        <f t="shared" ref="L232:M232" si="235">L231+F232</f>
        <v>24773.47</v>
      </c>
      <c r="M232" s="5">
        <f t="shared" si="235"/>
        <v>27453.51</v>
      </c>
      <c r="N232" s="6">
        <f t="shared" si="3"/>
        <v>0.3202916667</v>
      </c>
      <c r="O232" s="6">
        <f t="shared" si="4"/>
        <v>0.2278130871</v>
      </c>
    </row>
    <row r="233">
      <c r="A233" s="4">
        <v>45705.0</v>
      </c>
      <c r="B233" s="5">
        <v>221.0</v>
      </c>
      <c r="C233" s="5">
        <v>756400.000000009</v>
      </c>
      <c r="D233" s="5">
        <v>5.705</v>
      </c>
      <c r="E233" s="5">
        <v>90.87</v>
      </c>
      <c r="F233" s="5">
        <v>121.13</v>
      </c>
      <c r="G233" s="5">
        <v>134.07</v>
      </c>
      <c r="H233" s="6">
        <v>0.999504705299653</v>
      </c>
      <c r="I233" s="6">
        <v>1.0</v>
      </c>
      <c r="J233" s="6">
        <v>1.0</v>
      </c>
      <c r="K233" s="5">
        <f t="shared" si="17"/>
        <v>121041710</v>
      </c>
      <c r="L233" s="5">
        <f t="shared" ref="L233:M233" si="236">L232+F233</f>
        <v>24894.6</v>
      </c>
      <c r="M233" s="5">
        <f t="shared" si="236"/>
        <v>27587.58</v>
      </c>
      <c r="N233" s="6">
        <f t="shared" si="3"/>
        <v>0.3151666667</v>
      </c>
      <c r="O233" s="6">
        <f t="shared" si="4"/>
        <v>0.2282083522</v>
      </c>
    </row>
    <row r="234">
      <c r="A234" s="4">
        <v>45706.0</v>
      </c>
      <c r="B234" s="5">
        <v>222.0</v>
      </c>
      <c r="C234" s="5">
        <v>703000.0</v>
      </c>
      <c r="D234" s="5">
        <v>5.26</v>
      </c>
      <c r="E234" s="5">
        <v>89.12</v>
      </c>
      <c r="F234" s="5">
        <v>121.12</v>
      </c>
      <c r="G234" s="5">
        <v>133.5</v>
      </c>
      <c r="H234" s="6">
        <v>0.999498663101604</v>
      </c>
      <c r="I234" s="6">
        <v>1.0</v>
      </c>
      <c r="J234" s="6">
        <v>1.0</v>
      </c>
      <c r="K234" s="5">
        <f t="shared" si="17"/>
        <v>121744710</v>
      </c>
      <c r="L234" s="5">
        <f t="shared" ref="L234:M234" si="237">L233+F234</f>
        <v>25015.72</v>
      </c>
      <c r="M234" s="5">
        <f t="shared" si="237"/>
        <v>27721.08</v>
      </c>
      <c r="N234" s="6">
        <f t="shared" si="3"/>
        <v>0.2929166667</v>
      </c>
      <c r="O234" s="6">
        <f t="shared" si="4"/>
        <v>0.2284998311</v>
      </c>
    </row>
    <row r="235">
      <c r="A235" s="4">
        <v>45707.0</v>
      </c>
      <c r="B235" s="5">
        <v>223.0</v>
      </c>
      <c r="C235" s="5">
        <v>676899.999999994</v>
      </c>
      <c r="D235" s="5">
        <v>5.07</v>
      </c>
      <c r="E235" s="5">
        <v>83.44</v>
      </c>
      <c r="F235" s="5">
        <v>121.29</v>
      </c>
      <c r="G235" s="5">
        <v>134.64</v>
      </c>
      <c r="H235" s="6">
        <v>0.999753451676529</v>
      </c>
      <c r="I235" s="6">
        <v>1.0</v>
      </c>
      <c r="J235" s="6">
        <v>1.0</v>
      </c>
      <c r="K235" s="5">
        <f t="shared" si="17"/>
        <v>122421610</v>
      </c>
      <c r="L235" s="5">
        <f t="shared" ref="L235:M235" si="238">L234+F235</f>
        <v>25137.01</v>
      </c>
      <c r="M235" s="5">
        <f t="shared" si="238"/>
        <v>27855.72</v>
      </c>
      <c r="N235" s="6">
        <f t="shared" si="3"/>
        <v>0.2820416667</v>
      </c>
      <c r="O235" s="6">
        <f t="shared" si="4"/>
        <v>0.228739929</v>
      </c>
    </row>
    <row r="236">
      <c r="A236" s="4">
        <v>45708.0</v>
      </c>
      <c r="B236" s="5">
        <v>224.0</v>
      </c>
      <c r="C236" s="5">
        <v>738600.000000006</v>
      </c>
      <c r="D236" s="5">
        <v>5.53</v>
      </c>
      <c r="E236" s="5">
        <v>90.23</v>
      </c>
      <c r="F236" s="5">
        <v>121.04</v>
      </c>
      <c r="G236" s="5">
        <v>134.5</v>
      </c>
      <c r="H236" s="6">
        <v>0.999843105612336</v>
      </c>
      <c r="I236" s="6">
        <v>1.0</v>
      </c>
      <c r="J236" s="6">
        <v>1.0</v>
      </c>
      <c r="K236" s="5">
        <f t="shared" si="17"/>
        <v>123160210</v>
      </c>
      <c r="L236" s="5">
        <f t="shared" ref="L236:M236" si="239">L235+F236</f>
        <v>25258.05</v>
      </c>
      <c r="M236" s="5">
        <f t="shared" si="239"/>
        <v>27990.22</v>
      </c>
      <c r="N236" s="6">
        <f t="shared" si="3"/>
        <v>0.30775</v>
      </c>
      <c r="O236" s="6">
        <f t="shared" si="4"/>
        <v>0.2290926525</v>
      </c>
    </row>
    <row r="237">
      <c r="A237" s="4">
        <v>45709.0</v>
      </c>
      <c r="B237" s="5">
        <v>225.0</v>
      </c>
      <c r="C237" s="5">
        <v>734399.999999994</v>
      </c>
      <c r="D237" s="5">
        <v>5.51</v>
      </c>
      <c r="E237" s="5">
        <v>90.08</v>
      </c>
      <c r="F237" s="5">
        <v>120.95</v>
      </c>
      <c r="G237" s="5">
        <v>134.02</v>
      </c>
      <c r="H237" s="6">
        <v>1.0</v>
      </c>
      <c r="I237" s="6">
        <v>1.0</v>
      </c>
      <c r="J237" s="6">
        <v>1.0</v>
      </c>
      <c r="K237" s="5">
        <f t="shared" si="17"/>
        <v>123894610</v>
      </c>
      <c r="L237" s="5">
        <f t="shared" ref="L237:M237" si="240">L236+F237</f>
        <v>25379</v>
      </c>
      <c r="M237" s="5">
        <f t="shared" si="240"/>
        <v>28124.24</v>
      </c>
      <c r="N237" s="6">
        <f t="shared" si="3"/>
        <v>0.306</v>
      </c>
      <c r="O237" s="6">
        <f t="shared" si="4"/>
        <v>0.229434463</v>
      </c>
    </row>
    <row r="238">
      <c r="A238" s="4">
        <v>45710.0</v>
      </c>
      <c r="B238" s="5">
        <v>226.0</v>
      </c>
      <c r="C238" s="5">
        <v>784800.000000003</v>
      </c>
      <c r="D238" s="5">
        <v>5.86</v>
      </c>
      <c r="E238" s="5">
        <v>92.52</v>
      </c>
      <c r="F238" s="5">
        <v>121.32</v>
      </c>
      <c r="G238" s="5">
        <v>133.97</v>
      </c>
      <c r="H238" s="6">
        <v>1.0</v>
      </c>
      <c r="I238" s="6">
        <v>1.0</v>
      </c>
      <c r="J238" s="6">
        <v>1.0</v>
      </c>
      <c r="K238" s="5">
        <f t="shared" si="17"/>
        <v>124679410</v>
      </c>
      <c r="L238" s="5">
        <f t="shared" ref="L238:M238" si="241">L237+F238</f>
        <v>25500.32</v>
      </c>
      <c r="M238" s="5">
        <f t="shared" si="241"/>
        <v>28258.21</v>
      </c>
      <c r="N238" s="6">
        <f t="shared" si="3"/>
        <v>0.327</v>
      </c>
      <c r="O238" s="6">
        <f t="shared" si="4"/>
        <v>0.2298661689</v>
      </c>
    </row>
    <row r="239">
      <c r="A239" s="4">
        <v>45711.0</v>
      </c>
      <c r="B239" s="5">
        <v>227.0</v>
      </c>
      <c r="C239" s="5">
        <v>825299.999999988</v>
      </c>
      <c r="D239" s="5">
        <v>6.16</v>
      </c>
      <c r="E239" s="5">
        <v>95.39</v>
      </c>
      <c r="F239" s="5">
        <v>121.07</v>
      </c>
      <c r="G239" s="5">
        <v>132.25</v>
      </c>
      <c r="H239" s="6">
        <v>0.9998776309349</v>
      </c>
      <c r="I239" s="6">
        <v>1.0</v>
      </c>
      <c r="J239" s="6">
        <v>1.0</v>
      </c>
      <c r="K239" s="5">
        <f t="shared" si="17"/>
        <v>125504710</v>
      </c>
      <c r="L239" s="5">
        <f t="shared" ref="L239:M239" si="242">L238+F239</f>
        <v>25621.39</v>
      </c>
      <c r="M239" s="5">
        <f t="shared" si="242"/>
        <v>28390.46</v>
      </c>
      <c r="N239" s="6">
        <f t="shared" si="3"/>
        <v>0.343875</v>
      </c>
      <c r="O239" s="6">
        <f t="shared" si="4"/>
        <v>0.2303684104</v>
      </c>
    </row>
    <row r="240">
      <c r="A240" s="4">
        <v>45712.0</v>
      </c>
      <c r="B240" s="5">
        <v>228.0</v>
      </c>
      <c r="C240" s="5">
        <v>771900.000000009</v>
      </c>
      <c r="D240" s="5">
        <v>5.77</v>
      </c>
      <c r="E240" s="5">
        <v>93.84</v>
      </c>
      <c r="F240" s="5">
        <v>121.19</v>
      </c>
      <c r="G240" s="5">
        <v>134.58</v>
      </c>
      <c r="H240" s="6">
        <v>1.0</v>
      </c>
      <c r="I240" s="6">
        <v>1.0</v>
      </c>
      <c r="J240" s="6">
        <v>1.0</v>
      </c>
      <c r="K240" s="5">
        <f t="shared" si="17"/>
        <v>126276610</v>
      </c>
      <c r="L240" s="5">
        <f t="shared" ref="L240:M240" si="243">L239+F240</f>
        <v>25742.58</v>
      </c>
      <c r="M240" s="5">
        <f t="shared" si="243"/>
        <v>28525.04</v>
      </c>
      <c r="N240" s="6">
        <f t="shared" si="3"/>
        <v>0.321625</v>
      </c>
      <c r="O240" s="6">
        <f t="shared" si="4"/>
        <v>0.2307686586</v>
      </c>
    </row>
    <row r="241">
      <c r="A241" s="4">
        <v>45713.0</v>
      </c>
      <c r="B241" s="5">
        <v>229.0</v>
      </c>
      <c r="C241" s="5">
        <v>779500.0</v>
      </c>
      <c r="D241" s="5">
        <v>5.88</v>
      </c>
      <c r="E241" s="5">
        <v>94.35</v>
      </c>
      <c r="F241" s="5">
        <v>121.47</v>
      </c>
      <c r="G241" s="5">
        <v>135.24</v>
      </c>
      <c r="H241" s="6">
        <v>1.0</v>
      </c>
      <c r="I241" s="6">
        <v>1.0</v>
      </c>
      <c r="J241" s="6">
        <v>1.0</v>
      </c>
      <c r="K241" s="5">
        <f t="shared" si="17"/>
        <v>127056110</v>
      </c>
      <c r="L241" s="5">
        <f t="shared" ref="L241:M241" si="244">L240+F241</f>
        <v>25864.05</v>
      </c>
      <c r="M241" s="5">
        <f t="shared" si="244"/>
        <v>28660.28</v>
      </c>
      <c r="N241" s="6">
        <f t="shared" si="3"/>
        <v>0.3247916667</v>
      </c>
      <c r="O241" s="6">
        <f t="shared" si="4"/>
        <v>0.2311792394</v>
      </c>
    </row>
    <row r="242">
      <c r="A242" s="4">
        <v>45714.0</v>
      </c>
      <c r="B242" s="5">
        <v>230.0</v>
      </c>
      <c r="C242" s="5">
        <v>806199.999999997</v>
      </c>
      <c r="D242" s="5">
        <v>6.265</v>
      </c>
      <c r="E242" s="5">
        <v>94.56</v>
      </c>
      <c r="F242" s="5">
        <v>120.51</v>
      </c>
      <c r="G242" s="5">
        <v>134.11</v>
      </c>
      <c r="H242" s="6">
        <v>0.995161149062883</v>
      </c>
      <c r="I242" s="6">
        <v>1.0</v>
      </c>
      <c r="J242" s="6">
        <v>1.0</v>
      </c>
      <c r="K242" s="5">
        <f t="shared" si="17"/>
        <v>127862310</v>
      </c>
      <c r="L242" s="5">
        <f t="shared" ref="L242:M242" si="245">L241+F242</f>
        <v>25984.56</v>
      </c>
      <c r="M242" s="5">
        <f t="shared" si="245"/>
        <v>28794.39</v>
      </c>
      <c r="N242" s="6">
        <f t="shared" si="3"/>
        <v>0.3359166667</v>
      </c>
      <c r="O242" s="6">
        <f t="shared" si="4"/>
        <v>0.2316346196</v>
      </c>
    </row>
    <row r="243">
      <c r="A243" s="4">
        <v>45715.0</v>
      </c>
      <c r="B243" s="5">
        <v>231.0</v>
      </c>
      <c r="C243" s="5">
        <v>772899.999999994</v>
      </c>
      <c r="D243" s="5">
        <v>5.875</v>
      </c>
      <c r="E243" s="5">
        <v>95.21</v>
      </c>
      <c r="F243" s="5">
        <v>120.66</v>
      </c>
      <c r="G243" s="5">
        <v>134.07</v>
      </c>
      <c r="H243" s="6">
        <v>0.999593174121476</v>
      </c>
      <c r="I243" s="6">
        <v>1.0</v>
      </c>
      <c r="J243" s="6">
        <v>1.0</v>
      </c>
      <c r="K243" s="5">
        <f t="shared" si="17"/>
        <v>128635210</v>
      </c>
      <c r="L243" s="5">
        <f t="shared" ref="L243:M243" si="246">L242+F243</f>
        <v>26105.22</v>
      </c>
      <c r="M243" s="5">
        <f t="shared" si="246"/>
        <v>28928.46</v>
      </c>
      <c r="N243" s="6">
        <f t="shared" si="3"/>
        <v>0.3220416667</v>
      </c>
      <c r="O243" s="6">
        <f t="shared" si="4"/>
        <v>0.2320259921</v>
      </c>
    </row>
    <row r="244">
      <c r="A244" s="4">
        <v>45716.0</v>
      </c>
      <c r="B244" s="5">
        <v>232.0</v>
      </c>
      <c r="C244" s="5">
        <v>734200.000000012</v>
      </c>
      <c r="D244" s="5">
        <v>5.665</v>
      </c>
      <c r="E244" s="5">
        <v>90.04</v>
      </c>
      <c r="F244" s="5">
        <v>120.62</v>
      </c>
      <c r="G244" s="5">
        <v>133.09</v>
      </c>
      <c r="H244" s="6">
        <v>0.99987922705314</v>
      </c>
      <c r="I244" s="6">
        <v>1.0</v>
      </c>
      <c r="J244" s="6">
        <v>1.0</v>
      </c>
      <c r="K244" s="5">
        <f t="shared" si="17"/>
        <v>129369410</v>
      </c>
      <c r="L244" s="5">
        <f t="shared" ref="L244:M244" si="247">L243+F244</f>
        <v>26225.84</v>
      </c>
      <c r="M244" s="5">
        <f t="shared" si="247"/>
        <v>29061.55</v>
      </c>
      <c r="N244" s="6">
        <f t="shared" si="3"/>
        <v>0.3059166667</v>
      </c>
      <c r="O244" s="6">
        <f t="shared" si="4"/>
        <v>0.2323444864</v>
      </c>
    </row>
    <row r="245">
      <c r="A245" s="4">
        <v>45717.0</v>
      </c>
      <c r="B245" s="5">
        <v>233.0</v>
      </c>
      <c r="C245" s="5">
        <v>735100.000000006</v>
      </c>
      <c r="D245" s="5">
        <v>5.625</v>
      </c>
      <c r="E245" s="5">
        <v>88.85</v>
      </c>
      <c r="F245" s="5">
        <v>121.17</v>
      </c>
      <c r="G245" s="5">
        <v>132.01</v>
      </c>
      <c r="H245" s="6">
        <v>1.0</v>
      </c>
      <c r="I245" s="6">
        <v>1.0</v>
      </c>
      <c r="J245" s="6">
        <v>1.0</v>
      </c>
      <c r="K245" s="5">
        <f t="shared" si="17"/>
        <v>130104510</v>
      </c>
      <c r="L245" s="5">
        <f t="shared" ref="L245:M245" si="248">L244+F245</f>
        <v>26347.01</v>
      </c>
      <c r="M245" s="5">
        <f t="shared" si="248"/>
        <v>29193.56</v>
      </c>
      <c r="N245" s="6">
        <f t="shared" si="3"/>
        <v>0.3062916667</v>
      </c>
      <c r="O245" s="6">
        <f t="shared" si="4"/>
        <v>0.2326618562</v>
      </c>
    </row>
    <row r="246">
      <c r="A246" s="4">
        <v>45718.0</v>
      </c>
      <c r="B246" s="5">
        <v>234.0</v>
      </c>
      <c r="C246" s="5">
        <v>678099.999999991</v>
      </c>
      <c r="D246" s="5">
        <v>5.24</v>
      </c>
      <c r="E246" s="5">
        <v>84.71</v>
      </c>
      <c r="F246" s="5">
        <v>121.26</v>
      </c>
      <c r="G246" s="5">
        <v>134.45</v>
      </c>
      <c r="H246" s="6">
        <v>0.999868438363373</v>
      </c>
      <c r="I246" s="6">
        <v>1.0</v>
      </c>
      <c r="J246" s="6">
        <v>1.0</v>
      </c>
      <c r="K246" s="5">
        <f t="shared" si="17"/>
        <v>130782610</v>
      </c>
      <c r="L246" s="5">
        <f t="shared" ref="L246:M246" si="249">L245+F246</f>
        <v>26468.27</v>
      </c>
      <c r="M246" s="5">
        <f t="shared" si="249"/>
        <v>29328.01</v>
      </c>
      <c r="N246" s="6">
        <f t="shared" si="3"/>
        <v>0.2825416667</v>
      </c>
      <c r="O246" s="6">
        <f t="shared" si="4"/>
        <v>0.2328750178</v>
      </c>
    </row>
    <row r="247">
      <c r="A247" s="4">
        <v>45719.0</v>
      </c>
      <c r="B247" s="5">
        <v>235.0</v>
      </c>
      <c r="C247" s="5">
        <v>774199.999999997</v>
      </c>
      <c r="D247" s="5">
        <v>6.085</v>
      </c>
      <c r="E247" s="5">
        <v>90.54</v>
      </c>
      <c r="F247" s="5">
        <v>121.09</v>
      </c>
      <c r="G247" s="5">
        <v>134.26</v>
      </c>
      <c r="H247" s="6">
        <v>0.998806708705553</v>
      </c>
      <c r="I247" s="6">
        <v>1.0</v>
      </c>
      <c r="J247" s="6">
        <v>1.0</v>
      </c>
      <c r="K247" s="5">
        <f t="shared" si="17"/>
        <v>131556810</v>
      </c>
      <c r="L247" s="5">
        <f t="shared" ref="L247:M247" si="250">L246+F247</f>
        <v>26589.36</v>
      </c>
      <c r="M247" s="5">
        <f t="shared" si="250"/>
        <v>29462.27</v>
      </c>
      <c r="N247" s="6">
        <f t="shared" si="3"/>
        <v>0.3225833333</v>
      </c>
      <c r="O247" s="6">
        <f t="shared" si="4"/>
        <v>0.2332567553</v>
      </c>
    </row>
    <row r="248">
      <c r="A248" s="4">
        <v>45720.0</v>
      </c>
      <c r="B248" s="5">
        <v>236.0</v>
      </c>
      <c r="C248" s="5">
        <v>780199.999999997</v>
      </c>
      <c r="D248" s="5">
        <v>6.075</v>
      </c>
      <c r="E248" s="5">
        <v>90.92</v>
      </c>
      <c r="F248" s="5">
        <v>120.77</v>
      </c>
      <c r="G248" s="5">
        <v>135.37</v>
      </c>
      <c r="H248" s="6">
        <v>1.0</v>
      </c>
      <c r="I248" s="6">
        <v>1.0</v>
      </c>
      <c r="J248" s="6">
        <v>1.0</v>
      </c>
      <c r="K248" s="5">
        <f t="shared" si="17"/>
        <v>132337010</v>
      </c>
      <c r="L248" s="5">
        <f t="shared" ref="L248:M248" si="251">L247+F248</f>
        <v>26710.13</v>
      </c>
      <c r="M248" s="5">
        <f t="shared" si="251"/>
        <v>29597.64</v>
      </c>
      <c r="N248" s="6">
        <f t="shared" si="3"/>
        <v>0.3250833333</v>
      </c>
      <c r="O248" s="6">
        <f t="shared" si="4"/>
        <v>0.233645851</v>
      </c>
    </row>
    <row r="249">
      <c r="A249" s="4">
        <v>45721.0</v>
      </c>
      <c r="B249" s="5">
        <v>237.0</v>
      </c>
      <c r="C249" s="5">
        <v>862000.0</v>
      </c>
      <c r="D249" s="5">
        <v>6.79</v>
      </c>
      <c r="E249" s="5">
        <v>93.41</v>
      </c>
      <c r="F249" s="5">
        <v>120.95</v>
      </c>
      <c r="G249" s="5">
        <v>134.18</v>
      </c>
      <c r="H249" s="6">
        <v>1.0</v>
      </c>
      <c r="I249" s="6">
        <v>1.0</v>
      </c>
      <c r="J249" s="6">
        <v>1.0</v>
      </c>
      <c r="K249" s="5">
        <f t="shared" si="17"/>
        <v>133199010</v>
      </c>
      <c r="L249" s="5">
        <f t="shared" ref="L249:M249" si="252">L248+F249</f>
        <v>26831.08</v>
      </c>
      <c r="M249" s="5">
        <f t="shared" si="252"/>
        <v>29731.82</v>
      </c>
      <c r="N249" s="6">
        <f t="shared" si="3"/>
        <v>0.3591666667</v>
      </c>
      <c r="O249" s="6">
        <f t="shared" si="4"/>
        <v>0.2341754747</v>
      </c>
    </row>
    <row r="250">
      <c r="A250" s="4">
        <v>45722.0</v>
      </c>
      <c r="B250" s="5">
        <v>238.0</v>
      </c>
      <c r="C250" s="5">
        <v>878900.000000009</v>
      </c>
      <c r="D250" s="5">
        <v>6.885</v>
      </c>
      <c r="E250" s="5">
        <v>93.55</v>
      </c>
      <c r="F250" s="5">
        <v>120.04</v>
      </c>
      <c r="G250" s="5">
        <v>131.39</v>
      </c>
      <c r="H250" s="6">
        <v>1.0</v>
      </c>
      <c r="I250" s="6">
        <v>1.0</v>
      </c>
      <c r="J250" s="6">
        <v>1.0</v>
      </c>
      <c r="K250" s="5">
        <f t="shared" si="17"/>
        <v>134077910</v>
      </c>
      <c r="L250" s="5">
        <f t="shared" ref="L250:M250" si="253">L249+F250</f>
        <v>26951.12</v>
      </c>
      <c r="M250" s="5">
        <f t="shared" si="253"/>
        <v>29863.21</v>
      </c>
      <c r="N250" s="6">
        <f t="shared" si="3"/>
        <v>0.3662083333</v>
      </c>
      <c r="O250" s="6">
        <f t="shared" si="4"/>
        <v>0.2347302346</v>
      </c>
    </row>
    <row r="251">
      <c r="A251" s="4">
        <v>45723.0</v>
      </c>
      <c r="B251" s="5">
        <v>239.0</v>
      </c>
      <c r="C251" s="5">
        <v>862399.999999994</v>
      </c>
      <c r="D251" s="5">
        <v>6.78</v>
      </c>
      <c r="E251" s="5">
        <v>92.28</v>
      </c>
      <c r="F251" s="5">
        <v>121.43</v>
      </c>
      <c r="G251" s="5">
        <v>134.96</v>
      </c>
      <c r="H251" s="6">
        <v>0.99965268733177</v>
      </c>
      <c r="I251" s="6">
        <v>1.0</v>
      </c>
      <c r="J251" s="6">
        <v>1.0</v>
      </c>
      <c r="K251" s="5">
        <f t="shared" si="17"/>
        <v>134940310</v>
      </c>
      <c r="L251" s="5">
        <f t="shared" ref="L251:M251" si="254">L250+F251</f>
        <v>27072.55</v>
      </c>
      <c r="M251" s="5">
        <f t="shared" si="254"/>
        <v>29998.17</v>
      </c>
      <c r="N251" s="6">
        <f t="shared" si="3"/>
        <v>0.3593333333</v>
      </c>
      <c r="O251" s="6">
        <f t="shared" si="4"/>
        <v>0.2352515865</v>
      </c>
    </row>
    <row r="252">
      <c r="A252" s="4">
        <v>45724.0</v>
      </c>
      <c r="B252" s="5">
        <v>240.0</v>
      </c>
      <c r="C252" s="5">
        <v>780500.000000015</v>
      </c>
      <c r="D252" s="5">
        <v>6.5</v>
      </c>
      <c r="E252" s="5">
        <v>91.2</v>
      </c>
      <c r="F252" s="5">
        <v>121.2</v>
      </c>
      <c r="G252" s="5">
        <v>134.95</v>
      </c>
      <c r="H252" s="6">
        <v>0.984848484848485</v>
      </c>
      <c r="I252" s="6">
        <v>1.0</v>
      </c>
      <c r="J252" s="6">
        <v>1.0</v>
      </c>
      <c r="K252" s="5">
        <f t="shared" si="17"/>
        <v>135720810</v>
      </c>
      <c r="L252" s="5">
        <f t="shared" ref="L252:M252" si="255">L251+F252</f>
        <v>27193.75</v>
      </c>
      <c r="M252" s="5">
        <f t="shared" si="255"/>
        <v>30133.12</v>
      </c>
      <c r="N252" s="6">
        <f t="shared" si="3"/>
        <v>0.3252083333</v>
      </c>
      <c r="O252" s="6">
        <f t="shared" si="4"/>
        <v>0.2356264063</v>
      </c>
    </row>
    <row r="253">
      <c r="A253" s="4">
        <v>45725.0</v>
      </c>
      <c r="B253" s="5">
        <v>241.0</v>
      </c>
      <c r="C253" s="5">
        <v>755699.999999997</v>
      </c>
      <c r="D253" s="5">
        <v>5.905</v>
      </c>
      <c r="E253" s="5">
        <v>90.75</v>
      </c>
      <c r="F253" s="5">
        <v>121.23</v>
      </c>
      <c r="G253" s="5">
        <v>134.46</v>
      </c>
      <c r="H253" s="6">
        <v>1.0</v>
      </c>
      <c r="I253" s="6">
        <v>1.0</v>
      </c>
      <c r="J253" s="6">
        <v>1.0</v>
      </c>
      <c r="K253" s="5">
        <f t="shared" si="17"/>
        <v>136476510</v>
      </c>
      <c r="L253" s="5">
        <f t="shared" ref="L253:M253" si="256">L252+F253</f>
        <v>27314.98</v>
      </c>
      <c r="M253" s="5">
        <f t="shared" si="256"/>
        <v>30267.58</v>
      </c>
      <c r="N253" s="6">
        <f t="shared" si="3"/>
        <v>0.314875</v>
      </c>
      <c r="O253" s="6">
        <f t="shared" si="4"/>
        <v>0.2359552386</v>
      </c>
    </row>
    <row r="254">
      <c r="A254" s="4">
        <v>45726.0</v>
      </c>
      <c r="B254" s="5">
        <v>242.0</v>
      </c>
      <c r="C254" s="5">
        <v>752500.0</v>
      </c>
      <c r="D254" s="5">
        <v>5.865</v>
      </c>
      <c r="E254" s="5">
        <v>91.01</v>
      </c>
      <c r="F254" s="5">
        <v>121.38</v>
      </c>
      <c r="G254" s="5">
        <v>133.89</v>
      </c>
      <c r="H254" s="6">
        <v>0.999924242424242</v>
      </c>
      <c r="I254" s="6">
        <v>1.0</v>
      </c>
      <c r="J254" s="6">
        <v>1.0</v>
      </c>
      <c r="K254" s="5">
        <f t="shared" si="17"/>
        <v>137229010</v>
      </c>
      <c r="L254" s="5">
        <f t="shared" ref="L254:M254" si="257">L253+F254</f>
        <v>27436.36</v>
      </c>
      <c r="M254" s="5">
        <f t="shared" si="257"/>
        <v>30401.47</v>
      </c>
      <c r="N254" s="6">
        <f t="shared" si="3"/>
        <v>0.3135416667</v>
      </c>
      <c r="O254" s="6">
        <f t="shared" si="4"/>
        <v>0.2362758437</v>
      </c>
    </row>
    <row r="255">
      <c r="A255" s="4">
        <v>45727.0</v>
      </c>
      <c r="B255" s="5">
        <v>243.0</v>
      </c>
      <c r="C255" s="5">
        <v>794299.999999988</v>
      </c>
      <c r="D255" s="5">
        <v>6.33</v>
      </c>
      <c r="E255" s="5">
        <v>91.03</v>
      </c>
      <c r="F255" s="5">
        <v>121.0</v>
      </c>
      <c r="G255" s="5">
        <v>133.72</v>
      </c>
      <c r="H255" s="6">
        <v>1.0</v>
      </c>
      <c r="I255" s="6">
        <v>1.0</v>
      </c>
      <c r="J255" s="6">
        <v>1.0</v>
      </c>
      <c r="K255" s="5">
        <f t="shared" si="17"/>
        <v>138023310</v>
      </c>
      <c r="L255" s="5">
        <f t="shared" ref="L255:M255" si="258">L254+F255</f>
        <v>27557.36</v>
      </c>
      <c r="M255" s="5">
        <f t="shared" si="258"/>
        <v>30535.19</v>
      </c>
      <c r="N255" s="6">
        <f t="shared" si="3"/>
        <v>0.3309583333</v>
      </c>
      <c r="O255" s="6">
        <f t="shared" si="4"/>
        <v>0.2366654835</v>
      </c>
    </row>
    <row r="256">
      <c r="A256" s="4">
        <v>45728.0</v>
      </c>
      <c r="B256" s="5">
        <v>244.0</v>
      </c>
      <c r="C256" s="5">
        <v>783000.0</v>
      </c>
      <c r="D256" s="5">
        <v>6.24</v>
      </c>
      <c r="E256" s="5">
        <v>90.9</v>
      </c>
      <c r="F256" s="5">
        <v>120.96</v>
      </c>
      <c r="G256" s="5">
        <v>133.64</v>
      </c>
      <c r="H256" s="6">
        <v>1.0</v>
      </c>
      <c r="I256" s="6">
        <v>1.0</v>
      </c>
      <c r="J256" s="6">
        <v>1.0</v>
      </c>
      <c r="K256" s="5">
        <f t="shared" si="17"/>
        <v>138806310</v>
      </c>
      <c r="L256" s="5">
        <f t="shared" ref="L256:M256" si="259">L255+F256</f>
        <v>27678.32</v>
      </c>
      <c r="M256" s="5">
        <f t="shared" si="259"/>
        <v>30668.83</v>
      </c>
      <c r="N256" s="6">
        <f t="shared" si="3"/>
        <v>0.32625</v>
      </c>
      <c r="O256" s="6">
        <f t="shared" si="4"/>
        <v>0.2370326332</v>
      </c>
    </row>
    <row r="257">
      <c r="A257" s="4">
        <v>45729.0</v>
      </c>
      <c r="B257" s="5">
        <v>245.0</v>
      </c>
      <c r="C257" s="5">
        <v>732100.000000006</v>
      </c>
      <c r="D257" s="5">
        <v>5.975</v>
      </c>
      <c r="E257" s="5">
        <v>87.17</v>
      </c>
      <c r="F257" s="5">
        <v>120.95</v>
      </c>
      <c r="G257" s="5">
        <v>135.2</v>
      </c>
      <c r="H257" s="6">
        <v>0.992185122385983</v>
      </c>
      <c r="I257" s="6">
        <v>1.0</v>
      </c>
      <c r="J257" s="6">
        <v>1.0</v>
      </c>
      <c r="K257" s="5">
        <f t="shared" si="17"/>
        <v>139538410</v>
      </c>
      <c r="L257" s="5">
        <f t="shared" ref="L257:M257" si="260">L256+F257</f>
        <v>27799.27</v>
      </c>
      <c r="M257" s="5">
        <f t="shared" si="260"/>
        <v>30804.03</v>
      </c>
      <c r="N257" s="6">
        <f t="shared" si="3"/>
        <v>0.3050416667</v>
      </c>
      <c r="O257" s="6">
        <f t="shared" si="4"/>
        <v>0.2373102211</v>
      </c>
    </row>
    <row r="258">
      <c r="A258" s="4">
        <v>45730.0</v>
      </c>
      <c r="B258" s="5">
        <v>246.0</v>
      </c>
      <c r="C258" s="5">
        <v>733700.000000012</v>
      </c>
      <c r="D258" s="5">
        <v>5.815</v>
      </c>
      <c r="E258" s="5">
        <v>98.39</v>
      </c>
      <c r="F258" s="5">
        <v>121.04</v>
      </c>
      <c r="G258" s="5">
        <v>133.46</v>
      </c>
      <c r="H258" s="6">
        <v>0.999237281426123</v>
      </c>
      <c r="I258" s="6">
        <v>1.0</v>
      </c>
      <c r="J258" s="6">
        <v>1.0</v>
      </c>
      <c r="K258" s="5">
        <f t="shared" si="17"/>
        <v>140272110</v>
      </c>
      <c r="L258" s="5">
        <f t="shared" ref="L258:M258" si="261">L257+F258</f>
        <v>27920.31</v>
      </c>
      <c r="M258" s="5">
        <f t="shared" si="261"/>
        <v>30937.49</v>
      </c>
      <c r="N258" s="6">
        <f t="shared" si="3"/>
        <v>0.3057083333</v>
      </c>
      <c r="O258" s="6">
        <f t="shared" si="4"/>
        <v>0.2375882622</v>
      </c>
    </row>
    <row r="259">
      <c r="A259" s="4">
        <v>45731.0</v>
      </c>
      <c r="B259" s="5">
        <v>247.0</v>
      </c>
      <c r="C259" s="5">
        <v>649599.999999991</v>
      </c>
      <c r="D259" s="5">
        <v>5.175</v>
      </c>
      <c r="E259" s="5">
        <v>85.78</v>
      </c>
      <c r="F259" s="5">
        <v>120.6</v>
      </c>
      <c r="G259" s="5">
        <v>133.96</v>
      </c>
      <c r="H259" s="6">
        <v>0.999431281655078</v>
      </c>
      <c r="I259" s="6">
        <v>1.0</v>
      </c>
      <c r="J259" s="6">
        <v>1.0</v>
      </c>
      <c r="K259" s="5">
        <f t="shared" si="17"/>
        <v>140921710</v>
      </c>
      <c r="L259" s="5">
        <f t="shared" ref="L259:M259" si="262">L258+F259</f>
        <v>28040.91</v>
      </c>
      <c r="M259" s="5">
        <f t="shared" si="262"/>
        <v>31071.45</v>
      </c>
      <c r="N259" s="6">
        <f t="shared" si="3"/>
        <v>0.2706666667</v>
      </c>
      <c r="O259" s="6">
        <f t="shared" si="4"/>
        <v>0.2377221829</v>
      </c>
    </row>
    <row r="260">
      <c r="A260" s="4">
        <v>45732.0</v>
      </c>
      <c r="B260" s="5">
        <v>248.0</v>
      </c>
      <c r="C260" s="5">
        <v>676500.0</v>
      </c>
      <c r="D260" s="5">
        <v>5.34</v>
      </c>
      <c r="E260" s="5">
        <v>81.93</v>
      </c>
      <c r="F260" s="5">
        <v>120.84</v>
      </c>
      <c r="G260" s="5">
        <v>134.37</v>
      </c>
      <c r="H260" s="6">
        <v>1.0</v>
      </c>
      <c r="I260" s="6">
        <v>1.0</v>
      </c>
      <c r="J260" s="6">
        <v>1.0</v>
      </c>
      <c r="K260" s="5">
        <f t="shared" si="17"/>
        <v>141598210</v>
      </c>
      <c r="L260" s="5">
        <f t="shared" ref="L260:M260" si="263">L259+F260</f>
        <v>28161.75</v>
      </c>
      <c r="M260" s="5">
        <f t="shared" si="263"/>
        <v>31205.82</v>
      </c>
      <c r="N260" s="6">
        <f t="shared" si="3"/>
        <v>0.281875</v>
      </c>
      <c r="O260" s="6">
        <f t="shared" si="4"/>
        <v>0.2379002184</v>
      </c>
    </row>
    <row r="261">
      <c r="A261" s="4">
        <v>45733.0</v>
      </c>
      <c r="B261" s="5">
        <v>249.0</v>
      </c>
      <c r="C261" s="5">
        <v>712400.000000009</v>
      </c>
      <c r="D261" s="5">
        <v>5.68</v>
      </c>
      <c r="E261" s="5">
        <v>86.56</v>
      </c>
      <c r="F261" s="5">
        <v>120.84</v>
      </c>
      <c r="G261" s="5">
        <v>133.78</v>
      </c>
      <c r="H261" s="6">
        <v>1.0</v>
      </c>
      <c r="I261" s="6">
        <v>1.0</v>
      </c>
      <c r="J261" s="6">
        <v>1.0</v>
      </c>
      <c r="K261" s="5">
        <f t="shared" si="17"/>
        <v>142310610</v>
      </c>
      <c r="L261" s="5">
        <f t="shared" ref="L261:M261" si="264">L260+F261</f>
        <v>28282.59</v>
      </c>
      <c r="M261" s="5">
        <f t="shared" si="264"/>
        <v>31339.6</v>
      </c>
      <c r="N261" s="6">
        <f t="shared" si="3"/>
        <v>0.2968333333</v>
      </c>
      <c r="O261" s="6">
        <f t="shared" si="4"/>
        <v>0.2381368976</v>
      </c>
    </row>
    <row r="262">
      <c r="A262" s="4">
        <v>45734.0</v>
      </c>
      <c r="B262" s="5">
        <v>250.0</v>
      </c>
      <c r="C262" s="5">
        <v>793499.999999985</v>
      </c>
      <c r="D262" s="5">
        <v>6.35</v>
      </c>
      <c r="E262" s="5">
        <v>91.19</v>
      </c>
      <c r="F262" s="5">
        <v>121.81</v>
      </c>
      <c r="G262" s="5">
        <v>134.09</v>
      </c>
      <c r="H262" s="6">
        <v>0.999872139112645</v>
      </c>
      <c r="I262" s="6">
        <v>1.0</v>
      </c>
      <c r="J262" s="6">
        <v>1.0</v>
      </c>
      <c r="K262" s="5">
        <f t="shared" si="17"/>
        <v>143104110</v>
      </c>
      <c r="L262" s="5">
        <f t="shared" ref="L262:M262" si="265">L261+F262</f>
        <v>28404.4</v>
      </c>
      <c r="M262" s="5">
        <f t="shared" si="265"/>
        <v>31473.69</v>
      </c>
      <c r="N262" s="6">
        <f t="shared" si="3"/>
        <v>0.330625</v>
      </c>
      <c r="O262" s="6">
        <f t="shared" si="4"/>
        <v>0.23850685</v>
      </c>
    </row>
    <row r="263">
      <c r="A263" s="4">
        <v>45735.0</v>
      </c>
      <c r="B263" s="5">
        <v>251.0</v>
      </c>
      <c r="C263" s="5">
        <v>612100.000000006</v>
      </c>
      <c r="D263" s="5">
        <v>4.885</v>
      </c>
      <c r="E263" s="5">
        <v>75.38</v>
      </c>
      <c r="F263" s="5">
        <v>121.26</v>
      </c>
      <c r="G263" s="5">
        <v>134.38</v>
      </c>
      <c r="H263" s="6">
        <v>1.0</v>
      </c>
      <c r="I263" s="6">
        <v>1.0</v>
      </c>
      <c r="J263" s="6">
        <v>1.0</v>
      </c>
      <c r="K263" s="5">
        <f t="shared" si="17"/>
        <v>143716210</v>
      </c>
      <c r="L263" s="5">
        <f t="shared" ref="L263:M263" si="266">L262+F263</f>
        <v>28525.66</v>
      </c>
      <c r="M263" s="5">
        <f t="shared" si="266"/>
        <v>31608.07</v>
      </c>
      <c r="N263" s="6">
        <f t="shared" si="3"/>
        <v>0.2550416667</v>
      </c>
      <c r="O263" s="6">
        <f t="shared" si="4"/>
        <v>0.2385727258</v>
      </c>
    </row>
    <row r="264">
      <c r="A264" s="4">
        <v>45736.0</v>
      </c>
      <c r="B264" s="5">
        <v>252.0</v>
      </c>
      <c r="C264" s="5">
        <v>676599.999999991</v>
      </c>
      <c r="D264" s="5">
        <v>5.49</v>
      </c>
      <c r="E264" s="5">
        <v>85.59</v>
      </c>
      <c r="F264" s="5">
        <v>121.43</v>
      </c>
      <c r="G264" s="5">
        <v>134.53</v>
      </c>
      <c r="H264" s="6">
        <v>0.996372624550591</v>
      </c>
      <c r="I264" s="6">
        <v>1.0</v>
      </c>
      <c r="J264" s="6">
        <v>1.0</v>
      </c>
      <c r="K264" s="5">
        <f t="shared" si="17"/>
        <v>144392810</v>
      </c>
      <c r="L264" s="5">
        <f t="shared" ref="L264:M264" si="267">L263+F264</f>
        <v>28647.09</v>
      </c>
      <c r="M264" s="5">
        <f t="shared" si="267"/>
        <v>31742.6</v>
      </c>
      <c r="N264" s="6">
        <f t="shared" si="3"/>
        <v>0.2819166667</v>
      </c>
      <c r="O264" s="6">
        <f t="shared" si="4"/>
        <v>0.2387447255</v>
      </c>
    </row>
    <row r="265">
      <c r="A265" s="4">
        <v>45737.0</v>
      </c>
      <c r="B265" s="5">
        <v>253.0</v>
      </c>
      <c r="C265" s="5">
        <v>591500.0</v>
      </c>
      <c r="D265" s="5">
        <v>4.79</v>
      </c>
      <c r="E265" s="5">
        <v>88.85</v>
      </c>
      <c r="F265" s="5">
        <v>120.88</v>
      </c>
      <c r="G265" s="5">
        <v>134.05</v>
      </c>
      <c r="H265" s="6">
        <v>0.999609497032177</v>
      </c>
      <c r="I265" s="6">
        <v>1.0</v>
      </c>
      <c r="J265" s="6">
        <v>1.0</v>
      </c>
      <c r="K265" s="5">
        <f t="shared" si="17"/>
        <v>144984310</v>
      </c>
      <c r="L265" s="5">
        <f t="shared" ref="L265:M265" si="268">L264+F265</f>
        <v>28767.97</v>
      </c>
      <c r="M265" s="5">
        <f t="shared" si="268"/>
        <v>31876.65</v>
      </c>
      <c r="N265" s="6">
        <f t="shared" si="3"/>
        <v>0.2464583333</v>
      </c>
      <c r="O265" s="6">
        <f t="shared" si="4"/>
        <v>0.2387752141</v>
      </c>
    </row>
    <row r="266">
      <c r="A266" s="4">
        <v>45738.0</v>
      </c>
      <c r="B266" s="5">
        <v>254.0</v>
      </c>
      <c r="C266" s="5">
        <v>779200.000000012</v>
      </c>
      <c r="D266" s="5">
        <v>6.2</v>
      </c>
      <c r="E266" s="5">
        <v>88.85</v>
      </c>
      <c r="F266" s="5">
        <v>116.79</v>
      </c>
      <c r="G266" s="5">
        <v>130.5</v>
      </c>
      <c r="H266" s="6">
        <v>0.99952582594504</v>
      </c>
      <c r="I266" s="6">
        <v>1.0</v>
      </c>
      <c r="J266" s="6">
        <v>1.0</v>
      </c>
      <c r="K266" s="5">
        <f t="shared" si="17"/>
        <v>145763510</v>
      </c>
      <c r="L266" s="5">
        <f t="shared" ref="L266:M266" si="269">L265+F266</f>
        <v>28884.76</v>
      </c>
      <c r="M266" s="5">
        <f t="shared" si="269"/>
        <v>32007.15</v>
      </c>
      <c r="N266" s="6">
        <f t="shared" si="3"/>
        <v>0.3246666667</v>
      </c>
      <c r="O266" s="6">
        <f t="shared" si="4"/>
        <v>0.2391133694</v>
      </c>
    </row>
    <row r="267">
      <c r="A267" s="4">
        <v>45739.0</v>
      </c>
      <c r="B267" s="5">
        <v>255.0</v>
      </c>
      <c r="C267" s="5">
        <v>666699.999999997</v>
      </c>
      <c r="D267" s="5">
        <v>5.435</v>
      </c>
      <c r="E267" s="5">
        <v>89.66</v>
      </c>
      <c r="F267" s="5">
        <v>116.95</v>
      </c>
      <c r="G267" s="5">
        <v>129.45</v>
      </c>
      <c r="H267" s="6">
        <v>0.998769362778305</v>
      </c>
      <c r="I267" s="6">
        <v>1.0</v>
      </c>
      <c r="J267" s="6">
        <v>1.0</v>
      </c>
      <c r="K267" s="5">
        <f t="shared" si="17"/>
        <v>146430210</v>
      </c>
      <c r="L267" s="5">
        <f t="shared" ref="L267:M267" si="270">L266+F267</f>
        <v>29001.71</v>
      </c>
      <c r="M267" s="5">
        <f t="shared" si="270"/>
        <v>32136.6</v>
      </c>
      <c r="N267" s="6">
        <f t="shared" si="3"/>
        <v>0.2777916667</v>
      </c>
      <c r="O267" s="6">
        <f t="shared" si="4"/>
        <v>0.239265049</v>
      </c>
    </row>
    <row r="268">
      <c r="A268" s="4">
        <v>45740.0</v>
      </c>
      <c r="B268" s="5">
        <v>256.0</v>
      </c>
      <c r="C268" s="5">
        <v>800100.000000006</v>
      </c>
      <c r="D268" s="5">
        <v>6.36</v>
      </c>
      <c r="E268" s="5">
        <v>92.45</v>
      </c>
      <c r="F268" s="5">
        <v>116.62</v>
      </c>
      <c r="G268" s="5">
        <v>130.27</v>
      </c>
      <c r="H268" s="6">
        <v>0.999889081148232</v>
      </c>
      <c r="I268" s="6">
        <v>1.0</v>
      </c>
      <c r="J268" s="6">
        <v>1.0</v>
      </c>
      <c r="K268" s="5">
        <f t="shared" si="17"/>
        <v>147230310</v>
      </c>
      <c r="L268" s="5">
        <f t="shared" ref="L268:M268" si="271">L267+F268</f>
        <v>29118.33</v>
      </c>
      <c r="M268" s="5">
        <f t="shared" si="271"/>
        <v>32266.87</v>
      </c>
      <c r="N268" s="6">
        <f t="shared" si="3"/>
        <v>0.333375</v>
      </c>
      <c r="O268" s="6">
        <f t="shared" si="4"/>
        <v>0.239632666</v>
      </c>
    </row>
    <row r="269">
      <c r="A269" s="4">
        <v>45741.0</v>
      </c>
      <c r="B269" s="5">
        <v>257.0</v>
      </c>
      <c r="C269" s="5">
        <v>812999.999999985</v>
      </c>
      <c r="D269" s="5">
        <v>6.475</v>
      </c>
      <c r="E269" s="5">
        <v>94.62</v>
      </c>
      <c r="F269" s="5">
        <v>116.56</v>
      </c>
      <c r="G269" s="5">
        <v>129.75</v>
      </c>
      <c r="H269" s="6">
        <v>1.0</v>
      </c>
      <c r="I269" s="6">
        <v>1.0</v>
      </c>
      <c r="J269" s="6">
        <v>1.0</v>
      </c>
      <c r="K269" s="5">
        <f t="shared" si="17"/>
        <v>148043310</v>
      </c>
      <c r="L269" s="5">
        <f t="shared" ref="L269:M269" si="272">L268+F269</f>
        <v>29234.89</v>
      </c>
      <c r="M269" s="5">
        <f t="shared" si="272"/>
        <v>32396.62</v>
      </c>
      <c r="N269" s="6">
        <f t="shared" si="3"/>
        <v>0.33875</v>
      </c>
      <c r="O269" s="6">
        <f t="shared" si="4"/>
        <v>0.2400183366</v>
      </c>
    </row>
    <row r="270">
      <c r="A270" s="4">
        <v>45742.0</v>
      </c>
      <c r="B270" s="5">
        <v>258.0</v>
      </c>
      <c r="C270" s="5">
        <v>776899.999999994</v>
      </c>
      <c r="D270" s="5">
        <v>6.085</v>
      </c>
      <c r="E270" s="5">
        <v>94.95</v>
      </c>
      <c r="F270" s="5">
        <v>116.56</v>
      </c>
      <c r="G270" s="5">
        <v>130.36</v>
      </c>
      <c r="H270" s="6">
        <v>1.0</v>
      </c>
      <c r="I270" s="6">
        <v>1.0</v>
      </c>
      <c r="J270" s="6">
        <v>1.0</v>
      </c>
      <c r="K270" s="5">
        <f t="shared" si="17"/>
        <v>148820210</v>
      </c>
      <c r="L270" s="5">
        <f t="shared" ref="L270:M270" si="273">L269+F270</f>
        <v>29351.45</v>
      </c>
      <c r="M270" s="5">
        <f t="shared" si="273"/>
        <v>32526.98</v>
      </c>
      <c r="N270" s="6">
        <f t="shared" si="3"/>
        <v>0.3237083333</v>
      </c>
      <c r="O270" s="6">
        <f t="shared" si="4"/>
        <v>0.2403427164</v>
      </c>
    </row>
    <row r="271">
      <c r="A271" s="4">
        <v>45743.0</v>
      </c>
      <c r="B271" s="5">
        <v>259.0</v>
      </c>
      <c r="C271" s="5">
        <v>753300.000000017</v>
      </c>
      <c r="D271" s="5">
        <v>5.94</v>
      </c>
      <c r="E271" s="5">
        <v>92.18</v>
      </c>
      <c r="F271" s="5">
        <v>116.921</v>
      </c>
      <c r="G271" s="5">
        <v>129.32</v>
      </c>
      <c r="H271" s="6">
        <v>1.0</v>
      </c>
      <c r="I271" s="6">
        <v>1.0</v>
      </c>
      <c r="J271" s="6">
        <v>1.0</v>
      </c>
      <c r="K271" s="5">
        <f t="shared" si="17"/>
        <v>149573510</v>
      </c>
      <c r="L271" s="5">
        <f t="shared" ref="L271:M271" si="274">L270+F271</f>
        <v>29468.371</v>
      </c>
      <c r="M271" s="5">
        <f t="shared" si="274"/>
        <v>32656.3</v>
      </c>
      <c r="N271" s="6">
        <f t="shared" si="3"/>
        <v>0.313875</v>
      </c>
      <c r="O271" s="6">
        <f t="shared" si="4"/>
        <v>0.2406266248</v>
      </c>
    </row>
    <row r="272">
      <c r="A272" s="4">
        <v>45744.0</v>
      </c>
      <c r="B272" s="5">
        <v>260.0</v>
      </c>
      <c r="C272" s="5">
        <v>702500.0</v>
      </c>
      <c r="D272" s="5">
        <v>5.62</v>
      </c>
      <c r="E272" s="5">
        <v>87.03</v>
      </c>
      <c r="F272" s="5">
        <v>120.93</v>
      </c>
      <c r="G272" s="5">
        <v>129.85</v>
      </c>
      <c r="H272" s="6">
        <v>1.0</v>
      </c>
      <c r="I272" s="6">
        <v>1.0</v>
      </c>
      <c r="J272" s="6">
        <v>1.0</v>
      </c>
      <c r="K272" s="5">
        <f t="shared" si="17"/>
        <v>150276010</v>
      </c>
      <c r="L272" s="5">
        <f t="shared" ref="L272:M272" si="275">L271+F272</f>
        <v>29589.301</v>
      </c>
      <c r="M272" s="5">
        <f t="shared" si="275"/>
        <v>32786.15</v>
      </c>
      <c r="N272" s="6">
        <f t="shared" si="3"/>
        <v>0.2927083333</v>
      </c>
      <c r="O272" s="6">
        <f t="shared" si="4"/>
        <v>0.2408269391</v>
      </c>
    </row>
    <row r="273">
      <c r="A273" s="4">
        <v>45745.0</v>
      </c>
      <c r="B273" s="5">
        <v>261.0</v>
      </c>
      <c r="C273" s="5">
        <v>714600.000000006</v>
      </c>
      <c r="D273" s="5">
        <v>5.71</v>
      </c>
      <c r="E273" s="5">
        <v>86.9</v>
      </c>
      <c r="F273" s="5">
        <v>120.93</v>
      </c>
      <c r="G273" s="5">
        <v>134.69</v>
      </c>
      <c r="H273" s="6">
        <v>1.0</v>
      </c>
      <c r="I273" s="6">
        <v>1.0</v>
      </c>
      <c r="J273" s="6">
        <v>1.0</v>
      </c>
      <c r="K273" s="5">
        <f t="shared" si="17"/>
        <v>150990610</v>
      </c>
      <c r="L273" s="5">
        <f t="shared" ref="L273:M273" si="276">L272+F273</f>
        <v>29710.231</v>
      </c>
      <c r="M273" s="5">
        <f t="shared" si="276"/>
        <v>32920.84</v>
      </c>
      <c r="N273" s="6">
        <f t="shared" si="3"/>
        <v>0.29775</v>
      </c>
      <c r="O273" s="6">
        <f t="shared" si="4"/>
        <v>0.2410450351</v>
      </c>
    </row>
    <row r="274">
      <c r="A274" s="4">
        <v>45746.0</v>
      </c>
      <c r="B274" s="5">
        <v>262.0</v>
      </c>
      <c r="C274" s="5">
        <v>756199.999999983</v>
      </c>
      <c r="D274" s="5">
        <v>6.035</v>
      </c>
      <c r="E274" s="5">
        <v>91.54</v>
      </c>
      <c r="F274" s="5">
        <v>120.77</v>
      </c>
      <c r="G274" s="5">
        <v>134.19</v>
      </c>
      <c r="H274" s="6">
        <v>1.0</v>
      </c>
      <c r="I274" s="6">
        <v>1.0</v>
      </c>
      <c r="J274" s="6">
        <v>1.0</v>
      </c>
      <c r="K274" s="5">
        <f t="shared" si="17"/>
        <v>151746810</v>
      </c>
      <c r="L274" s="5">
        <f t="shared" ref="L274:M274" si="277">L273+F274</f>
        <v>29831.001</v>
      </c>
      <c r="M274" s="5">
        <f t="shared" si="277"/>
        <v>33055.03</v>
      </c>
      <c r="N274" s="6">
        <f t="shared" si="3"/>
        <v>0.3150833333</v>
      </c>
      <c r="O274" s="6">
        <f t="shared" si="4"/>
        <v>0.241327624</v>
      </c>
    </row>
    <row r="275">
      <c r="A275" s="4">
        <v>45747.0</v>
      </c>
      <c r="B275" s="5">
        <v>263.0</v>
      </c>
      <c r="C275" s="5">
        <v>685000.000000015</v>
      </c>
      <c r="D275" s="5">
        <v>5.5</v>
      </c>
      <c r="E275" s="5">
        <v>84.16</v>
      </c>
      <c r="F275" s="5">
        <v>120.77</v>
      </c>
      <c r="G275" s="5">
        <v>133.66</v>
      </c>
      <c r="H275" s="6">
        <v>1.0</v>
      </c>
      <c r="I275" s="6">
        <v>1.0</v>
      </c>
      <c r="J275" s="6">
        <v>1.0</v>
      </c>
      <c r="K275" s="5">
        <f t="shared" si="17"/>
        <v>152431810</v>
      </c>
      <c r="L275" s="5">
        <f t="shared" ref="L275:M275" si="278">L274+F275</f>
        <v>29951.771</v>
      </c>
      <c r="M275" s="5">
        <f t="shared" si="278"/>
        <v>33188.69</v>
      </c>
      <c r="N275" s="6">
        <f t="shared" si="3"/>
        <v>0.2854166667</v>
      </c>
      <c r="O275" s="6">
        <f t="shared" si="4"/>
        <v>0.241495263</v>
      </c>
    </row>
    <row r="276">
      <c r="A276" s="4">
        <v>45748.0</v>
      </c>
      <c r="B276" s="5">
        <v>264.0</v>
      </c>
      <c r="C276" s="5">
        <v>590499.999999985</v>
      </c>
      <c r="D276" s="5">
        <v>4.61</v>
      </c>
      <c r="E276" s="5">
        <v>64.4</v>
      </c>
      <c r="F276" s="5">
        <v>120.92</v>
      </c>
      <c r="G276" s="5">
        <v>133.78</v>
      </c>
      <c r="H276" s="6">
        <v>1.0</v>
      </c>
      <c r="I276" s="6">
        <v>1.0</v>
      </c>
      <c r="J276" s="6">
        <v>1.0</v>
      </c>
      <c r="K276" s="5">
        <f t="shared" si="17"/>
        <v>153022310</v>
      </c>
      <c r="L276" s="5">
        <f t="shared" ref="L276:M276" si="279">L275+F276</f>
        <v>30072.691</v>
      </c>
      <c r="M276" s="5">
        <f t="shared" si="279"/>
        <v>33322.47</v>
      </c>
      <c r="N276" s="6">
        <f t="shared" si="3"/>
        <v>0.2460416667</v>
      </c>
      <c r="O276" s="6">
        <f t="shared" si="4"/>
        <v>0.2415124842</v>
      </c>
    </row>
    <row r="277">
      <c r="A277" s="4">
        <v>45749.0</v>
      </c>
      <c r="B277" s="5">
        <v>265.0</v>
      </c>
      <c r="C277" s="5">
        <v>485900.000000023</v>
      </c>
      <c r="D277" s="5">
        <v>3.86</v>
      </c>
      <c r="E277" s="5">
        <v>74.83</v>
      </c>
      <c r="F277" s="5">
        <v>120.86</v>
      </c>
      <c r="G277" s="5">
        <v>133.83</v>
      </c>
      <c r="H277" s="6">
        <v>0.99989898989899</v>
      </c>
      <c r="I277" s="6">
        <v>1.0</v>
      </c>
      <c r="J277" s="6">
        <v>1.0</v>
      </c>
      <c r="K277" s="5">
        <f t="shared" si="17"/>
        <v>153508210</v>
      </c>
      <c r="L277" s="5">
        <f t="shared" ref="L277:M277" si="280">L276+F277</f>
        <v>30193.551</v>
      </c>
      <c r="M277" s="5">
        <f t="shared" si="280"/>
        <v>33456.3</v>
      </c>
      <c r="N277" s="6">
        <f t="shared" si="3"/>
        <v>0.2024583333</v>
      </c>
      <c r="O277" s="6">
        <f t="shared" si="4"/>
        <v>0.2413651101</v>
      </c>
    </row>
    <row r="278">
      <c r="A278" s="4">
        <v>45750.0</v>
      </c>
      <c r="B278" s="5">
        <v>266.0</v>
      </c>
      <c r="C278" s="5">
        <v>465599.999999991</v>
      </c>
      <c r="D278" s="5">
        <v>3.705</v>
      </c>
      <c r="E278" s="5">
        <v>72.32</v>
      </c>
      <c r="F278" s="5">
        <v>120.69</v>
      </c>
      <c r="G278" s="5">
        <v>133.89</v>
      </c>
      <c r="H278" s="6">
        <v>0.999850780532599</v>
      </c>
      <c r="I278" s="6">
        <v>1.0</v>
      </c>
      <c r="J278" s="6">
        <v>1.0</v>
      </c>
      <c r="K278" s="5">
        <f t="shared" si="17"/>
        <v>153973810</v>
      </c>
      <c r="L278" s="5">
        <f t="shared" ref="L278:M278" si="281">L277+F278</f>
        <v>30314.241</v>
      </c>
      <c r="M278" s="5">
        <f t="shared" si="281"/>
        <v>33590.19</v>
      </c>
      <c r="N278" s="6">
        <f t="shared" si="3"/>
        <v>0.194</v>
      </c>
      <c r="O278" s="6">
        <f t="shared" si="4"/>
        <v>0.2411870457</v>
      </c>
    </row>
    <row r="279">
      <c r="A279" s="4">
        <v>45751.0</v>
      </c>
      <c r="B279" s="5">
        <v>267.0</v>
      </c>
      <c r="C279" s="5">
        <v>645600.000000006</v>
      </c>
      <c r="D279" s="5">
        <v>5.255</v>
      </c>
      <c r="E279" s="5">
        <v>87.15</v>
      </c>
      <c r="F279" s="5">
        <v>120.89</v>
      </c>
      <c r="G279" s="5">
        <v>133.62</v>
      </c>
      <c r="H279" s="6">
        <v>1.0</v>
      </c>
      <c r="I279" s="6">
        <v>1.0</v>
      </c>
      <c r="J279" s="6">
        <v>1.0</v>
      </c>
      <c r="K279" s="5">
        <f t="shared" si="17"/>
        <v>154619410</v>
      </c>
      <c r="L279" s="5">
        <f t="shared" ref="L279:M279" si="282">L278+F279</f>
        <v>30435.131</v>
      </c>
      <c r="M279" s="5">
        <f t="shared" si="282"/>
        <v>33723.81</v>
      </c>
      <c r="N279" s="6">
        <f t="shared" si="3"/>
        <v>0.269</v>
      </c>
      <c r="O279" s="6">
        <f t="shared" si="4"/>
        <v>0.2412912141</v>
      </c>
    </row>
    <row r="280">
      <c r="A280" s="4">
        <v>45752.0</v>
      </c>
      <c r="B280" s="5">
        <v>268.0</v>
      </c>
      <c r="C280" s="5">
        <v>798299.999999988</v>
      </c>
      <c r="D280" s="5">
        <v>6.615</v>
      </c>
      <c r="E280" s="5">
        <v>94.46</v>
      </c>
      <c r="F280" s="5">
        <v>120.62</v>
      </c>
      <c r="G280" s="5">
        <v>129.16</v>
      </c>
      <c r="H280" s="6">
        <v>1.0</v>
      </c>
      <c r="I280" s="6">
        <v>1.0</v>
      </c>
      <c r="J280" s="6">
        <v>1.0</v>
      </c>
      <c r="K280" s="5">
        <f t="shared" si="17"/>
        <v>155417710</v>
      </c>
      <c r="L280" s="5">
        <f t="shared" ref="L280:M280" si="283">L279+F280</f>
        <v>30555.751</v>
      </c>
      <c r="M280" s="5">
        <f t="shared" si="283"/>
        <v>33852.97</v>
      </c>
      <c r="N280" s="6">
        <f t="shared" si="3"/>
        <v>0.332625</v>
      </c>
      <c r="O280" s="6">
        <f t="shared" si="4"/>
        <v>0.2416320118</v>
      </c>
    </row>
    <row r="281">
      <c r="A281" s="4">
        <v>45753.0</v>
      </c>
      <c r="B281" s="5">
        <v>269.0</v>
      </c>
      <c r="C281" s="5">
        <v>805499.999999985</v>
      </c>
      <c r="D281" s="5">
        <v>6.72</v>
      </c>
      <c r="E281" s="5">
        <v>95.55</v>
      </c>
      <c r="F281" s="5">
        <v>120.78</v>
      </c>
      <c r="G281" s="5">
        <v>135.02</v>
      </c>
      <c r="H281" s="6">
        <v>0.999858295182036</v>
      </c>
      <c r="I281" s="6">
        <v>1.0</v>
      </c>
      <c r="J281" s="6">
        <v>1.0</v>
      </c>
      <c r="K281" s="5">
        <f t="shared" si="17"/>
        <v>156223210</v>
      </c>
      <c r="L281" s="5">
        <f t="shared" ref="L281:M281" si="284">L280+F281</f>
        <v>30676.531</v>
      </c>
      <c r="M281" s="5">
        <f t="shared" si="284"/>
        <v>33987.99</v>
      </c>
      <c r="N281" s="6">
        <f t="shared" si="3"/>
        <v>0.335625</v>
      </c>
      <c r="O281" s="6">
        <f t="shared" si="4"/>
        <v>0.2419814281</v>
      </c>
    </row>
    <row r="282">
      <c r="A282" s="4">
        <v>45754.0</v>
      </c>
      <c r="B282" s="5">
        <v>270.0</v>
      </c>
      <c r="C282" s="5">
        <v>750300.000000017</v>
      </c>
      <c r="D282" s="5">
        <v>6.245</v>
      </c>
      <c r="E282" s="5">
        <v>89.32</v>
      </c>
      <c r="F282" s="5">
        <v>121.25</v>
      </c>
      <c r="G282" s="5">
        <v>135.39</v>
      </c>
      <c r="H282" s="6">
        <v>1.0</v>
      </c>
      <c r="I282" s="6">
        <v>1.0</v>
      </c>
      <c r="J282" s="6">
        <v>1.0</v>
      </c>
      <c r="K282" s="5">
        <f t="shared" si="17"/>
        <v>156973510</v>
      </c>
      <c r="L282" s="5">
        <f t="shared" ref="L282:M282" si="285">L281+F282</f>
        <v>30797.781</v>
      </c>
      <c r="M282" s="5">
        <f t="shared" si="285"/>
        <v>34123.38</v>
      </c>
      <c r="N282" s="6">
        <f t="shared" si="3"/>
        <v>0.312625</v>
      </c>
      <c r="O282" s="6">
        <f t="shared" si="4"/>
        <v>0.242243071</v>
      </c>
    </row>
    <row r="283">
      <c r="A283" s="4">
        <v>45755.0</v>
      </c>
      <c r="B283" s="5">
        <v>271.0</v>
      </c>
      <c r="C283" s="5">
        <v>779500.0</v>
      </c>
      <c r="D283" s="5">
        <v>6.46</v>
      </c>
      <c r="E283" s="5">
        <v>88.45</v>
      </c>
      <c r="F283" s="5">
        <v>121.0</v>
      </c>
      <c r="G283" s="5">
        <v>135.18</v>
      </c>
      <c r="H283" s="6">
        <v>1.0</v>
      </c>
      <c r="I283" s="6">
        <v>1.0</v>
      </c>
      <c r="J283" s="6">
        <v>1.0</v>
      </c>
      <c r="K283" s="5">
        <f t="shared" si="17"/>
        <v>157753010</v>
      </c>
      <c r="L283" s="5">
        <f t="shared" ref="L283:M283" si="286">L282+F283</f>
        <v>30918.781</v>
      </c>
      <c r="M283" s="5">
        <f t="shared" si="286"/>
        <v>34258.56</v>
      </c>
      <c r="N283" s="6">
        <f t="shared" si="3"/>
        <v>0.3247916667</v>
      </c>
      <c r="O283" s="6">
        <f t="shared" si="4"/>
        <v>0.2425476784</v>
      </c>
    </row>
    <row r="284">
      <c r="A284" s="4">
        <v>45756.0</v>
      </c>
      <c r="B284" s="5">
        <v>272.0</v>
      </c>
      <c r="C284" s="5">
        <v>796399.999999994</v>
      </c>
      <c r="D284" s="5">
        <v>6.635</v>
      </c>
      <c r="E284" s="5">
        <v>89.71</v>
      </c>
      <c r="F284" s="5">
        <v>120.668</v>
      </c>
      <c r="G284" s="5">
        <v>135.35</v>
      </c>
      <c r="H284" s="6">
        <v>1.0</v>
      </c>
      <c r="I284" s="6">
        <v>1.0</v>
      </c>
      <c r="J284" s="6">
        <v>1.0</v>
      </c>
      <c r="K284" s="5">
        <f t="shared" si="17"/>
        <v>158549410</v>
      </c>
      <c r="L284" s="5">
        <f t="shared" ref="L284:M284" si="287">L283+F284</f>
        <v>31039.449</v>
      </c>
      <c r="M284" s="5">
        <f t="shared" si="287"/>
        <v>34393.91</v>
      </c>
      <c r="N284" s="6">
        <f t="shared" si="3"/>
        <v>0.3318333333</v>
      </c>
      <c r="O284" s="6">
        <f t="shared" si="4"/>
        <v>0.2428759344</v>
      </c>
    </row>
    <row r="285">
      <c r="A285" s="4">
        <v>45757.0</v>
      </c>
      <c r="B285" s="5">
        <v>273.0</v>
      </c>
      <c r="C285" s="5">
        <v>831599.999999991</v>
      </c>
      <c r="D285" s="5">
        <v>6.8</v>
      </c>
      <c r="E285" s="5">
        <v>91.27</v>
      </c>
      <c r="F285" s="5">
        <v>120.99</v>
      </c>
      <c r="G285" s="5">
        <v>134.42</v>
      </c>
      <c r="H285" s="6">
        <v>1.0</v>
      </c>
      <c r="I285" s="6">
        <v>1.0</v>
      </c>
      <c r="J285" s="6">
        <v>1.0</v>
      </c>
      <c r="K285" s="5">
        <f t="shared" si="17"/>
        <v>159381010</v>
      </c>
      <c r="L285" s="5">
        <f t="shared" ref="L285:M285" si="288">L284+F285</f>
        <v>31160.439</v>
      </c>
      <c r="M285" s="5">
        <f t="shared" si="288"/>
        <v>34528.33</v>
      </c>
      <c r="N285" s="6">
        <f t="shared" si="3"/>
        <v>0.3465</v>
      </c>
      <c r="O285" s="6">
        <f t="shared" si="4"/>
        <v>0.2432555098</v>
      </c>
    </row>
    <row r="286">
      <c r="A286" s="4">
        <v>45758.0</v>
      </c>
      <c r="B286" s="5">
        <v>274.0</v>
      </c>
      <c r="C286" s="5">
        <v>767900.000000009</v>
      </c>
      <c r="D286" s="5">
        <v>6.225</v>
      </c>
      <c r="E286" s="5">
        <v>90.02</v>
      </c>
      <c r="F286" s="5">
        <v>120.97</v>
      </c>
      <c r="G286" s="5">
        <v>133.7</v>
      </c>
      <c r="H286" s="6">
        <v>1.0</v>
      </c>
      <c r="I286" s="6">
        <v>1.0</v>
      </c>
      <c r="J286" s="6">
        <v>1.0</v>
      </c>
      <c r="K286" s="5">
        <f t="shared" si="17"/>
        <v>160148910</v>
      </c>
      <c r="L286" s="5">
        <f t="shared" ref="L286:M286" si="289">L285+F286</f>
        <v>31281.409</v>
      </c>
      <c r="M286" s="5">
        <f t="shared" si="289"/>
        <v>34662.03</v>
      </c>
      <c r="N286" s="6">
        <f t="shared" si="3"/>
        <v>0.3199583333</v>
      </c>
      <c r="O286" s="6">
        <f t="shared" si="4"/>
        <v>0.2435354471</v>
      </c>
    </row>
    <row r="287">
      <c r="A287" s="4">
        <v>45759.0</v>
      </c>
      <c r="B287" s="5">
        <v>275.0</v>
      </c>
      <c r="C287" s="5">
        <v>704000.0</v>
      </c>
      <c r="D287" s="5">
        <v>5.785</v>
      </c>
      <c r="E287" s="5">
        <v>89.34</v>
      </c>
      <c r="F287" s="5">
        <v>120.71</v>
      </c>
      <c r="G287" s="5">
        <v>133.31</v>
      </c>
      <c r="H287" s="6">
        <v>0.999859907754645</v>
      </c>
      <c r="I287" s="6">
        <v>1.0</v>
      </c>
      <c r="J287" s="6">
        <v>1.0</v>
      </c>
      <c r="K287" s="5">
        <f t="shared" si="17"/>
        <v>160852910</v>
      </c>
      <c r="L287" s="5">
        <f t="shared" ref="L287:M287" si="290">L286+F287</f>
        <v>31402.119</v>
      </c>
      <c r="M287" s="5">
        <f t="shared" si="290"/>
        <v>34795.34</v>
      </c>
      <c r="N287" s="6">
        <f t="shared" si="3"/>
        <v>0.2933333333</v>
      </c>
      <c r="O287" s="6">
        <f t="shared" si="4"/>
        <v>0.2437165303</v>
      </c>
    </row>
    <row r="288">
      <c r="A288" s="4">
        <v>45760.0</v>
      </c>
      <c r="B288" s="5">
        <v>276.0</v>
      </c>
      <c r="C288" s="5">
        <v>744699.999999997</v>
      </c>
      <c r="D288" s="5">
        <v>6.07</v>
      </c>
      <c r="E288" s="5">
        <v>92.32</v>
      </c>
      <c r="F288" s="5">
        <v>120.83</v>
      </c>
      <c r="G288" s="5">
        <v>134.6</v>
      </c>
      <c r="H288" s="6">
        <v>1.0</v>
      </c>
      <c r="I288" s="6">
        <v>1.0</v>
      </c>
      <c r="J288" s="6">
        <v>1.0</v>
      </c>
      <c r="K288" s="5">
        <f t="shared" si="17"/>
        <v>161597610</v>
      </c>
      <c r="L288" s="5">
        <f t="shared" ref="L288:M288" si="291">L287+F288</f>
        <v>31522.949</v>
      </c>
      <c r="M288" s="5">
        <f t="shared" si="291"/>
        <v>34929.94</v>
      </c>
      <c r="N288" s="6">
        <f t="shared" si="3"/>
        <v>0.3102916667</v>
      </c>
      <c r="O288" s="6">
        <f t="shared" si="4"/>
        <v>0.2439577446</v>
      </c>
    </row>
    <row r="289">
      <c r="A289" s="4">
        <v>45761.0</v>
      </c>
      <c r="B289" s="5">
        <v>277.0</v>
      </c>
      <c r="C289" s="5">
        <v>549800.000000003</v>
      </c>
      <c r="D289" s="5">
        <v>4.655</v>
      </c>
      <c r="E289" s="5">
        <v>93.05</v>
      </c>
      <c r="F289" s="5">
        <v>120.72</v>
      </c>
      <c r="G289" s="5">
        <v>135.3</v>
      </c>
      <c r="H289" s="6">
        <v>0.999903013060908</v>
      </c>
      <c r="I289" s="6">
        <v>1.0</v>
      </c>
      <c r="J289" s="6">
        <v>1.0</v>
      </c>
      <c r="K289" s="5">
        <f t="shared" si="17"/>
        <v>162147410</v>
      </c>
      <c r="L289" s="5">
        <f t="shared" ref="L289:M289" si="292">L288+F289</f>
        <v>31643.669</v>
      </c>
      <c r="M289" s="5">
        <f t="shared" si="292"/>
        <v>35065.24</v>
      </c>
      <c r="N289" s="6">
        <f t="shared" si="3"/>
        <v>0.2290833333</v>
      </c>
      <c r="O289" s="6">
        <f t="shared" si="4"/>
        <v>0.2439040463</v>
      </c>
    </row>
    <row r="290">
      <c r="A290" s="4">
        <v>45762.0</v>
      </c>
      <c r="B290" s="5">
        <v>278.0</v>
      </c>
      <c r="C290" s="5">
        <v>621299.999999988</v>
      </c>
      <c r="D290" s="5">
        <v>5.235</v>
      </c>
      <c r="E290" s="5">
        <v>92.85</v>
      </c>
      <c r="F290" s="5">
        <v>121.22</v>
      </c>
      <c r="G290" s="5">
        <v>132.46</v>
      </c>
      <c r="H290" s="6">
        <v>0.999651810584958</v>
      </c>
      <c r="I290" s="6">
        <v>1.0</v>
      </c>
      <c r="J290" s="6">
        <v>1.0</v>
      </c>
      <c r="K290" s="5">
        <f t="shared" si="17"/>
        <v>162768710</v>
      </c>
      <c r="L290" s="5">
        <f t="shared" ref="L290:M290" si="293">L289+F290</f>
        <v>31764.889</v>
      </c>
      <c r="M290" s="5">
        <f t="shared" si="293"/>
        <v>35197.7</v>
      </c>
      <c r="N290" s="6">
        <f t="shared" si="3"/>
        <v>0.258875</v>
      </c>
      <c r="O290" s="6">
        <f t="shared" si="4"/>
        <v>0.2439578987</v>
      </c>
    </row>
    <row r="291">
      <c r="A291" s="4">
        <v>45763.0</v>
      </c>
      <c r="B291" s="5">
        <v>279.0</v>
      </c>
      <c r="C291" s="5">
        <v>838300.000000017</v>
      </c>
      <c r="D291" s="5">
        <v>6.905</v>
      </c>
      <c r="E291" s="5">
        <v>93.72</v>
      </c>
      <c r="F291" s="5">
        <v>121.39</v>
      </c>
      <c r="G291" s="5">
        <v>134.26</v>
      </c>
      <c r="H291" s="6">
        <v>1.0</v>
      </c>
      <c r="I291" s="6">
        <v>1.0</v>
      </c>
      <c r="J291" s="6">
        <v>1.0</v>
      </c>
      <c r="K291" s="5">
        <f t="shared" si="17"/>
        <v>163607010</v>
      </c>
      <c r="L291" s="5">
        <f t="shared" ref="L291:M291" si="294">L290+F291</f>
        <v>31886.279</v>
      </c>
      <c r="M291" s="5">
        <f t="shared" si="294"/>
        <v>35331.96</v>
      </c>
      <c r="N291" s="6">
        <f t="shared" si="3"/>
        <v>0.3492916667</v>
      </c>
      <c r="O291" s="6">
        <f t="shared" si="4"/>
        <v>0.2443354391</v>
      </c>
    </row>
    <row r="292">
      <c r="A292" s="4">
        <v>45764.0</v>
      </c>
      <c r="B292" s="5">
        <v>280.0</v>
      </c>
      <c r="C292" s="5">
        <v>801500.0</v>
      </c>
      <c r="D292" s="5">
        <v>6.61</v>
      </c>
      <c r="E292" s="5">
        <v>92.97</v>
      </c>
      <c r="F292" s="5">
        <v>121.05</v>
      </c>
      <c r="G292" s="5">
        <v>134.13</v>
      </c>
      <c r="H292" s="6">
        <v>0.999509866598474</v>
      </c>
      <c r="I292" s="6">
        <v>1.0</v>
      </c>
      <c r="J292" s="6">
        <v>1.0</v>
      </c>
      <c r="K292" s="5">
        <f t="shared" si="17"/>
        <v>164408510</v>
      </c>
      <c r="L292" s="5">
        <f t="shared" ref="L292:M292" si="295">L291+F292</f>
        <v>32007.329</v>
      </c>
      <c r="M292" s="5">
        <f t="shared" si="295"/>
        <v>35466.09</v>
      </c>
      <c r="N292" s="6">
        <f t="shared" si="3"/>
        <v>0.3339583333</v>
      </c>
      <c r="O292" s="6">
        <f t="shared" si="4"/>
        <v>0.2446555208</v>
      </c>
    </row>
    <row r="293">
      <c r="A293" s="4">
        <v>45765.0</v>
      </c>
      <c r="B293" s="5">
        <v>281.0</v>
      </c>
      <c r="C293" s="5">
        <v>793100.000000006</v>
      </c>
      <c r="D293" s="5">
        <v>6.58</v>
      </c>
      <c r="E293" s="5">
        <v>88.48</v>
      </c>
      <c r="F293" s="5">
        <v>121.09</v>
      </c>
      <c r="G293" s="5">
        <v>134.49</v>
      </c>
      <c r="H293" s="6">
        <v>1.0</v>
      </c>
      <c r="I293" s="6">
        <v>1.0</v>
      </c>
      <c r="J293" s="6">
        <v>1.0</v>
      </c>
      <c r="K293" s="5">
        <f t="shared" si="17"/>
        <v>165201610</v>
      </c>
      <c r="L293" s="5">
        <f t="shared" ref="L293:M293" si="296">L292+F293</f>
        <v>32128.419</v>
      </c>
      <c r="M293" s="5">
        <f t="shared" si="296"/>
        <v>35600.58</v>
      </c>
      <c r="N293" s="6">
        <f t="shared" si="3"/>
        <v>0.3304583333</v>
      </c>
      <c r="O293" s="6">
        <f t="shared" si="4"/>
        <v>0.2449608689</v>
      </c>
    </row>
    <row r="294">
      <c r="A294" s="4">
        <v>45766.0</v>
      </c>
      <c r="B294" s="5">
        <v>282.0</v>
      </c>
      <c r="C294" s="5">
        <v>745500.0</v>
      </c>
      <c r="D294" s="5">
        <v>6.24</v>
      </c>
      <c r="E294" s="5">
        <v>89.41</v>
      </c>
      <c r="F294" s="5">
        <v>121.14</v>
      </c>
      <c r="G294" s="5">
        <v>133.67</v>
      </c>
      <c r="H294" s="6">
        <v>1.0</v>
      </c>
      <c r="I294" s="6">
        <v>1.0</v>
      </c>
      <c r="J294" s="6">
        <v>1.0</v>
      </c>
      <c r="K294" s="5">
        <f t="shared" si="17"/>
        <v>165947110</v>
      </c>
      <c r="L294" s="5">
        <f t="shared" ref="L294:M294" si="297">L293+F294</f>
        <v>32249.559</v>
      </c>
      <c r="M294" s="5">
        <f t="shared" si="297"/>
        <v>35734.25</v>
      </c>
      <c r="N294" s="6">
        <f t="shared" si="3"/>
        <v>0.310625</v>
      </c>
      <c r="O294" s="6">
        <f t="shared" si="4"/>
        <v>0.2451937204</v>
      </c>
    </row>
    <row r="295">
      <c r="A295" s="4">
        <v>45767.0</v>
      </c>
      <c r="B295" s="5">
        <v>283.0</v>
      </c>
      <c r="C295" s="5">
        <v>793500.0</v>
      </c>
      <c r="D295" s="5">
        <v>6.725</v>
      </c>
      <c r="E295" s="5">
        <v>90.51</v>
      </c>
      <c r="F295" s="5">
        <v>121.07</v>
      </c>
      <c r="G295" s="5">
        <v>134.89</v>
      </c>
      <c r="H295" s="6">
        <v>1.0</v>
      </c>
      <c r="I295" s="6">
        <v>1.0</v>
      </c>
      <c r="J295" s="6">
        <v>1.0</v>
      </c>
      <c r="K295" s="5">
        <f t="shared" si="17"/>
        <v>166740610</v>
      </c>
      <c r="L295" s="5">
        <f t="shared" ref="L295:M295" si="298">L294+F295</f>
        <v>32370.629</v>
      </c>
      <c r="M295" s="5">
        <f t="shared" si="298"/>
        <v>35869.14</v>
      </c>
      <c r="N295" s="6">
        <f t="shared" si="3"/>
        <v>0.330625</v>
      </c>
      <c r="O295" s="6">
        <f t="shared" si="4"/>
        <v>0.2454955978</v>
      </c>
    </row>
    <row r="296">
      <c r="A296" s="4">
        <v>45768.0</v>
      </c>
      <c r="B296" s="5">
        <v>284.0</v>
      </c>
      <c r="C296" s="5">
        <v>800899.999999994</v>
      </c>
      <c r="D296" s="5">
        <v>6.745</v>
      </c>
      <c r="E296" s="5">
        <v>91.36</v>
      </c>
      <c r="F296" s="5">
        <v>121.1</v>
      </c>
      <c r="G296" s="5">
        <v>134.67</v>
      </c>
      <c r="H296" s="6">
        <v>1.0</v>
      </c>
      <c r="I296" s="6">
        <v>1.0</v>
      </c>
      <c r="J296" s="6">
        <v>1.0</v>
      </c>
      <c r="K296" s="5">
        <f t="shared" si="17"/>
        <v>167541510</v>
      </c>
      <c r="L296" s="5">
        <f t="shared" ref="L296:M296" si="299">L295+F296</f>
        <v>32491.729</v>
      </c>
      <c r="M296" s="5">
        <f t="shared" si="299"/>
        <v>36003.81</v>
      </c>
      <c r="N296" s="6">
        <f t="shared" si="3"/>
        <v>0.3337083333</v>
      </c>
      <c r="O296" s="6">
        <f t="shared" si="4"/>
        <v>0.245806206</v>
      </c>
    </row>
    <row r="297">
      <c r="A297" s="4">
        <v>45769.0</v>
      </c>
      <c r="B297" s="5">
        <v>285.0</v>
      </c>
      <c r="C297" s="5">
        <v>703100.000000006</v>
      </c>
      <c r="D297" s="5">
        <v>7.015</v>
      </c>
      <c r="E297" s="5">
        <v>90.09</v>
      </c>
      <c r="F297" s="5">
        <v>120.79</v>
      </c>
      <c r="G297" s="5">
        <v>132.33</v>
      </c>
      <c r="H297" s="6">
        <v>1.0</v>
      </c>
      <c r="I297" s="6">
        <v>0.941958041958042</v>
      </c>
      <c r="J297" s="6">
        <v>1.0</v>
      </c>
      <c r="K297" s="5">
        <f t="shared" si="17"/>
        <v>168244610</v>
      </c>
      <c r="L297" s="5">
        <f t="shared" ref="L297:M297" si="300">L296+F297</f>
        <v>32612.519</v>
      </c>
      <c r="M297" s="5">
        <f t="shared" si="300"/>
        <v>36136.14</v>
      </c>
      <c r="N297" s="6">
        <f t="shared" si="3"/>
        <v>0.2929583333</v>
      </c>
      <c r="O297" s="6">
        <f t="shared" si="4"/>
        <v>0.245971652</v>
      </c>
    </row>
    <row r="298">
      <c r="A298" s="4">
        <v>45770.0</v>
      </c>
      <c r="B298" s="5">
        <v>286.0</v>
      </c>
      <c r="C298" s="5">
        <v>777399.999999994</v>
      </c>
      <c r="D298" s="5">
        <v>6.58</v>
      </c>
      <c r="E298" s="5">
        <v>89.7</v>
      </c>
      <c r="F298" s="5">
        <v>120.88</v>
      </c>
      <c r="G298" s="5">
        <v>134.26</v>
      </c>
      <c r="H298" s="6">
        <v>0.999361031051172</v>
      </c>
      <c r="I298" s="6">
        <v>1.0</v>
      </c>
      <c r="J298" s="6">
        <v>1.0</v>
      </c>
      <c r="K298" s="5">
        <f t="shared" si="17"/>
        <v>169022010</v>
      </c>
      <c r="L298" s="5">
        <f t="shared" ref="L298:M298" si="301">L297+F298</f>
        <v>32733.399</v>
      </c>
      <c r="M298" s="5">
        <f t="shared" si="301"/>
        <v>36270.4</v>
      </c>
      <c r="N298" s="6">
        <f t="shared" si="3"/>
        <v>0.3239166667</v>
      </c>
      <c r="O298" s="6">
        <f t="shared" si="4"/>
        <v>0.2462441871</v>
      </c>
    </row>
    <row r="299">
      <c r="A299" s="4">
        <v>45771.0</v>
      </c>
      <c r="B299" s="5">
        <v>287.0</v>
      </c>
      <c r="C299" s="5">
        <v>806999.999999971</v>
      </c>
      <c r="D299" s="5">
        <v>6.795</v>
      </c>
      <c r="E299" s="5">
        <v>90.58</v>
      </c>
      <c r="F299" s="5">
        <v>120.96</v>
      </c>
      <c r="G299" s="5">
        <v>136.13</v>
      </c>
      <c r="H299" s="6">
        <v>1.0</v>
      </c>
      <c r="I299" s="6">
        <v>1.0</v>
      </c>
      <c r="J299" s="6">
        <v>1.0</v>
      </c>
      <c r="K299" s="5">
        <f t="shared" si="17"/>
        <v>169829010</v>
      </c>
      <c r="L299" s="5">
        <f t="shared" ref="L299:M299" si="302">L298+F299</f>
        <v>32854.359</v>
      </c>
      <c r="M299" s="5">
        <f t="shared" si="302"/>
        <v>36406.53</v>
      </c>
      <c r="N299" s="6">
        <f t="shared" si="3"/>
        <v>0.33625</v>
      </c>
      <c r="O299" s="6">
        <f t="shared" si="4"/>
        <v>0.2465577962</v>
      </c>
    </row>
    <row r="300">
      <c r="A300" s="4">
        <v>45772.0</v>
      </c>
      <c r="B300" s="5">
        <v>288.0</v>
      </c>
      <c r="C300" s="5">
        <v>776900.000000023</v>
      </c>
      <c r="D300" s="5">
        <v>6.67</v>
      </c>
      <c r="E300" s="5">
        <v>90.27</v>
      </c>
      <c r="F300" s="5">
        <v>120.78</v>
      </c>
      <c r="G300" s="5">
        <v>135.22</v>
      </c>
      <c r="H300" s="6">
        <v>1.0</v>
      </c>
      <c r="I300" s="6">
        <v>1.0</v>
      </c>
      <c r="J300" s="6">
        <v>1.0</v>
      </c>
      <c r="K300" s="5">
        <f t="shared" si="17"/>
        <v>170605910</v>
      </c>
      <c r="L300" s="5">
        <f t="shared" ref="L300:M300" si="303">L299+F300</f>
        <v>32975.139</v>
      </c>
      <c r="M300" s="5">
        <f t="shared" si="303"/>
        <v>36541.75</v>
      </c>
      <c r="N300" s="6">
        <f t="shared" si="3"/>
        <v>0.3237083333</v>
      </c>
      <c r="O300" s="6">
        <f t="shared" si="4"/>
        <v>0.24682568</v>
      </c>
    </row>
    <row r="301">
      <c r="A301" s="4">
        <v>45773.0</v>
      </c>
      <c r="B301" s="5">
        <v>289.0</v>
      </c>
      <c r="C301" s="5">
        <v>769799.999999988</v>
      </c>
      <c r="D301" s="5">
        <v>6.4</v>
      </c>
      <c r="E301" s="5">
        <v>91.62</v>
      </c>
      <c r="F301" s="5">
        <v>121.17</v>
      </c>
      <c r="G301" s="5">
        <v>133.88</v>
      </c>
      <c r="H301" s="6">
        <v>0.999788386659895</v>
      </c>
      <c r="I301" s="6">
        <v>1.0</v>
      </c>
      <c r="J301" s="6">
        <v>1.0</v>
      </c>
      <c r="K301" s="5">
        <f t="shared" si="17"/>
        <v>171375710</v>
      </c>
      <c r="L301" s="5">
        <f t="shared" ref="L301:M301" si="304">L300+F301</f>
        <v>33096.309</v>
      </c>
      <c r="M301" s="5">
        <f t="shared" si="304"/>
        <v>36675.63</v>
      </c>
      <c r="N301" s="6">
        <f t="shared" si="3"/>
        <v>0.32075</v>
      </c>
      <c r="O301" s="6">
        <f t="shared" si="4"/>
        <v>0.2470814735</v>
      </c>
    </row>
    <row r="302">
      <c r="A302" s="4">
        <v>45774.0</v>
      </c>
      <c r="B302" s="5">
        <v>290.0</v>
      </c>
      <c r="C302" s="5">
        <v>709299.999999988</v>
      </c>
      <c r="D302" s="5">
        <v>5.85</v>
      </c>
      <c r="E302" s="5">
        <v>90.76</v>
      </c>
      <c r="F302" s="5">
        <v>120.65</v>
      </c>
      <c r="G302" s="5">
        <v>134.69</v>
      </c>
      <c r="H302" s="6">
        <v>0.999616131508829</v>
      </c>
      <c r="I302" s="6">
        <v>1.0</v>
      </c>
      <c r="J302" s="6">
        <v>1.0</v>
      </c>
      <c r="K302" s="5">
        <f t="shared" si="17"/>
        <v>172085010</v>
      </c>
      <c r="L302" s="5">
        <f t="shared" ref="L302:M302" si="305">L301+F302</f>
        <v>33216.959</v>
      </c>
      <c r="M302" s="5">
        <f t="shared" si="305"/>
        <v>36810.32</v>
      </c>
      <c r="N302" s="6">
        <f t="shared" si="3"/>
        <v>0.2955416667</v>
      </c>
      <c r="O302" s="6">
        <f t="shared" si="4"/>
        <v>0.2472485776</v>
      </c>
    </row>
    <row r="303">
      <c r="A303" s="4">
        <v>45775.0</v>
      </c>
      <c r="B303" s="5">
        <v>291.0</v>
      </c>
      <c r="C303" s="5">
        <v>819300.000000017</v>
      </c>
      <c r="D303" s="5">
        <v>6.665</v>
      </c>
      <c r="E303" s="5">
        <v>90.19</v>
      </c>
      <c r="F303" s="5">
        <v>121.0</v>
      </c>
      <c r="G303" s="5">
        <v>133.42</v>
      </c>
      <c r="H303" s="6">
        <v>1.0</v>
      </c>
      <c r="I303" s="6">
        <v>1.0</v>
      </c>
      <c r="J303" s="6">
        <v>1.0</v>
      </c>
      <c r="K303" s="5">
        <f t="shared" si="17"/>
        <v>172904310</v>
      </c>
      <c r="L303" s="5">
        <f t="shared" ref="L303:M303" si="306">L302+F303</f>
        <v>33337.959</v>
      </c>
      <c r="M303" s="5">
        <f t="shared" si="306"/>
        <v>36943.74</v>
      </c>
      <c r="N303" s="6">
        <f t="shared" si="3"/>
        <v>0.341375</v>
      </c>
      <c r="O303" s="6">
        <f t="shared" si="4"/>
        <v>0.2475720361</v>
      </c>
    </row>
    <row r="304">
      <c r="A304" s="4">
        <v>45776.0</v>
      </c>
      <c r="B304" s="5">
        <v>292.0</v>
      </c>
      <c r="C304" s="5">
        <v>680600.000000006</v>
      </c>
      <c r="D304" s="5">
        <v>5.635</v>
      </c>
      <c r="E304" s="5">
        <v>96.52</v>
      </c>
      <c r="F304" s="5">
        <v>120.53</v>
      </c>
      <c r="G304" s="5">
        <v>134.65</v>
      </c>
      <c r="H304" s="6">
        <v>1.0</v>
      </c>
      <c r="I304" s="6">
        <v>1.0</v>
      </c>
      <c r="J304" s="6">
        <v>1.0</v>
      </c>
      <c r="K304" s="5">
        <f t="shared" si="17"/>
        <v>173584910</v>
      </c>
      <c r="L304" s="5">
        <f t="shared" ref="L304:M304" si="307">L303+F304</f>
        <v>33458.489</v>
      </c>
      <c r="M304" s="5">
        <f t="shared" si="307"/>
        <v>37078.39</v>
      </c>
      <c r="N304" s="6">
        <f t="shared" si="3"/>
        <v>0.2835833333</v>
      </c>
      <c r="O304" s="6">
        <f t="shared" si="4"/>
        <v>0.2476953624</v>
      </c>
    </row>
    <row r="305">
      <c r="A305" s="4">
        <v>45777.0</v>
      </c>
      <c r="B305" s="5">
        <v>293.0</v>
      </c>
      <c r="C305" s="5">
        <v>814000.0</v>
      </c>
      <c r="D305" s="5">
        <v>6.825</v>
      </c>
      <c r="E305" s="5">
        <v>90.24</v>
      </c>
      <c r="F305" s="5">
        <v>120.42</v>
      </c>
      <c r="G305" s="5">
        <v>133.28</v>
      </c>
      <c r="H305" s="6">
        <v>0.999067437864118</v>
      </c>
      <c r="I305" s="6">
        <v>1.0</v>
      </c>
      <c r="J305" s="6">
        <v>1.0</v>
      </c>
      <c r="K305" s="5">
        <f t="shared" si="17"/>
        <v>174398910</v>
      </c>
      <c r="L305" s="5">
        <f t="shared" ref="L305:M305" si="308">L304+F305</f>
        <v>33578.909</v>
      </c>
      <c r="M305" s="5">
        <f t="shared" si="308"/>
        <v>37211.67</v>
      </c>
      <c r="N305" s="6">
        <f t="shared" si="3"/>
        <v>0.3391666667</v>
      </c>
      <c r="O305" s="6">
        <f t="shared" si="4"/>
        <v>0.2480075512</v>
      </c>
    </row>
    <row r="306">
      <c r="A306" s="4">
        <v>45778.0</v>
      </c>
      <c r="B306" s="5">
        <v>294.0</v>
      </c>
      <c r="C306" s="5">
        <v>766500.0</v>
      </c>
      <c r="D306" s="5">
        <v>6.4</v>
      </c>
      <c r="E306" s="5">
        <v>90.16</v>
      </c>
      <c r="F306" s="5">
        <v>120.4</v>
      </c>
      <c r="G306" s="5">
        <v>133.31</v>
      </c>
      <c r="H306" s="6">
        <v>0.998538011695906</v>
      </c>
      <c r="I306" s="6">
        <v>1.0</v>
      </c>
      <c r="J306" s="6">
        <v>1.0</v>
      </c>
      <c r="K306" s="5">
        <f t="shared" si="17"/>
        <v>175165410</v>
      </c>
      <c r="L306" s="5">
        <f t="shared" ref="L306:M306" si="309">L305+F306</f>
        <v>33699.309</v>
      </c>
      <c r="M306" s="5">
        <f t="shared" si="309"/>
        <v>37344.98</v>
      </c>
      <c r="N306" s="6">
        <f t="shared" si="3"/>
        <v>0.319375</v>
      </c>
      <c r="O306" s="6">
        <f t="shared" si="4"/>
        <v>0.2482502976</v>
      </c>
    </row>
    <row r="307">
      <c r="A307" s="4">
        <v>45779.0</v>
      </c>
      <c r="B307" s="5">
        <v>295.0</v>
      </c>
      <c r="C307" s="5">
        <v>798099.999999977</v>
      </c>
      <c r="D307" s="5">
        <v>6.605</v>
      </c>
      <c r="E307" s="5">
        <v>90.27</v>
      </c>
      <c r="F307" s="5">
        <v>121.03</v>
      </c>
      <c r="G307" s="5">
        <v>133.45</v>
      </c>
      <c r="H307" s="6">
        <v>1.0</v>
      </c>
      <c r="I307" s="6">
        <v>1.0</v>
      </c>
      <c r="J307" s="6">
        <v>1.0</v>
      </c>
      <c r="K307" s="5">
        <f t="shared" si="17"/>
        <v>175963510</v>
      </c>
      <c r="L307" s="5">
        <f t="shared" ref="L307:M307" si="310">L306+F307</f>
        <v>33820.339</v>
      </c>
      <c r="M307" s="5">
        <f t="shared" si="310"/>
        <v>37478.43</v>
      </c>
      <c r="N307" s="6">
        <f t="shared" si="3"/>
        <v>0.3325416667</v>
      </c>
      <c r="O307" s="6">
        <f t="shared" si="4"/>
        <v>0.2485360311</v>
      </c>
    </row>
    <row r="308">
      <c r="A308" s="4">
        <v>45780.0</v>
      </c>
      <c r="B308" s="5">
        <v>296.0</v>
      </c>
      <c r="C308" s="5">
        <v>708700.000000041</v>
      </c>
      <c r="D308" s="5">
        <v>5.885</v>
      </c>
      <c r="E308" s="5">
        <v>90.22</v>
      </c>
      <c r="F308" s="5">
        <v>120.43</v>
      </c>
      <c r="G308" s="5">
        <v>133.57</v>
      </c>
      <c r="H308" s="6">
        <v>1.0</v>
      </c>
      <c r="I308" s="6">
        <v>1.0</v>
      </c>
      <c r="J308" s="6">
        <v>1.0</v>
      </c>
      <c r="K308" s="5">
        <f t="shared" si="17"/>
        <v>176672210</v>
      </c>
      <c r="L308" s="5">
        <f t="shared" ref="L308:M308" si="311">L307+F308</f>
        <v>33940.769</v>
      </c>
      <c r="M308" s="5">
        <f t="shared" si="311"/>
        <v>37612</v>
      </c>
      <c r="N308" s="6">
        <f t="shared" si="3"/>
        <v>0.2952916667</v>
      </c>
      <c r="O308" s="6">
        <f t="shared" si="4"/>
        <v>0.2486939893</v>
      </c>
    </row>
    <row r="309">
      <c r="A309" s="4">
        <v>45781.0</v>
      </c>
      <c r="B309" s="5">
        <v>297.0</v>
      </c>
      <c r="C309" s="5">
        <v>840499.999999971</v>
      </c>
      <c r="D309" s="5">
        <v>7.095</v>
      </c>
      <c r="E309" s="5">
        <v>90.12</v>
      </c>
      <c r="F309" s="5">
        <v>120.91</v>
      </c>
      <c r="G309" s="5">
        <v>133.75</v>
      </c>
      <c r="H309" s="6">
        <v>0.999465743471385</v>
      </c>
      <c r="I309" s="6">
        <v>1.0</v>
      </c>
      <c r="J309" s="6">
        <v>1.0</v>
      </c>
      <c r="K309" s="5">
        <f t="shared" si="17"/>
        <v>177512710</v>
      </c>
      <c r="L309" s="5">
        <f t="shared" ref="L309:M309" si="312">L308+F309</f>
        <v>34061.679</v>
      </c>
      <c r="M309" s="5">
        <f t="shared" si="312"/>
        <v>37745.75</v>
      </c>
      <c r="N309" s="6">
        <f t="shared" si="3"/>
        <v>0.3502083333</v>
      </c>
      <c r="O309" s="6">
        <f t="shared" si="4"/>
        <v>0.2490357884</v>
      </c>
    </row>
    <row r="310">
      <c r="A310" s="4">
        <v>45782.0</v>
      </c>
      <c r="B310" s="5">
        <v>298.0</v>
      </c>
      <c r="C310" s="5">
        <v>693000.0</v>
      </c>
      <c r="D310" s="5">
        <v>5.875</v>
      </c>
      <c r="E310" s="5">
        <v>86.49</v>
      </c>
      <c r="F310" s="5">
        <v>121.31</v>
      </c>
      <c r="G310" s="5">
        <v>133.58</v>
      </c>
      <c r="H310" s="6">
        <v>1.0</v>
      </c>
      <c r="I310" s="6">
        <v>1.0</v>
      </c>
      <c r="J310" s="6">
        <v>1.0</v>
      </c>
      <c r="K310" s="5">
        <f t="shared" si="17"/>
        <v>178205710</v>
      </c>
      <c r="L310" s="5">
        <f t="shared" ref="L310:M310" si="313">L309+F310</f>
        <v>34182.989</v>
      </c>
      <c r="M310" s="5">
        <f t="shared" si="313"/>
        <v>37879.33</v>
      </c>
      <c r="N310" s="6">
        <f t="shared" si="3"/>
        <v>0.28875</v>
      </c>
      <c r="O310" s="6">
        <f t="shared" si="4"/>
        <v>0.2491690576</v>
      </c>
    </row>
    <row r="311">
      <c r="A311" s="4">
        <v>45783.0</v>
      </c>
      <c r="B311" s="5">
        <v>299.0</v>
      </c>
      <c r="C311" s="5">
        <v>838300.000000017</v>
      </c>
      <c r="D311" s="5">
        <v>7.135</v>
      </c>
      <c r="E311" s="5">
        <v>92.45</v>
      </c>
      <c r="F311" s="5">
        <v>120.78</v>
      </c>
      <c r="G311" s="5">
        <v>130.61</v>
      </c>
      <c r="H311" s="6">
        <v>0.99979726845924</v>
      </c>
      <c r="I311" s="6">
        <v>1.0</v>
      </c>
      <c r="J311" s="6">
        <v>1.0</v>
      </c>
      <c r="K311" s="5">
        <f t="shared" si="17"/>
        <v>179044010</v>
      </c>
      <c r="L311" s="5">
        <f t="shared" ref="L311:M311" si="314">L310+F311</f>
        <v>34303.769</v>
      </c>
      <c r="M311" s="5">
        <f t="shared" si="314"/>
        <v>38009.94</v>
      </c>
      <c r="N311" s="6">
        <f t="shared" si="3"/>
        <v>0.3492916667</v>
      </c>
      <c r="O311" s="6">
        <f t="shared" si="4"/>
        <v>0.2495039158</v>
      </c>
    </row>
    <row r="312">
      <c r="A312" s="4">
        <v>45784.0</v>
      </c>
      <c r="B312" s="5">
        <v>300.0</v>
      </c>
      <c r="C312" s="5">
        <v>836000.0</v>
      </c>
      <c r="D312" s="5">
        <v>7.24</v>
      </c>
      <c r="E312" s="5">
        <v>91.19</v>
      </c>
      <c r="F312" s="5">
        <v>120.7</v>
      </c>
      <c r="G312" s="5">
        <v>134.38</v>
      </c>
      <c r="H312" s="6">
        <v>0.999789854158786</v>
      </c>
      <c r="I312" s="6">
        <v>1.0</v>
      </c>
      <c r="J312" s="6">
        <v>1.0</v>
      </c>
      <c r="K312" s="5">
        <f t="shared" si="17"/>
        <v>179880010</v>
      </c>
      <c r="L312" s="5">
        <f t="shared" ref="L312:M312" si="315">L311+F312</f>
        <v>34424.469</v>
      </c>
      <c r="M312" s="5">
        <f t="shared" si="315"/>
        <v>38144.32</v>
      </c>
      <c r="N312" s="6">
        <f t="shared" si="3"/>
        <v>0.3483333333</v>
      </c>
      <c r="O312" s="6">
        <f t="shared" si="4"/>
        <v>0.2498333472</v>
      </c>
    </row>
    <row r="313">
      <c r="A313" s="4">
        <v>45785.0</v>
      </c>
      <c r="B313" s="5">
        <v>301.0</v>
      </c>
      <c r="C313" s="5">
        <v>783899.999999994</v>
      </c>
      <c r="D313" s="5">
        <v>6.55</v>
      </c>
      <c r="E313" s="5">
        <v>90.08</v>
      </c>
      <c r="F313" s="5">
        <v>120.96</v>
      </c>
      <c r="G313" s="5">
        <v>134.44</v>
      </c>
      <c r="H313" s="6">
        <v>0.999864532533033</v>
      </c>
      <c r="I313" s="6">
        <v>1.0</v>
      </c>
      <c r="J313" s="6">
        <v>1.0</v>
      </c>
      <c r="K313" s="5">
        <f t="shared" si="17"/>
        <v>180663910</v>
      </c>
      <c r="L313" s="5">
        <f t="shared" ref="L313:M313" si="316">L312+F313</f>
        <v>34545.429</v>
      </c>
      <c r="M313" s="5">
        <f t="shared" si="316"/>
        <v>38278.76</v>
      </c>
      <c r="N313" s="6">
        <f t="shared" si="3"/>
        <v>0.326625</v>
      </c>
      <c r="O313" s="6">
        <f t="shared" si="4"/>
        <v>0.250088469</v>
      </c>
    </row>
    <row r="314">
      <c r="A314" s="4">
        <v>45786.0</v>
      </c>
      <c r="B314" s="5">
        <v>302.0</v>
      </c>
      <c r="C314" s="5">
        <v>824100.000000006</v>
      </c>
      <c r="D314" s="5">
        <v>7.1</v>
      </c>
      <c r="E314" s="5">
        <v>90.05</v>
      </c>
      <c r="F314" s="5">
        <v>120.71</v>
      </c>
      <c r="G314" s="5">
        <v>134.25</v>
      </c>
      <c r="H314" s="6">
        <v>1.0</v>
      </c>
      <c r="I314" s="6">
        <v>1.0</v>
      </c>
      <c r="J314" s="6">
        <v>1.0</v>
      </c>
      <c r="K314" s="5">
        <f t="shared" si="17"/>
        <v>181488010</v>
      </c>
      <c r="L314" s="5">
        <f t="shared" ref="L314:M314" si="317">L313+F314</f>
        <v>34666.139</v>
      </c>
      <c r="M314" s="5">
        <f t="shared" si="317"/>
        <v>38413.01</v>
      </c>
      <c r="N314" s="6">
        <f t="shared" si="3"/>
        <v>0.343375</v>
      </c>
      <c r="O314" s="6">
        <f t="shared" si="4"/>
        <v>0.2503973648</v>
      </c>
    </row>
    <row r="315">
      <c r="A315" s="4">
        <v>45787.0</v>
      </c>
      <c r="B315" s="5">
        <v>303.0</v>
      </c>
      <c r="C315" s="5">
        <v>738500.0</v>
      </c>
      <c r="D315" s="5">
        <v>6.235</v>
      </c>
      <c r="E315" s="5">
        <v>90.36</v>
      </c>
      <c r="F315" s="5">
        <v>120.58</v>
      </c>
      <c r="G315" s="5">
        <v>134.98</v>
      </c>
      <c r="H315" s="6">
        <v>0.999430783242259</v>
      </c>
      <c r="I315" s="6">
        <v>1.0</v>
      </c>
      <c r="J315" s="6">
        <v>1.0</v>
      </c>
      <c r="K315" s="5">
        <f t="shared" si="17"/>
        <v>182226510</v>
      </c>
      <c r="L315" s="5">
        <f t="shared" ref="L315:M315" si="318">L314+F315</f>
        <v>34786.719</v>
      </c>
      <c r="M315" s="5">
        <f t="shared" si="318"/>
        <v>38547.99</v>
      </c>
      <c r="N315" s="6">
        <f t="shared" si="3"/>
        <v>0.3077083333</v>
      </c>
      <c r="O315" s="6">
        <f t="shared" si="4"/>
        <v>0.2505865099</v>
      </c>
    </row>
    <row r="316">
      <c r="A316" s="4">
        <v>45788.0</v>
      </c>
      <c r="B316" s="5">
        <v>304.0</v>
      </c>
      <c r="C316" s="5">
        <v>761199.999999983</v>
      </c>
      <c r="D316" s="5">
        <v>6.585</v>
      </c>
      <c r="E316" s="5">
        <v>90.13</v>
      </c>
      <c r="F316" s="5">
        <v>120.77</v>
      </c>
      <c r="G316" s="5">
        <v>133.33</v>
      </c>
      <c r="H316" s="6">
        <v>0.993893856598775</v>
      </c>
      <c r="I316" s="6">
        <v>1.0</v>
      </c>
      <c r="J316" s="6">
        <v>1.0</v>
      </c>
      <c r="K316" s="5">
        <f t="shared" si="17"/>
        <v>182987710</v>
      </c>
      <c r="L316" s="5">
        <f t="shared" ref="L316:M316" si="319">L315+F316</f>
        <v>34907.489</v>
      </c>
      <c r="M316" s="5">
        <f t="shared" si="319"/>
        <v>38681.32</v>
      </c>
      <c r="N316" s="6">
        <f t="shared" si="3"/>
        <v>0.3171666667</v>
      </c>
      <c r="O316" s="6">
        <f t="shared" si="4"/>
        <v>0.2508055236</v>
      </c>
    </row>
    <row r="317">
      <c r="A317" s="4">
        <v>45789.0</v>
      </c>
      <c r="B317" s="5">
        <v>305.0</v>
      </c>
      <c r="C317" s="5">
        <v>759500.0</v>
      </c>
      <c r="D317" s="5">
        <v>6.36</v>
      </c>
      <c r="E317" s="5">
        <v>93.49</v>
      </c>
      <c r="F317" s="5">
        <v>120.69</v>
      </c>
      <c r="G317" s="5">
        <v>134.27</v>
      </c>
      <c r="H317" s="6">
        <v>0.991982215342871</v>
      </c>
      <c r="I317" s="6">
        <v>1.0</v>
      </c>
      <c r="J317" s="6">
        <v>1.0</v>
      </c>
      <c r="K317" s="5">
        <f t="shared" si="17"/>
        <v>183747210</v>
      </c>
      <c r="L317" s="5">
        <f t="shared" ref="L317:M317" si="320">L316+F317</f>
        <v>35028.179</v>
      </c>
      <c r="M317" s="5">
        <f t="shared" si="320"/>
        <v>38815.59</v>
      </c>
      <c r="N317" s="6">
        <f t="shared" si="3"/>
        <v>0.3164583333</v>
      </c>
      <c r="O317" s="6">
        <f t="shared" si="4"/>
        <v>0.2510207787</v>
      </c>
    </row>
    <row r="318">
      <c r="A318" s="4">
        <v>45790.0</v>
      </c>
      <c r="B318" s="5">
        <v>306.0</v>
      </c>
      <c r="C318" s="5">
        <v>774000.0</v>
      </c>
      <c r="D318" s="5">
        <v>6.735</v>
      </c>
      <c r="E318" s="5">
        <v>90.09</v>
      </c>
      <c r="F318" s="5">
        <v>120.69</v>
      </c>
      <c r="G318" s="5">
        <v>134.18</v>
      </c>
      <c r="H318" s="6">
        <v>0.997538614135253</v>
      </c>
      <c r="I318" s="6">
        <v>1.0</v>
      </c>
      <c r="J318" s="6">
        <v>1.0</v>
      </c>
      <c r="K318" s="5">
        <f t="shared" si="17"/>
        <v>184521210</v>
      </c>
      <c r="L318" s="5">
        <f t="shared" ref="L318:M318" si="321">L317+F318</f>
        <v>35148.869</v>
      </c>
      <c r="M318" s="5">
        <f t="shared" si="321"/>
        <v>38949.77</v>
      </c>
      <c r="N318" s="6">
        <f t="shared" si="3"/>
        <v>0.3225</v>
      </c>
      <c r="O318" s="6">
        <f t="shared" si="4"/>
        <v>0.2512543709</v>
      </c>
    </row>
    <row r="319">
      <c r="A319" s="4">
        <v>45791.0</v>
      </c>
      <c r="B319" s="5">
        <v>307.0</v>
      </c>
      <c r="C319" s="5">
        <v>777800.000000017</v>
      </c>
      <c r="D319" s="5">
        <v>6.6</v>
      </c>
      <c r="E319" s="5">
        <v>90.74</v>
      </c>
      <c r="F319" s="5">
        <v>120.41</v>
      </c>
      <c r="G319" s="5">
        <v>133.36</v>
      </c>
      <c r="H319" s="6">
        <v>0.998640848640849</v>
      </c>
      <c r="I319" s="6">
        <v>1.0</v>
      </c>
      <c r="J319" s="6">
        <v>1.0</v>
      </c>
      <c r="K319" s="5">
        <f t="shared" si="17"/>
        <v>185299010</v>
      </c>
      <c r="L319" s="5">
        <f t="shared" ref="L319:M319" si="322">L318+F319</f>
        <v>35269.279</v>
      </c>
      <c r="M319" s="5">
        <f t="shared" si="322"/>
        <v>39083.13</v>
      </c>
      <c r="N319" s="6">
        <f t="shared" si="3"/>
        <v>0.3240833333</v>
      </c>
      <c r="O319" s="6">
        <f t="shared" si="4"/>
        <v>0.2514915988</v>
      </c>
    </row>
    <row r="320">
      <c r="A320" s="4">
        <v>45792.0</v>
      </c>
      <c r="B320" s="5">
        <v>308.0</v>
      </c>
      <c r="C320" s="5">
        <v>619700.000000012</v>
      </c>
      <c r="D320" s="5">
        <v>5.26</v>
      </c>
      <c r="E320" s="5">
        <v>90.93</v>
      </c>
      <c r="F320" s="5">
        <v>117.16</v>
      </c>
      <c r="G320" s="5">
        <v>123.38</v>
      </c>
      <c r="H320" s="6">
        <v>0.999109463783377</v>
      </c>
      <c r="I320" s="6">
        <v>1.0</v>
      </c>
      <c r="J320" s="6">
        <v>0.999475201864373</v>
      </c>
      <c r="K320" s="5">
        <f t="shared" si="17"/>
        <v>185918710</v>
      </c>
      <c r="L320" s="5">
        <f t="shared" ref="L320:M320" si="323">L319+F320</f>
        <v>35386.439</v>
      </c>
      <c r="M320" s="5">
        <f t="shared" si="323"/>
        <v>39206.51</v>
      </c>
      <c r="N320" s="6">
        <f t="shared" si="3"/>
        <v>0.2582083333</v>
      </c>
      <c r="O320" s="6">
        <f t="shared" si="4"/>
        <v>0.2515134064</v>
      </c>
    </row>
    <row r="321">
      <c r="A321" s="4">
        <v>45793.0</v>
      </c>
      <c r="B321" s="5">
        <v>309.0</v>
      </c>
      <c r="C321" s="5">
        <v>751100.000000006</v>
      </c>
      <c r="D321" s="5">
        <v>6.22</v>
      </c>
      <c r="E321" s="5">
        <v>89.65</v>
      </c>
      <c r="F321" s="5">
        <v>120.59</v>
      </c>
      <c r="G321" s="5">
        <v>135.54</v>
      </c>
      <c r="H321" s="6">
        <v>1.0</v>
      </c>
      <c r="I321" s="6">
        <v>1.0</v>
      </c>
      <c r="J321" s="6">
        <v>1.0</v>
      </c>
      <c r="K321" s="5">
        <f t="shared" si="17"/>
        <v>186669810</v>
      </c>
      <c r="L321" s="5">
        <f t="shared" ref="L321:M321" si="324">L320+F321</f>
        <v>35507.029</v>
      </c>
      <c r="M321" s="5">
        <f t="shared" si="324"/>
        <v>39342.05</v>
      </c>
      <c r="N321" s="6">
        <f t="shared" si="3"/>
        <v>0.3129583333</v>
      </c>
      <c r="O321" s="6">
        <f t="shared" si="4"/>
        <v>0.2517122573</v>
      </c>
    </row>
    <row r="322">
      <c r="A322" s="4">
        <v>45794.0</v>
      </c>
      <c r="B322" s="5">
        <v>310.0</v>
      </c>
      <c r="C322" s="5">
        <v>602299.999999959</v>
      </c>
      <c r="D322" s="5">
        <v>4.88</v>
      </c>
      <c r="E322" s="5">
        <v>89.95</v>
      </c>
      <c r="F322" s="5">
        <v>120.79</v>
      </c>
      <c r="G322" s="5">
        <v>135.67</v>
      </c>
      <c r="H322" s="6">
        <v>0.999688667496887</v>
      </c>
      <c r="I322" s="6">
        <v>1.0</v>
      </c>
      <c r="J322" s="6">
        <v>1.0</v>
      </c>
      <c r="K322" s="5">
        <f t="shared" si="17"/>
        <v>187272110</v>
      </c>
      <c r="L322" s="5">
        <f t="shared" ref="L322:M322" si="325">L321+F322</f>
        <v>35627.819</v>
      </c>
      <c r="M322" s="5">
        <f t="shared" si="325"/>
        <v>39477.72</v>
      </c>
      <c r="N322" s="6">
        <f t="shared" si="3"/>
        <v>0.2509583333</v>
      </c>
      <c r="O322" s="6">
        <f t="shared" si="4"/>
        <v>0.2517098253</v>
      </c>
    </row>
    <row r="323">
      <c r="A323" s="4">
        <v>45795.0</v>
      </c>
      <c r="B323" s="5">
        <v>311.0</v>
      </c>
      <c r="C323" s="5">
        <v>569600.000000006</v>
      </c>
      <c r="D323" s="5">
        <v>4.93</v>
      </c>
      <c r="E323" s="5">
        <v>93.62</v>
      </c>
      <c r="F323" s="5">
        <v>121.24</v>
      </c>
      <c r="G323" s="5">
        <v>135.84</v>
      </c>
      <c r="H323" s="6">
        <v>0.999862834472862</v>
      </c>
      <c r="I323" s="6">
        <v>1.0</v>
      </c>
      <c r="J323" s="6">
        <v>1.0</v>
      </c>
      <c r="K323" s="5">
        <f t="shared" si="17"/>
        <v>187841710</v>
      </c>
      <c r="L323" s="5">
        <f t="shared" ref="L323:M323" si="326">L322+F323</f>
        <v>35749.059</v>
      </c>
      <c r="M323" s="5">
        <f t="shared" si="326"/>
        <v>39613.56</v>
      </c>
      <c r="N323" s="6">
        <f t="shared" si="3"/>
        <v>0.2373333333</v>
      </c>
      <c r="O323" s="6">
        <f t="shared" si="4"/>
        <v>0.2516635986</v>
      </c>
    </row>
    <row r="324">
      <c r="A324" s="4">
        <v>45796.0</v>
      </c>
      <c r="B324" s="5">
        <v>312.0</v>
      </c>
      <c r="C324" s="5">
        <v>773500.0</v>
      </c>
      <c r="D324" s="5">
        <v>6.595</v>
      </c>
      <c r="E324" s="5">
        <v>90.31</v>
      </c>
      <c r="F324" s="5">
        <v>120.78</v>
      </c>
      <c r="G324" s="5">
        <v>134.3</v>
      </c>
      <c r="H324" s="6">
        <v>0.999527798308286</v>
      </c>
      <c r="I324" s="6">
        <v>1.0</v>
      </c>
      <c r="J324" s="6">
        <v>1.0</v>
      </c>
      <c r="K324" s="5">
        <f t="shared" si="17"/>
        <v>188615210</v>
      </c>
      <c r="L324" s="5">
        <f t="shared" ref="L324:M324" si="327">L323+F324</f>
        <v>35869.839</v>
      </c>
      <c r="M324" s="5">
        <f t="shared" si="327"/>
        <v>39747.86</v>
      </c>
      <c r="N324" s="6">
        <f t="shared" si="3"/>
        <v>0.3222916667</v>
      </c>
      <c r="O324" s="6">
        <f t="shared" si="4"/>
        <v>0.2518899706</v>
      </c>
    </row>
    <row r="325">
      <c r="A325" s="4">
        <v>45797.0</v>
      </c>
      <c r="B325" s="5">
        <v>313.0</v>
      </c>
      <c r="C325" s="5">
        <v>663900.000000023</v>
      </c>
      <c r="D325" s="5">
        <v>5.5</v>
      </c>
      <c r="E325" s="5">
        <v>89.48</v>
      </c>
      <c r="F325" s="5">
        <v>120.59</v>
      </c>
      <c r="G325" s="5">
        <v>134.41</v>
      </c>
      <c r="H325" s="6">
        <v>1.0</v>
      </c>
      <c r="I325" s="6">
        <v>1.0</v>
      </c>
      <c r="J325" s="6">
        <v>1.0</v>
      </c>
      <c r="K325" s="5">
        <f t="shared" si="17"/>
        <v>189279110</v>
      </c>
      <c r="L325" s="5">
        <f t="shared" ref="L325:M325" si="328">L324+F325</f>
        <v>35990.429</v>
      </c>
      <c r="M325" s="5">
        <f t="shared" si="328"/>
        <v>39882.27</v>
      </c>
      <c r="N325" s="6">
        <f t="shared" si="3"/>
        <v>0.276625</v>
      </c>
      <c r="O325" s="6">
        <f t="shared" si="4"/>
        <v>0.2519689963</v>
      </c>
    </row>
    <row r="326">
      <c r="A326" s="4">
        <v>45798.0</v>
      </c>
      <c r="B326" s="5">
        <v>314.0</v>
      </c>
      <c r="C326" s="5">
        <v>649100.000000006</v>
      </c>
      <c r="D326" s="5">
        <v>5.63</v>
      </c>
      <c r="E326" s="5">
        <v>91.32</v>
      </c>
      <c r="F326" s="5">
        <v>120.6</v>
      </c>
      <c r="G326" s="5">
        <v>133.49</v>
      </c>
      <c r="H326" s="6">
        <v>0.999702522608282</v>
      </c>
      <c r="I326" s="6">
        <v>1.0</v>
      </c>
      <c r="J326" s="6">
        <v>1.0</v>
      </c>
      <c r="K326" s="5">
        <f t="shared" si="17"/>
        <v>189928210</v>
      </c>
      <c r="L326" s="5">
        <f t="shared" ref="L326:M326" si="329">L325+F326</f>
        <v>36111.029</v>
      </c>
      <c r="M326" s="5">
        <f t="shared" si="329"/>
        <v>40015.76</v>
      </c>
      <c r="N326" s="6">
        <f t="shared" si="3"/>
        <v>0.2704583333</v>
      </c>
      <c r="O326" s="6">
        <f t="shared" si="4"/>
        <v>0.2520278795</v>
      </c>
    </row>
    <row r="327">
      <c r="A327" s="4">
        <v>45799.0</v>
      </c>
      <c r="B327" s="5">
        <v>315.0</v>
      </c>
      <c r="C327" s="5">
        <v>427699.999999983</v>
      </c>
      <c r="D327" s="5">
        <v>3.365</v>
      </c>
      <c r="E327" s="5">
        <v>89.12</v>
      </c>
      <c r="F327" s="5">
        <v>119.2</v>
      </c>
      <c r="G327" s="5">
        <v>125.69</v>
      </c>
      <c r="H327" s="6">
        <v>0.999590783178041</v>
      </c>
      <c r="I327" s="6">
        <v>1.0</v>
      </c>
      <c r="J327" s="6">
        <v>1.0</v>
      </c>
      <c r="K327" s="5">
        <f t="shared" si="17"/>
        <v>190355910</v>
      </c>
      <c r="L327" s="5">
        <f t="shared" ref="L327:M327" si="330">L326+F327</f>
        <v>36230.229</v>
      </c>
      <c r="M327" s="5">
        <f t="shared" si="330"/>
        <v>40141.45</v>
      </c>
      <c r="N327" s="6">
        <f t="shared" si="3"/>
        <v>0.1782083333</v>
      </c>
      <c r="O327" s="6">
        <f t="shared" si="4"/>
        <v>0.2517935317</v>
      </c>
    </row>
    <row r="328">
      <c r="A328" s="4">
        <v>45800.0</v>
      </c>
      <c r="B328" s="5">
        <v>316.0</v>
      </c>
      <c r="C328" s="5">
        <v>577699.999999983</v>
      </c>
      <c r="D328" s="5">
        <v>4.885</v>
      </c>
      <c r="E328" s="5">
        <v>91.3</v>
      </c>
      <c r="F328" s="5">
        <v>120.3</v>
      </c>
      <c r="G328" s="5">
        <v>138.19</v>
      </c>
      <c r="H328" s="6">
        <v>0.999209829718304</v>
      </c>
      <c r="I328" s="6">
        <v>1.0</v>
      </c>
      <c r="J328" s="6">
        <v>1.0</v>
      </c>
      <c r="K328" s="5">
        <f t="shared" si="17"/>
        <v>190933610</v>
      </c>
      <c r="L328" s="5">
        <f t="shared" ref="L328:M328" si="331">L327+F328</f>
        <v>36350.529</v>
      </c>
      <c r="M328" s="5">
        <f t="shared" si="331"/>
        <v>40279.64</v>
      </c>
      <c r="N328" s="6">
        <f t="shared" si="3"/>
        <v>0.2407083333</v>
      </c>
      <c r="O328" s="6">
        <f t="shared" si="4"/>
        <v>0.251758452</v>
      </c>
    </row>
    <row r="329">
      <c r="A329" s="4">
        <v>45801.0</v>
      </c>
      <c r="B329" s="5">
        <v>317.0</v>
      </c>
      <c r="C329" s="5">
        <v>369000.000000029</v>
      </c>
      <c r="D329" s="5">
        <v>3.06</v>
      </c>
      <c r="E329" s="5">
        <v>82.14</v>
      </c>
      <c r="F329" s="5">
        <v>117.9</v>
      </c>
      <c r="G329" s="5">
        <v>129.99</v>
      </c>
      <c r="H329" s="6">
        <v>0.999387326409149</v>
      </c>
      <c r="I329" s="6">
        <v>1.0</v>
      </c>
      <c r="J329" s="6">
        <v>0.998086030328891</v>
      </c>
      <c r="K329" s="5">
        <f t="shared" si="17"/>
        <v>191302610</v>
      </c>
      <c r="L329" s="5">
        <f t="shared" ref="L329:M329" si="332">L328+F329</f>
        <v>36468.429</v>
      </c>
      <c r="M329" s="5">
        <f t="shared" si="332"/>
        <v>40409.63</v>
      </c>
      <c r="N329" s="6">
        <f t="shared" si="3"/>
        <v>0.15375</v>
      </c>
      <c r="O329" s="6">
        <f t="shared" si="4"/>
        <v>0.2514492771</v>
      </c>
    </row>
    <row r="330">
      <c r="A330" s="4">
        <v>45802.0</v>
      </c>
      <c r="B330" s="5">
        <v>318.0</v>
      </c>
      <c r="C330" s="5">
        <v>568699.999999983</v>
      </c>
      <c r="D330" s="5">
        <v>4.925</v>
      </c>
      <c r="E330" s="5">
        <v>84.92</v>
      </c>
      <c r="F330" s="5">
        <v>99.18</v>
      </c>
      <c r="G330" s="5">
        <v>137.43</v>
      </c>
      <c r="H330" s="6">
        <v>0.999941650134205</v>
      </c>
      <c r="I330" s="6">
        <v>1.0</v>
      </c>
      <c r="J330" s="6">
        <v>1.0</v>
      </c>
      <c r="K330" s="5">
        <f t="shared" si="17"/>
        <v>191871310</v>
      </c>
      <c r="L330" s="5">
        <f t="shared" ref="L330:M330" si="333">L329+F330</f>
        <v>36567.609</v>
      </c>
      <c r="M330" s="5">
        <f t="shared" si="333"/>
        <v>40547.06</v>
      </c>
      <c r="N330" s="6">
        <f t="shared" si="3"/>
        <v>0.2369583333</v>
      </c>
      <c r="O330" s="6">
        <f t="shared" si="4"/>
        <v>0.2514037081</v>
      </c>
    </row>
    <row r="331">
      <c r="A331" s="4">
        <v>45803.0</v>
      </c>
      <c r="B331" s="5">
        <v>319.0</v>
      </c>
      <c r="C331" s="5">
        <v>560000.0</v>
      </c>
      <c r="D331" s="5">
        <v>4.855</v>
      </c>
      <c r="E331" s="5">
        <v>87.57</v>
      </c>
      <c r="F331" s="5">
        <v>120.78</v>
      </c>
      <c r="G331" s="5">
        <v>133.71</v>
      </c>
      <c r="H331" s="6">
        <v>1.0</v>
      </c>
      <c r="I331" s="6">
        <v>1.0</v>
      </c>
      <c r="J331" s="6">
        <v>1.0</v>
      </c>
      <c r="K331" s="5">
        <f t="shared" si="17"/>
        <v>192431310</v>
      </c>
      <c r="L331" s="5">
        <f t="shared" ref="L331:M331" si="334">L330+F331</f>
        <v>36688.389</v>
      </c>
      <c r="M331" s="5">
        <f t="shared" si="334"/>
        <v>40680.77</v>
      </c>
      <c r="N331" s="6">
        <f t="shared" si="3"/>
        <v>0.2333333333</v>
      </c>
      <c r="O331" s="6">
        <f t="shared" si="4"/>
        <v>0.2513470611</v>
      </c>
    </row>
    <row r="332">
      <c r="A332" s="4">
        <v>45804.0</v>
      </c>
      <c r="B332" s="5">
        <v>320.0</v>
      </c>
      <c r="C332" s="5">
        <v>639899.999999994</v>
      </c>
      <c r="D332" s="5">
        <v>5.06</v>
      </c>
      <c r="E332" s="5">
        <v>85.63</v>
      </c>
      <c r="F332" s="5">
        <v>121.14</v>
      </c>
      <c r="G332" s="5">
        <v>134.23</v>
      </c>
      <c r="H332" s="6">
        <v>0.999498879849074</v>
      </c>
      <c r="I332" s="6">
        <v>1.0</v>
      </c>
      <c r="J332" s="6">
        <v>1.0</v>
      </c>
      <c r="K332" s="5">
        <f t="shared" si="17"/>
        <v>193071210</v>
      </c>
      <c r="L332" s="5">
        <f t="shared" ref="L332:M332" si="335">L331+F332</f>
        <v>36809.529</v>
      </c>
      <c r="M332" s="5">
        <f t="shared" si="335"/>
        <v>40815</v>
      </c>
      <c r="N332" s="6">
        <f t="shared" si="3"/>
        <v>0.266625</v>
      </c>
      <c r="O332" s="6">
        <f t="shared" si="4"/>
        <v>0.2513948047</v>
      </c>
    </row>
    <row r="333">
      <c r="A333" s="4">
        <v>45805.0</v>
      </c>
      <c r="B333" s="5">
        <v>321.0</v>
      </c>
      <c r="C333" s="5">
        <v>592400.000000023</v>
      </c>
      <c r="D333" s="5">
        <v>4.89</v>
      </c>
      <c r="E333" s="5">
        <v>90.29</v>
      </c>
      <c r="F333" s="5">
        <v>120.79</v>
      </c>
      <c r="G333" s="5">
        <v>133.43</v>
      </c>
      <c r="H333" s="6">
        <v>0.999489773281867</v>
      </c>
      <c r="I333" s="6">
        <v>1.0</v>
      </c>
      <c r="J333" s="6">
        <v>1.0</v>
      </c>
      <c r="K333" s="5">
        <f t="shared" si="17"/>
        <v>193663610</v>
      </c>
      <c r="L333" s="5">
        <f t="shared" ref="L333:M333" si="336">L332+F333</f>
        <v>36930.319</v>
      </c>
      <c r="M333" s="5">
        <f t="shared" si="336"/>
        <v>40948.43</v>
      </c>
      <c r="N333" s="6">
        <f t="shared" si="3"/>
        <v>0.2468333333</v>
      </c>
      <c r="O333" s="6">
        <f t="shared" si="4"/>
        <v>0.2513805945</v>
      </c>
    </row>
    <row r="334">
      <c r="A334" s="4">
        <v>45806.0</v>
      </c>
      <c r="B334" s="5">
        <v>322.0</v>
      </c>
      <c r="C334" s="5">
        <v>695199.999999983</v>
      </c>
      <c r="D334" s="5">
        <v>5.95</v>
      </c>
      <c r="E334" s="5">
        <v>79.24</v>
      </c>
      <c r="F334" s="5">
        <v>120.76</v>
      </c>
      <c r="G334" s="5">
        <v>135.3</v>
      </c>
      <c r="H334" s="6">
        <v>0.995836745836746</v>
      </c>
      <c r="I334" s="6">
        <v>1.0</v>
      </c>
      <c r="J334" s="6">
        <v>1.0</v>
      </c>
      <c r="K334" s="5">
        <f t="shared" si="17"/>
        <v>194358810</v>
      </c>
      <c r="L334" s="5">
        <f t="shared" ref="L334:M334" si="337">L333+F334</f>
        <v>37051.079</v>
      </c>
      <c r="M334" s="5">
        <f t="shared" si="337"/>
        <v>41083.73</v>
      </c>
      <c r="N334" s="6">
        <f t="shared" si="3"/>
        <v>0.2896666667</v>
      </c>
      <c r="O334" s="6">
        <f t="shared" si="4"/>
        <v>0.2514994953</v>
      </c>
    </row>
    <row r="335">
      <c r="A335" s="4">
        <v>45807.0</v>
      </c>
      <c r="B335" s="5">
        <v>323.0</v>
      </c>
      <c r="C335" s="5">
        <v>707000.0</v>
      </c>
      <c r="D335" s="5">
        <v>5.94</v>
      </c>
      <c r="E335" s="5">
        <v>90.03</v>
      </c>
      <c r="F335" s="5">
        <v>120.74</v>
      </c>
      <c r="G335" s="5">
        <v>133.74</v>
      </c>
      <c r="H335" s="6">
        <v>0.999534396461413</v>
      </c>
      <c r="I335" s="6">
        <v>1.0</v>
      </c>
      <c r="J335" s="6">
        <v>1.0</v>
      </c>
      <c r="K335" s="5">
        <f t="shared" si="17"/>
        <v>195065810</v>
      </c>
      <c r="L335" s="5">
        <f t="shared" ref="L335:M335" si="338">L334+F335</f>
        <v>37171.819</v>
      </c>
      <c r="M335" s="5">
        <f t="shared" si="338"/>
        <v>41217.47</v>
      </c>
      <c r="N335" s="6">
        <f t="shared" si="3"/>
        <v>0.2945833333</v>
      </c>
      <c r="O335" s="6">
        <f t="shared" si="4"/>
        <v>0.2516328818</v>
      </c>
    </row>
    <row r="336">
      <c r="A336" s="4">
        <v>45808.0</v>
      </c>
      <c r="B336" s="5">
        <v>324.0</v>
      </c>
      <c r="C336" s="5">
        <v>554500.0</v>
      </c>
      <c r="D336" s="5">
        <v>4.35</v>
      </c>
      <c r="E336" s="5">
        <v>82.44</v>
      </c>
      <c r="F336" s="5">
        <v>121.05</v>
      </c>
      <c r="G336" s="5">
        <v>133.61</v>
      </c>
      <c r="H336" s="6">
        <v>0.999854312354312</v>
      </c>
      <c r="I336" s="6">
        <v>1.0</v>
      </c>
      <c r="J336" s="6">
        <v>1.0</v>
      </c>
      <c r="K336" s="5">
        <f t="shared" si="17"/>
        <v>195620310</v>
      </c>
      <c r="L336" s="5">
        <f t="shared" ref="L336:M336" si="339">L335+F336</f>
        <v>37292.869</v>
      </c>
      <c r="M336" s="5">
        <f t="shared" si="339"/>
        <v>41351.08</v>
      </c>
      <c r="N336" s="6">
        <f t="shared" si="3"/>
        <v>0.2310416667</v>
      </c>
      <c r="O336" s="6">
        <f t="shared" si="4"/>
        <v>0.2515693287</v>
      </c>
    </row>
    <row r="337">
      <c r="A337" s="4">
        <v>45809.0</v>
      </c>
      <c r="B337" s="5">
        <v>325.0</v>
      </c>
      <c r="C337" s="5">
        <v>803100.000000006</v>
      </c>
      <c r="D337" s="5">
        <v>6.82</v>
      </c>
      <c r="E337" s="5">
        <v>90.11</v>
      </c>
      <c r="F337" s="5">
        <v>120.87</v>
      </c>
      <c r="G337" s="5">
        <v>133.43</v>
      </c>
      <c r="H337" s="6">
        <v>1.0</v>
      </c>
      <c r="I337" s="6">
        <v>1.0</v>
      </c>
      <c r="J337" s="6">
        <v>1.0</v>
      </c>
      <c r="K337" s="5">
        <f t="shared" si="17"/>
        <v>196423410</v>
      </c>
      <c r="L337" s="5">
        <f t="shared" ref="L337:M337" si="340">L336+F337</f>
        <v>37413.739</v>
      </c>
      <c r="M337" s="5">
        <f t="shared" si="340"/>
        <v>41484.51</v>
      </c>
      <c r="N337" s="6">
        <f t="shared" si="3"/>
        <v>0.334625</v>
      </c>
      <c r="O337" s="6">
        <f t="shared" si="4"/>
        <v>0.2518248846</v>
      </c>
    </row>
    <row r="338">
      <c r="A338" s="4">
        <v>45810.0</v>
      </c>
      <c r="B338" s="5">
        <v>326.0</v>
      </c>
      <c r="C338" s="5">
        <v>745100.000000006</v>
      </c>
      <c r="D338" s="5">
        <v>6.275</v>
      </c>
      <c r="E338" s="5">
        <v>91.16</v>
      </c>
      <c r="F338" s="5">
        <v>121.87</v>
      </c>
      <c r="G338" s="5">
        <v>134.01</v>
      </c>
      <c r="H338" s="6">
        <v>1.0</v>
      </c>
      <c r="I338" s="6">
        <v>1.0</v>
      </c>
      <c r="J338" s="6">
        <v>1.0</v>
      </c>
      <c r="K338" s="5">
        <f t="shared" si="17"/>
        <v>197168510</v>
      </c>
      <c r="L338" s="5">
        <f t="shared" ref="L338:M338" si="341">L337+F338</f>
        <v>37535.609</v>
      </c>
      <c r="M338" s="5">
        <f t="shared" si="341"/>
        <v>41618.52</v>
      </c>
      <c r="N338" s="6">
        <f t="shared" si="3"/>
        <v>0.3104583333</v>
      </c>
      <c r="O338" s="6">
        <f t="shared" si="4"/>
        <v>0.2520047418</v>
      </c>
    </row>
    <row r="339">
      <c r="A339" s="4">
        <v>45811.0</v>
      </c>
      <c r="B339" s="5">
        <v>327.0</v>
      </c>
      <c r="C339" s="5">
        <v>810899.999999994</v>
      </c>
      <c r="D339" s="5">
        <v>6.965</v>
      </c>
      <c r="E339" s="5">
        <v>89.8</v>
      </c>
      <c r="F339" s="5">
        <v>120.89</v>
      </c>
      <c r="G339" s="5">
        <v>135.63</v>
      </c>
      <c r="H339" s="6">
        <v>1.0</v>
      </c>
      <c r="I339" s="6">
        <v>1.0</v>
      </c>
      <c r="J339" s="6">
        <v>1.0</v>
      </c>
      <c r="K339" s="5">
        <f t="shared" si="17"/>
        <v>197979410</v>
      </c>
      <c r="L339" s="5">
        <f t="shared" ref="L339:M339" si="342">L338+F339</f>
        <v>37656.499</v>
      </c>
      <c r="M339" s="5">
        <f t="shared" si="342"/>
        <v>41754.15</v>
      </c>
      <c r="N339" s="6">
        <f t="shared" si="3"/>
        <v>0.337875</v>
      </c>
      <c r="O339" s="6">
        <f t="shared" si="4"/>
        <v>0.252267342</v>
      </c>
    </row>
    <row r="340">
      <c r="A340" s="4">
        <v>45812.0</v>
      </c>
      <c r="B340" s="5">
        <v>328.0</v>
      </c>
      <c r="C340" s="5">
        <v>681600.000000006</v>
      </c>
      <c r="D340" s="5">
        <v>5.915</v>
      </c>
      <c r="E340" s="5">
        <v>90.54</v>
      </c>
      <c r="F340" s="5">
        <v>120.87</v>
      </c>
      <c r="G340" s="5">
        <v>132.84</v>
      </c>
      <c r="H340" s="6">
        <v>1.0</v>
      </c>
      <c r="I340" s="6">
        <v>1.0</v>
      </c>
      <c r="J340" s="6">
        <v>1.0</v>
      </c>
      <c r="K340" s="5">
        <f t="shared" si="17"/>
        <v>198661010</v>
      </c>
      <c r="L340" s="5">
        <f t="shared" ref="L340:M340" si="343">L339+F340</f>
        <v>37777.369</v>
      </c>
      <c r="M340" s="5">
        <f t="shared" si="343"/>
        <v>41886.99</v>
      </c>
      <c r="N340" s="6">
        <f t="shared" si="3"/>
        <v>0.284</v>
      </c>
      <c r="O340" s="6">
        <f t="shared" si="4"/>
        <v>0.2523640879</v>
      </c>
    </row>
    <row r="341">
      <c r="A341" s="4">
        <v>45813.0</v>
      </c>
      <c r="B341" s="5">
        <v>329.0</v>
      </c>
      <c r="C341" s="5">
        <v>630000.0</v>
      </c>
      <c r="D341" s="5">
        <v>5.29</v>
      </c>
      <c r="E341" s="5">
        <v>92.27</v>
      </c>
      <c r="F341" s="5">
        <v>120.76</v>
      </c>
      <c r="G341" s="5">
        <v>135.13</v>
      </c>
      <c r="H341" s="6">
        <v>1.0</v>
      </c>
      <c r="I341" s="6">
        <v>1.0</v>
      </c>
      <c r="J341" s="6">
        <v>1.0</v>
      </c>
      <c r="K341" s="5">
        <f t="shared" si="17"/>
        <v>199291010</v>
      </c>
      <c r="L341" s="5">
        <f t="shared" ref="L341:M341" si="344">L340+F341</f>
        <v>37898.129</v>
      </c>
      <c r="M341" s="5">
        <f t="shared" si="344"/>
        <v>42022.12</v>
      </c>
      <c r="N341" s="6">
        <f t="shared" si="3"/>
        <v>0.2625</v>
      </c>
      <c r="O341" s="6">
        <f t="shared" si="4"/>
        <v>0.2523948961</v>
      </c>
    </row>
    <row r="342">
      <c r="A342" s="4">
        <v>45814.0</v>
      </c>
      <c r="B342" s="5">
        <v>330.0</v>
      </c>
      <c r="C342" s="5">
        <v>769200.000000012</v>
      </c>
      <c r="D342" s="5">
        <v>6.715</v>
      </c>
      <c r="E342" s="5">
        <v>91.69</v>
      </c>
      <c r="F342" s="5">
        <v>121.35</v>
      </c>
      <c r="G342" s="5">
        <v>133.57</v>
      </c>
      <c r="H342" s="6">
        <v>1.0</v>
      </c>
      <c r="I342" s="6">
        <v>1.0</v>
      </c>
      <c r="J342" s="6">
        <v>1.0</v>
      </c>
      <c r="K342" s="5">
        <f t="shared" si="17"/>
        <v>200060210</v>
      </c>
      <c r="L342" s="5">
        <f t="shared" ref="L342:M342" si="345">L341+F342</f>
        <v>38019.479</v>
      </c>
      <c r="M342" s="5">
        <f t="shared" si="345"/>
        <v>42155.69</v>
      </c>
      <c r="N342" s="6">
        <f t="shared" si="3"/>
        <v>0.3205</v>
      </c>
      <c r="O342" s="6">
        <f t="shared" si="4"/>
        <v>0.2526012753</v>
      </c>
    </row>
    <row r="343">
      <c r="A343" s="4">
        <v>45815.0</v>
      </c>
      <c r="B343" s="5">
        <v>331.0</v>
      </c>
      <c r="C343" s="5">
        <v>775299.999999959</v>
      </c>
      <c r="D343" s="5">
        <v>6.72</v>
      </c>
      <c r="E343" s="5">
        <v>86.72</v>
      </c>
      <c r="F343" s="5">
        <v>120.97</v>
      </c>
      <c r="G343" s="5">
        <v>134.85</v>
      </c>
      <c r="H343" s="6">
        <v>1.0</v>
      </c>
      <c r="I343" s="6">
        <v>1.0</v>
      </c>
      <c r="J343" s="6">
        <v>1.0</v>
      </c>
      <c r="K343" s="5">
        <f t="shared" si="17"/>
        <v>200835510</v>
      </c>
      <c r="L343" s="5">
        <f t="shared" ref="L343:M343" si="346">L342+F343</f>
        <v>38140.449</v>
      </c>
      <c r="M343" s="5">
        <f t="shared" si="346"/>
        <v>42290.54</v>
      </c>
      <c r="N343" s="6">
        <f t="shared" si="3"/>
        <v>0.3230416667</v>
      </c>
      <c r="O343" s="6">
        <f t="shared" si="4"/>
        <v>0.2528140861</v>
      </c>
    </row>
    <row r="344">
      <c r="A344" s="4">
        <v>45816.0</v>
      </c>
      <c r="B344" s="5">
        <v>332.0</v>
      </c>
      <c r="C344" s="5">
        <v>760300.000000017</v>
      </c>
      <c r="D344" s="5">
        <v>6.65</v>
      </c>
      <c r="E344" s="5">
        <v>90.76</v>
      </c>
      <c r="F344" s="5">
        <v>120.72</v>
      </c>
      <c r="G344" s="5">
        <v>133.6</v>
      </c>
      <c r="H344" s="6">
        <v>1.0</v>
      </c>
      <c r="I344" s="6">
        <v>1.0</v>
      </c>
      <c r="J344" s="6">
        <v>1.0</v>
      </c>
      <c r="K344" s="5">
        <f t="shared" si="17"/>
        <v>201595810</v>
      </c>
      <c r="L344" s="5">
        <f t="shared" ref="L344:M344" si="347">L343+F344</f>
        <v>38261.169</v>
      </c>
      <c r="M344" s="5">
        <f t="shared" si="347"/>
        <v>42424.14</v>
      </c>
      <c r="N344" s="6">
        <f t="shared" si="3"/>
        <v>0.3167916667</v>
      </c>
      <c r="O344" s="6">
        <f t="shared" si="4"/>
        <v>0.2530067897</v>
      </c>
    </row>
    <row r="345">
      <c r="A345" s="4">
        <v>45817.0</v>
      </c>
      <c r="B345" s="5">
        <v>333.0</v>
      </c>
      <c r="C345" s="5">
        <v>640000.0</v>
      </c>
      <c r="D345" s="5">
        <v>5.48</v>
      </c>
      <c r="E345" s="5">
        <v>90.6</v>
      </c>
      <c r="F345" s="5">
        <v>120.52</v>
      </c>
      <c r="G345" s="5">
        <v>130.11</v>
      </c>
      <c r="H345" s="6">
        <v>1.0</v>
      </c>
      <c r="I345" s="6">
        <v>1.0</v>
      </c>
      <c r="J345" s="6">
        <v>1.0</v>
      </c>
      <c r="K345" s="5">
        <f t="shared" si="17"/>
        <v>202235810</v>
      </c>
      <c r="L345" s="5">
        <f t="shared" ref="L345:M345" si="348">L344+F345</f>
        <v>38381.689</v>
      </c>
      <c r="M345" s="5">
        <f t="shared" si="348"/>
        <v>42554.25</v>
      </c>
      <c r="N345" s="6">
        <f t="shared" si="3"/>
        <v>0.2666666667</v>
      </c>
      <c r="O345" s="6">
        <f t="shared" si="4"/>
        <v>0.2530478103</v>
      </c>
    </row>
    <row r="346">
      <c r="A346" s="4">
        <v>45818.0</v>
      </c>
      <c r="B346" s="5">
        <v>334.0</v>
      </c>
      <c r="C346" s="5">
        <v>617799.999999988</v>
      </c>
      <c r="D346" s="5">
        <v>5.235</v>
      </c>
      <c r="E346" s="5">
        <v>76.31</v>
      </c>
      <c r="F346" s="5">
        <v>119.35</v>
      </c>
      <c r="G346" s="5">
        <v>130.45</v>
      </c>
      <c r="H346" s="6">
        <v>1.0</v>
      </c>
      <c r="I346" s="6">
        <v>1.0</v>
      </c>
      <c r="J346" s="6">
        <v>1.0</v>
      </c>
      <c r="K346" s="5">
        <f t="shared" si="17"/>
        <v>202853610</v>
      </c>
      <c r="L346" s="5">
        <f t="shared" ref="L346:M346" si="349">L345+F346</f>
        <v>38501.039</v>
      </c>
      <c r="M346" s="5">
        <f t="shared" si="349"/>
        <v>42684.7</v>
      </c>
      <c r="N346" s="6">
        <f t="shared" si="3"/>
        <v>0.2574166667</v>
      </c>
      <c r="O346" s="6">
        <f t="shared" si="4"/>
        <v>0.2530608907</v>
      </c>
    </row>
    <row r="347">
      <c r="A347" s="4">
        <v>45819.0</v>
      </c>
      <c r="B347" s="5">
        <v>335.0</v>
      </c>
      <c r="C347" s="5">
        <v>729100.000000006</v>
      </c>
      <c r="D347" s="5">
        <v>6.0</v>
      </c>
      <c r="E347" s="5">
        <v>88.44</v>
      </c>
      <c r="F347" s="5">
        <v>119.29</v>
      </c>
      <c r="G347" s="5">
        <v>133.44</v>
      </c>
      <c r="H347" s="6">
        <v>1.0</v>
      </c>
      <c r="I347" s="6">
        <v>1.0</v>
      </c>
      <c r="J347" s="6">
        <v>0.998024289371759</v>
      </c>
      <c r="K347" s="5">
        <f t="shared" si="17"/>
        <v>203582710</v>
      </c>
      <c r="L347" s="5">
        <f t="shared" ref="L347:M347" si="350">L346+F347</f>
        <v>38620.329</v>
      </c>
      <c r="M347" s="5">
        <f t="shared" si="350"/>
        <v>42818.14</v>
      </c>
      <c r="N347" s="6">
        <f t="shared" si="3"/>
        <v>0.3037916667</v>
      </c>
      <c r="O347" s="6">
        <f t="shared" si="4"/>
        <v>0.2532123259</v>
      </c>
    </row>
    <row r="348">
      <c r="A348" s="4">
        <v>45820.0</v>
      </c>
      <c r="B348" s="5">
        <v>336.0</v>
      </c>
      <c r="C348" s="5">
        <v>714700.000000012</v>
      </c>
      <c r="D348" s="5">
        <v>6.09</v>
      </c>
      <c r="E348" s="5">
        <v>96.39</v>
      </c>
      <c r="F348" s="5">
        <v>120.82</v>
      </c>
      <c r="G348" s="5">
        <v>135.79</v>
      </c>
      <c r="H348" s="6">
        <v>1.0</v>
      </c>
      <c r="I348" s="6">
        <v>1.0</v>
      </c>
      <c r="J348" s="6">
        <v>1.0</v>
      </c>
      <c r="K348" s="5">
        <f t="shared" si="17"/>
        <v>204297410</v>
      </c>
      <c r="L348" s="5">
        <f t="shared" ref="L348:M348" si="351">L347+F348</f>
        <v>38741.149</v>
      </c>
      <c r="M348" s="5">
        <f t="shared" si="351"/>
        <v>42953.93</v>
      </c>
      <c r="N348" s="6">
        <f t="shared" si="3"/>
        <v>0.2977916667</v>
      </c>
      <c r="O348" s="6">
        <f t="shared" si="4"/>
        <v>0.2533450025</v>
      </c>
    </row>
    <row r="349">
      <c r="A349" s="4">
        <v>45821.0</v>
      </c>
      <c r="B349" s="5">
        <v>337.0</v>
      </c>
      <c r="C349" s="5">
        <v>611200.000000012</v>
      </c>
      <c r="D349" s="5">
        <v>5.395</v>
      </c>
      <c r="E349" s="5">
        <v>91.92</v>
      </c>
      <c r="F349" s="5">
        <v>120.85</v>
      </c>
      <c r="G349" s="5">
        <v>135.2</v>
      </c>
      <c r="H349" s="6">
        <v>1.0</v>
      </c>
      <c r="I349" s="6">
        <v>1.0</v>
      </c>
      <c r="J349" s="6">
        <v>1.0</v>
      </c>
      <c r="K349" s="5">
        <f t="shared" si="17"/>
        <v>204908610</v>
      </c>
      <c r="L349" s="5">
        <f t="shared" ref="L349:M349" si="352">L348+F349</f>
        <v>38861.999</v>
      </c>
      <c r="M349" s="5">
        <f t="shared" si="352"/>
        <v>43089.13</v>
      </c>
      <c r="N349" s="6">
        <f t="shared" si="3"/>
        <v>0.2546666667</v>
      </c>
      <c r="O349" s="6">
        <f t="shared" si="4"/>
        <v>0.2533489243</v>
      </c>
    </row>
    <row r="350">
      <c r="A350" s="4">
        <v>45822.0</v>
      </c>
      <c r="B350" s="5">
        <v>338.0</v>
      </c>
      <c r="C350" s="5">
        <v>572299.999999988</v>
      </c>
      <c r="D350" s="5">
        <v>4.88</v>
      </c>
      <c r="E350" s="5">
        <v>85.45</v>
      </c>
      <c r="F350" s="5">
        <v>120.96</v>
      </c>
      <c r="G350" s="5">
        <v>133.45</v>
      </c>
      <c r="H350" s="6">
        <v>1.0</v>
      </c>
      <c r="I350" s="6">
        <v>1.0</v>
      </c>
      <c r="J350" s="6">
        <v>1.0</v>
      </c>
      <c r="K350" s="5">
        <f t="shared" si="17"/>
        <v>205480910</v>
      </c>
      <c r="L350" s="5">
        <f t="shared" ref="L350:M350" si="353">L349+F350</f>
        <v>38982.959</v>
      </c>
      <c r="M350" s="5">
        <f t="shared" si="353"/>
        <v>43222.58</v>
      </c>
      <c r="N350" s="6">
        <f t="shared" si="3"/>
        <v>0.2384583333</v>
      </c>
      <c r="O350" s="6">
        <f t="shared" si="4"/>
        <v>0.2533048693</v>
      </c>
    </row>
    <row r="351">
      <c r="A351" s="4">
        <v>45823.0</v>
      </c>
      <c r="B351" s="5">
        <v>339.0</v>
      </c>
      <c r="C351" s="5">
        <v>724600.000000006</v>
      </c>
      <c r="D351" s="5">
        <v>6.55</v>
      </c>
      <c r="E351" s="5">
        <v>87.54</v>
      </c>
      <c r="F351" s="5">
        <v>120.57</v>
      </c>
      <c r="G351" s="5">
        <v>133.86</v>
      </c>
      <c r="H351" s="6">
        <v>1.0</v>
      </c>
      <c r="I351" s="6">
        <v>1.0</v>
      </c>
      <c r="J351" s="6">
        <v>1.0</v>
      </c>
      <c r="K351" s="5">
        <f t="shared" si="17"/>
        <v>206205510</v>
      </c>
      <c r="L351" s="5">
        <f t="shared" ref="L351:M351" si="354">L350+F351</f>
        <v>39103.529</v>
      </c>
      <c r="M351" s="5">
        <f t="shared" si="354"/>
        <v>43356.44</v>
      </c>
      <c r="N351" s="6">
        <f t="shared" si="3"/>
        <v>0.3019166667</v>
      </c>
      <c r="O351" s="6">
        <f t="shared" si="4"/>
        <v>0.253448267</v>
      </c>
    </row>
    <row r="352">
      <c r="A352" s="4">
        <v>45824.0</v>
      </c>
      <c r="B352" s="5">
        <v>340.0</v>
      </c>
      <c r="C352" s="5">
        <v>578600.000000006</v>
      </c>
      <c r="D352" s="5">
        <v>4.74</v>
      </c>
      <c r="E352" s="5">
        <v>84.75</v>
      </c>
      <c r="F352" s="5">
        <v>120.28</v>
      </c>
      <c r="G352" s="5">
        <v>134.1</v>
      </c>
      <c r="H352" s="6">
        <v>0.999356499356499</v>
      </c>
      <c r="I352" s="6">
        <v>1.0</v>
      </c>
      <c r="J352" s="6">
        <v>1.0</v>
      </c>
      <c r="K352" s="5">
        <f t="shared" si="17"/>
        <v>206784110</v>
      </c>
      <c r="L352" s="5">
        <f t="shared" ref="L352:M352" si="355">L351+F352</f>
        <v>39223.809</v>
      </c>
      <c r="M352" s="5">
        <f t="shared" si="355"/>
        <v>43490.54</v>
      </c>
      <c r="N352" s="6">
        <f t="shared" si="3"/>
        <v>0.2410833333</v>
      </c>
      <c r="O352" s="6">
        <f t="shared" si="4"/>
        <v>0.2534118995</v>
      </c>
    </row>
    <row r="353">
      <c r="A353" s="4">
        <v>45825.0</v>
      </c>
      <c r="B353" s="5">
        <v>341.0</v>
      </c>
      <c r="C353" s="5">
        <v>427399.999999965</v>
      </c>
      <c r="D353" s="5">
        <v>3.49</v>
      </c>
      <c r="E353" s="5">
        <v>77.66</v>
      </c>
      <c r="F353" s="5">
        <v>120.34</v>
      </c>
      <c r="G353" s="5">
        <v>133.24</v>
      </c>
      <c r="H353" s="6">
        <v>1.0</v>
      </c>
      <c r="I353" s="6">
        <v>1.0</v>
      </c>
      <c r="J353" s="6">
        <v>1.0</v>
      </c>
      <c r="K353" s="5">
        <f t="shared" si="17"/>
        <v>207211510</v>
      </c>
      <c r="L353" s="5">
        <f t="shared" ref="L353:M353" si="356">L352+F353</f>
        <v>39344.149</v>
      </c>
      <c r="M353" s="5">
        <f t="shared" si="356"/>
        <v>43623.78</v>
      </c>
      <c r="N353" s="6">
        <f t="shared" si="3"/>
        <v>0.1780833333</v>
      </c>
      <c r="O353" s="6">
        <f t="shared" si="4"/>
        <v>0.2531909946</v>
      </c>
    </row>
    <row r="354">
      <c r="A354" s="4">
        <v>45826.0</v>
      </c>
      <c r="B354" s="5">
        <v>342.0</v>
      </c>
      <c r="C354" s="5">
        <v>505900.000000023</v>
      </c>
      <c r="D354" s="5">
        <v>3.965</v>
      </c>
      <c r="E354" s="5">
        <v>86.33</v>
      </c>
      <c r="F354" s="5">
        <v>120.24</v>
      </c>
      <c r="G354" s="5">
        <v>133.36</v>
      </c>
      <c r="H354" s="6">
        <v>1.0</v>
      </c>
      <c r="I354" s="6">
        <v>1.0</v>
      </c>
      <c r="J354" s="6">
        <v>1.0</v>
      </c>
      <c r="K354" s="5">
        <f t="shared" si="17"/>
        <v>207717410</v>
      </c>
      <c r="L354" s="5">
        <f t="shared" ref="L354:M354" si="357">L353+F354</f>
        <v>39464.389</v>
      </c>
      <c r="M354" s="5">
        <f t="shared" si="357"/>
        <v>43757.14</v>
      </c>
      <c r="N354" s="6">
        <f t="shared" si="3"/>
        <v>0.2107916667</v>
      </c>
      <c r="O354" s="6">
        <f t="shared" si="4"/>
        <v>0.25306702</v>
      </c>
    </row>
    <row r="355">
      <c r="A355" s="4">
        <v>45827.0</v>
      </c>
      <c r="B355" s="5">
        <v>343.0</v>
      </c>
      <c r="C355" s="5">
        <v>304199.999999983</v>
      </c>
      <c r="D355" s="5">
        <v>2.36</v>
      </c>
      <c r="E355" s="5">
        <v>41.87</v>
      </c>
      <c r="F355" s="5">
        <v>73.69</v>
      </c>
      <c r="G355" s="5">
        <v>83.67</v>
      </c>
      <c r="H355" s="6">
        <v>1.0</v>
      </c>
      <c r="I355" s="6">
        <v>1.0</v>
      </c>
      <c r="J355" s="6">
        <v>1.0</v>
      </c>
      <c r="K355" s="5">
        <f t="shared" si="17"/>
        <v>208021610</v>
      </c>
      <c r="L355" s="5">
        <f t="shared" ref="L355:M355" si="358">L354+F355</f>
        <v>39538.079</v>
      </c>
      <c r="M355" s="5">
        <f t="shared" si="358"/>
        <v>43840.81</v>
      </c>
      <c r="N355" s="6">
        <f t="shared" si="3"/>
        <v>0.12675</v>
      </c>
      <c r="O355" s="6">
        <f t="shared" si="4"/>
        <v>0.2526987488</v>
      </c>
    </row>
    <row r="356">
      <c r="A356" s="4">
        <v>45828.0</v>
      </c>
      <c r="B356" s="5">
        <v>344.0</v>
      </c>
      <c r="C356" s="5">
        <v>374500.0</v>
      </c>
      <c r="D356" s="5">
        <v>3.55</v>
      </c>
      <c r="E356" s="5">
        <v>80.99</v>
      </c>
      <c r="F356" s="5">
        <v>39.54</v>
      </c>
      <c r="G356" s="5">
        <v>130.23</v>
      </c>
      <c r="H356" s="6">
        <v>0.999024999024999</v>
      </c>
      <c r="I356" s="6">
        <v>1.0</v>
      </c>
      <c r="J356" s="6">
        <v>1.0</v>
      </c>
      <c r="K356" s="5">
        <f t="shared" si="17"/>
        <v>208396110</v>
      </c>
      <c r="L356" s="5">
        <f t="shared" ref="L356:M356" si="359">L355+F356</f>
        <v>39577.619</v>
      </c>
      <c r="M356" s="5">
        <f t="shared" si="359"/>
        <v>43971.04</v>
      </c>
      <c r="N356" s="6">
        <f t="shared" si="3"/>
        <v>0.1560416667</v>
      </c>
      <c r="O356" s="6">
        <f t="shared" si="4"/>
        <v>0.2524177689</v>
      </c>
    </row>
    <row r="357">
      <c r="A357" s="4">
        <v>45829.0</v>
      </c>
      <c r="B357" s="5">
        <v>345.0</v>
      </c>
      <c r="C357" s="5">
        <v>682000.000000029</v>
      </c>
      <c r="D357" s="5">
        <v>6.26</v>
      </c>
      <c r="E357" s="5">
        <v>91.69</v>
      </c>
      <c r="F357" s="5">
        <v>117.88</v>
      </c>
      <c r="G357" s="5">
        <v>134.88</v>
      </c>
      <c r="H357" s="6">
        <v>0.993923913464143</v>
      </c>
      <c r="I357" s="6">
        <v>1.0</v>
      </c>
      <c r="J357" s="6">
        <v>1.0</v>
      </c>
      <c r="K357" s="5">
        <f t="shared" si="17"/>
        <v>209078110</v>
      </c>
      <c r="L357" s="5">
        <f t="shared" ref="L357:M357" si="360">L356+F357</f>
        <v>39695.499</v>
      </c>
      <c r="M357" s="5">
        <f t="shared" si="360"/>
        <v>44105.92</v>
      </c>
      <c r="N357" s="6">
        <f t="shared" si="3"/>
        <v>0.2841666667</v>
      </c>
      <c r="O357" s="6">
        <f t="shared" si="4"/>
        <v>0.2525097947</v>
      </c>
    </row>
    <row r="358">
      <c r="A358" s="4">
        <v>45830.0</v>
      </c>
      <c r="B358" s="5">
        <v>346.0</v>
      </c>
      <c r="C358" s="5">
        <v>414199.999999983</v>
      </c>
      <c r="D358" s="5">
        <v>2.56</v>
      </c>
      <c r="E358" s="5">
        <v>62.47</v>
      </c>
      <c r="F358" s="5">
        <v>160.24</v>
      </c>
      <c r="G358" s="5">
        <v>90.64</v>
      </c>
      <c r="H358" s="6">
        <v>1.0</v>
      </c>
      <c r="I358" s="6">
        <v>1.0</v>
      </c>
      <c r="J358" s="6">
        <v>1.0</v>
      </c>
      <c r="K358" s="5">
        <f t="shared" si="17"/>
        <v>209492310</v>
      </c>
      <c r="L358" s="5">
        <f t="shared" ref="L358:M358" si="361">L357+F358</f>
        <v>39855.739</v>
      </c>
      <c r="M358" s="5">
        <f t="shared" si="361"/>
        <v>44196.56</v>
      </c>
      <c r="N358" s="6">
        <f t="shared" si="3"/>
        <v>0.1725833333</v>
      </c>
      <c r="O358" s="6">
        <f t="shared" si="4"/>
        <v>0.2522787934</v>
      </c>
    </row>
    <row r="359">
      <c r="A359" s="4">
        <v>45831.0</v>
      </c>
      <c r="B359" s="5">
        <v>347.0</v>
      </c>
      <c r="C359" s="5">
        <v>426199.999999983</v>
      </c>
      <c r="D359" s="5">
        <v>3.665</v>
      </c>
      <c r="E359" s="5">
        <v>92.67</v>
      </c>
      <c r="F359" s="5">
        <v>79.89</v>
      </c>
      <c r="G359" s="5">
        <v>113.17</v>
      </c>
      <c r="H359" s="6">
        <v>1.0</v>
      </c>
      <c r="I359" s="6">
        <v>1.0</v>
      </c>
      <c r="J359" s="6">
        <v>1.0</v>
      </c>
      <c r="K359" s="5">
        <f t="shared" si="17"/>
        <v>209918510</v>
      </c>
      <c r="L359" s="5">
        <f t="shared" ref="L359:M359" si="362">L358+F359</f>
        <v>39935.629</v>
      </c>
      <c r="M359" s="5">
        <f t="shared" si="362"/>
        <v>44309.73</v>
      </c>
      <c r="N359" s="6">
        <f t="shared" si="3"/>
        <v>0.1775833333</v>
      </c>
      <c r="O359" s="6">
        <f t="shared" si="4"/>
        <v>0.2520635327</v>
      </c>
    </row>
    <row r="360">
      <c r="A360" s="4">
        <v>45832.0</v>
      </c>
      <c r="B360" s="5">
        <v>348.0</v>
      </c>
      <c r="C360" s="5">
        <v>287100.000000035</v>
      </c>
      <c r="D360" s="5">
        <v>1.875</v>
      </c>
      <c r="E360" s="5">
        <v>40.65</v>
      </c>
      <c r="F360" s="5">
        <v>52.76</v>
      </c>
      <c r="G360" s="5">
        <v>23.16</v>
      </c>
      <c r="H360" s="6">
        <v>0.997565294378043</v>
      </c>
      <c r="I360" s="6">
        <v>1.0</v>
      </c>
      <c r="J360" s="6">
        <v>1.0</v>
      </c>
      <c r="K360" s="5">
        <f t="shared" si="17"/>
        <v>210205610</v>
      </c>
      <c r="L360" s="5">
        <f t="shared" ref="L360:M360" si="363">L359+F360</f>
        <v>39988.389</v>
      </c>
      <c r="M360" s="5">
        <f t="shared" si="363"/>
        <v>44332.89</v>
      </c>
      <c r="N360" s="6">
        <f t="shared" si="3"/>
        <v>0.119625</v>
      </c>
      <c r="O360" s="6">
        <f t="shared" si="4"/>
        <v>0.2516829622</v>
      </c>
    </row>
    <row r="361">
      <c r="A361" s="4">
        <v>45833.0</v>
      </c>
      <c r="B361" s="5">
        <v>349.0</v>
      </c>
      <c r="C361" s="5">
        <v>274299.999999988</v>
      </c>
      <c r="D361" s="5">
        <v>2.21</v>
      </c>
      <c r="E361" s="5">
        <v>51.74</v>
      </c>
      <c r="F361" s="5">
        <v>36.82</v>
      </c>
      <c r="G361" s="5">
        <v>42.53</v>
      </c>
      <c r="H361" s="6">
        <v>1.0</v>
      </c>
      <c r="I361" s="6">
        <v>1.0</v>
      </c>
      <c r="J361" s="6">
        <v>1.0</v>
      </c>
      <c r="K361" s="5">
        <f t="shared" si="17"/>
        <v>210479910</v>
      </c>
      <c r="L361" s="5">
        <f t="shared" ref="L361:M361" si="364">L360+F361</f>
        <v>40025.209</v>
      </c>
      <c r="M361" s="5">
        <f t="shared" si="364"/>
        <v>44375.42</v>
      </c>
      <c r="N361" s="6">
        <f t="shared" si="3"/>
        <v>0.1142916667</v>
      </c>
      <c r="O361" s="6">
        <f t="shared" si="4"/>
        <v>0.2512892908</v>
      </c>
    </row>
    <row r="362">
      <c r="A362" s="4">
        <v>45834.0</v>
      </c>
      <c r="B362" s="5">
        <v>350.0</v>
      </c>
      <c r="C362" s="5">
        <v>344000.0</v>
      </c>
      <c r="D362" s="5">
        <v>3.165</v>
      </c>
      <c r="E362" s="5">
        <v>72.3</v>
      </c>
      <c r="F362" s="5">
        <v>73.08</v>
      </c>
      <c r="G362" s="5">
        <v>134.73</v>
      </c>
      <c r="H362" s="6">
        <v>1.0</v>
      </c>
      <c r="I362" s="6">
        <v>1.0</v>
      </c>
      <c r="J362" s="6">
        <v>0.996326413050614</v>
      </c>
      <c r="K362" s="5">
        <f t="shared" si="17"/>
        <v>210823910</v>
      </c>
      <c r="L362" s="5">
        <f t="shared" ref="L362:M362" si="365">L361+F362</f>
        <v>40098.289</v>
      </c>
      <c r="M362" s="5">
        <f t="shared" si="365"/>
        <v>44510.15</v>
      </c>
      <c r="N362" s="6">
        <f t="shared" si="3"/>
        <v>0.1433333333</v>
      </c>
      <c r="O362" s="6">
        <f t="shared" si="4"/>
        <v>0.2509808452</v>
      </c>
    </row>
    <row r="363">
      <c r="A363" s="4">
        <v>45835.0</v>
      </c>
      <c r="B363" s="5">
        <v>351.0</v>
      </c>
      <c r="C363" s="5">
        <v>472200.000000012</v>
      </c>
      <c r="D363" s="5">
        <v>3.885</v>
      </c>
      <c r="E363" s="5">
        <v>89.34</v>
      </c>
      <c r="F363" s="5">
        <v>115.14</v>
      </c>
      <c r="G363" s="5">
        <v>133.0</v>
      </c>
      <c r="H363" s="6">
        <v>1.0</v>
      </c>
      <c r="I363" s="6">
        <v>1.0</v>
      </c>
      <c r="J363" s="6">
        <v>0.996326413050614</v>
      </c>
      <c r="K363" s="5">
        <f t="shared" si="17"/>
        <v>211296110</v>
      </c>
      <c r="L363" s="5">
        <f t="shared" ref="L363:M363" si="366">L362+F363</f>
        <v>40213.429</v>
      </c>
      <c r="M363" s="5">
        <f t="shared" si="366"/>
        <v>44643.15</v>
      </c>
      <c r="N363" s="6">
        <f t="shared" si="3"/>
        <v>0.19675</v>
      </c>
      <c r="O363" s="6">
        <f t="shared" si="4"/>
        <v>0.2508263414</v>
      </c>
    </row>
    <row r="364">
      <c r="A364" s="4">
        <v>45836.0</v>
      </c>
      <c r="B364" s="5">
        <v>352.0</v>
      </c>
      <c r="C364" s="5">
        <v>372799.999999988</v>
      </c>
      <c r="D364" s="5">
        <v>2.505</v>
      </c>
      <c r="E364" s="5">
        <v>73.6</v>
      </c>
      <c r="F364" s="5">
        <v>123.94</v>
      </c>
      <c r="G364" s="5">
        <v>97.69</v>
      </c>
      <c r="H364" s="6">
        <v>1.0</v>
      </c>
      <c r="I364" s="6">
        <v>1.0</v>
      </c>
      <c r="J364" s="6">
        <v>1.0</v>
      </c>
      <c r="K364" s="5">
        <f t="shared" si="17"/>
        <v>211668910</v>
      </c>
      <c r="L364" s="5">
        <f t="shared" ref="L364:M364" si="367">L363+F364</f>
        <v>40337.369</v>
      </c>
      <c r="M364" s="5">
        <f t="shared" si="367"/>
        <v>44740.84</v>
      </c>
      <c r="N364" s="6">
        <f t="shared" si="3"/>
        <v>0.1553333333</v>
      </c>
      <c r="O364" s="6">
        <f t="shared" si="4"/>
        <v>0.2505550545</v>
      </c>
    </row>
    <row r="365">
      <c r="A365" s="4">
        <v>45837.0</v>
      </c>
      <c r="B365" s="5">
        <v>353.0</v>
      </c>
      <c r="C365" s="5">
        <v>280200.000000012</v>
      </c>
      <c r="D365" s="5">
        <v>1.9</v>
      </c>
      <c r="E365" s="5">
        <v>39.83</v>
      </c>
      <c r="F365" s="5">
        <v>68.55</v>
      </c>
      <c r="G365" s="5">
        <v>63.42</v>
      </c>
      <c r="H365" s="6">
        <v>1.0</v>
      </c>
      <c r="I365" s="6">
        <v>1.0</v>
      </c>
      <c r="J365" s="6">
        <v>1.0</v>
      </c>
      <c r="K365" s="5">
        <f t="shared" si="17"/>
        <v>211949110</v>
      </c>
      <c r="L365" s="5">
        <f t="shared" ref="L365:M365" si="368">L364+F365</f>
        <v>40405.919</v>
      </c>
      <c r="M365" s="5">
        <f t="shared" si="368"/>
        <v>44804.26</v>
      </c>
      <c r="N365" s="6">
        <f t="shared" si="3"/>
        <v>0.11675</v>
      </c>
      <c r="O365" s="6">
        <f t="shared" si="4"/>
        <v>0.2501760033</v>
      </c>
    </row>
    <row r="366">
      <c r="A366" s="4">
        <v>45838.0</v>
      </c>
      <c r="B366" s="5">
        <v>354.0</v>
      </c>
      <c r="C366" s="5">
        <v>299899.999999994</v>
      </c>
      <c r="D366" s="5">
        <v>2.685</v>
      </c>
      <c r="E366" s="5">
        <v>69.27</v>
      </c>
      <c r="F366" s="5">
        <v>74.97</v>
      </c>
      <c r="G366" s="5">
        <v>124.13</v>
      </c>
      <c r="H366" s="6">
        <v>1.0</v>
      </c>
      <c r="I366" s="6">
        <v>1.0</v>
      </c>
      <c r="J366" s="6">
        <v>1.0</v>
      </c>
      <c r="K366" s="5">
        <f t="shared" si="17"/>
        <v>212249010</v>
      </c>
      <c r="L366" s="5">
        <f t="shared" ref="L366:M366" si="369">L365+F366</f>
        <v>40480.889</v>
      </c>
      <c r="M366" s="5">
        <f t="shared" si="369"/>
        <v>44928.39</v>
      </c>
      <c r="N366" s="6">
        <f t="shared" si="3"/>
        <v>0.1249583333</v>
      </c>
      <c r="O366" s="6">
        <f t="shared" si="4"/>
        <v>0.2498222811</v>
      </c>
    </row>
    <row r="367">
      <c r="A367" s="4">
        <v>45839.0</v>
      </c>
      <c r="B367" s="5">
        <v>355.0</v>
      </c>
      <c r="C367" s="5">
        <v>352299.999999988</v>
      </c>
      <c r="D367" s="5">
        <v>2.24</v>
      </c>
      <c r="E367" s="5">
        <v>87.93</v>
      </c>
      <c r="F367" s="5">
        <v>105.96</v>
      </c>
      <c r="G367" s="5">
        <v>74.55</v>
      </c>
      <c r="H367" s="6">
        <v>1.0</v>
      </c>
      <c r="I367" s="6">
        <v>1.0</v>
      </c>
      <c r="J367" s="6">
        <v>1.0</v>
      </c>
      <c r="K367" s="5">
        <f t="shared" si="17"/>
        <v>212601310</v>
      </c>
      <c r="L367" s="5">
        <f t="shared" ref="L367:M367" si="370">L366+F367</f>
        <v>40586.849</v>
      </c>
      <c r="M367" s="5">
        <f t="shared" si="370"/>
        <v>45002.94</v>
      </c>
      <c r="N367" s="6">
        <f t="shared" si="3"/>
        <v>0.1467916667</v>
      </c>
      <c r="O367" s="6">
        <f t="shared" si="4"/>
        <v>0.249532054</v>
      </c>
    </row>
    <row r="368">
      <c r="A368" s="4">
        <v>45840.0</v>
      </c>
      <c r="B368" s="5">
        <v>356.0</v>
      </c>
      <c r="C368" s="5">
        <v>222700.000000012</v>
      </c>
      <c r="D368" s="5">
        <v>1.56</v>
      </c>
      <c r="E368" s="5">
        <v>40.26</v>
      </c>
      <c r="F368" s="5">
        <v>32.17</v>
      </c>
      <c r="G368" s="5">
        <v>33.23</v>
      </c>
      <c r="H368" s="6">
        <v>1.0</v>
      </c>
      <c r="I368" s="6">
        <v>1.0</v>
      </c>
      <c r="J368" s="6">
        <v>1.0</v>
      </c>
      <c r="K368" s="5">
        <f t="shared" si="17"/>
        <v>212824010</v>
      </c>
      <c r="L368" s="5">
        <f t="shared" ref="L368:M368" si="371">L367+F368</f>
        <v>40619.019</v>
      </c>
      <c r="M368" s="5">
        <f t="shared" si="371"/>
        <v>45036.17</v>
      </c>
      <c r="N368" s="6">
        <f t="shared" si="3"/>
        <v>0.09279166667</v>
      </c>
      <c r="O368" s="6">
        <f t="shared" si="4"/>
        <v>0.249091772</v>
      </c>
    </row>
    <row r="369">
      <c r="A369" s="4">
        <v>45841.0</v>
      </c>
      <c r="B369" s="5">
        <v>357.0</v>
      </c>
      <c r="C369" s="5">
        <v>188100.000000006</v>
      </c>
      <c r="D369" s="5">
        <v>1.315</v>
      </c>
      <c r="E369" s="5">
        <v>35.31</v>
      </c>
      <c r="F369" s="5">
        <v>0.0</v>
      </c>
      <c r="G369" s="5">
        <v>0.0</v>
      </c>
      <c r="H369" s="6">
        <v>1.0</v>
      </c>
      <c r="I369" s="6">
        <v>1.0</v>
      </c>
      <c r="J369" s="6">
        <v>1.0</v>
      </c>
      <c r="K369" s="5">
        <f t="shared" si="17"/>
        <v>213012110</v>
      </c>
      <c r="L369" s="5">
        <f t="shared" ref="L369:M369" si="372">L368+F369</f>
        <v>40619.019</v>
      </c>
      <c r="M369" s="5">
        <f t="shared" si="372"/>
        <v>45036.17</v>
      </c>
      <c r="N369" s="6">
        <f t="shared" si="3"/>
        <v>0.078375</v>
      </c>
      <c r="O369" s="6">
        <f t="shared" si="4"/>
        <v>0.2486135738</v>
      </c>
    </row>
    <row r="370">
      <c r="A370" s="4">
        <v>45842.0</v>
      </c>
      <c r="B370" s="5">
        <v>358.0</v>
      </c>
      <c r="C370" s="5">
        <v>379399.999999994</v>
      </c>
      <c r="D370" s="5">
        <v>3.095</v>
      </c>
      <c r="E370" s="5">
        <v>57.37</v>
      </c>
      <c r="F370" s="5">
        <v>73.69</v>
      </c>
      <c r="G370" s="5">
        <v>103.98</v>
      </c>
      <c r="H370" s="6">
        <v>1.0</v>
      </c>
      <c r="I370" s="6">
        <v>1.0</v>
      </c>
      <c r="J370" s="6">
        <v>1.0</v>
      </c>
      <c r="K370" s="5">
        <f t="shared" si="17"/>
        <v>213391510</v>
      </c>
      <c r="L370" s="5">
        <f t="shared" ref="L370:M370" si="373">L369+F370</f>
        <v>40692.709</v>
      </c>
      <c r="M370" s="5">
        <f t="shared" si="373"/>
        <v>45140.15</v>
      </c>
      <c r="N370" s="6">
        <f t="shared" si="3"/>
        <v>0.1580833333</v>
      </c>
      <c r="O370" s="6">
        <f t="shared" si="4"/>
        <v>0.248360696</v>
      </c>
    </row>
    <row r="371">
      <c r="A371" s="4">
        <v>45843.0</v>
      </c>
      <c r="B371" s="5">
        <v>359.0</v>
      </c>
      <c r="C371" s="5">
        <v>345199.999999983</v>
      </c>
      <c r="D371" s="5">
        <v>2.57</v>
      </c>
      <c r="E371" s="5">
        <v>61.13</v>
      </c>
      <c r="F371" s="5">
        <v>92.2</v>
      </c>
      <c r="G371" s="5">
        <v>92.67</v>
      </c>
      <c r="H371" s="6">
        <v>1.0</v>
      </c>
      <c r="I371" s="6">
        <v>1.0</v>
      </c>
      <c r="J371" s="6">
        <v>0.996326413050614</v>
      </c>
      <c r="K371" s="5">
        <f t="shared" si="17"/>
        <v>213736710</v>
      </c>
      <c r="L371" s="5">
        <f t="shared" ref="L371:M371" si="374">L370+F371</f>
        <v>40784.909</v>
      </c>
      <c r="M371" s="5">
        <f t="shared" si="374"/>
        <v>45232.82</v>
      </c>
      <c r="N371" s="6">
        <f t="shared" si="3"/>
        <v>0.1438333333</v>
      </c>
      <c r="O371" s="6">
        <f t="shared" si="4"/>
        <v>0.2480695334</v>
      </c>
    </row>
    <row r="372">
      <c r="A372" s="4">
        <v>45844.0</v>
      </c>
      <c r="B372" s="5">
        <v>360.0</v>
      </c>
      <c r="C372" s="5">
        <v>201500.000000029</v>
      </c>
      <c r="D372" s="5">
        <v>1.43</v>
      </c>
      <c r="E372" s="5">
        <v>39.59</v>
      </c>
      <c r="F372" s="5">
        <v>35.66</v>
      </c>
      <c r="G372" s="5">
        <v>29.77</v>
      </c>
      <c r="H372" s="6">
        <v>1.0</v>
      </c>
      <c r="I372" s="6">
        <v>1.0</v>
      </c>
      <c r="J372" s="6">
        <v>1.0</v>
      </c>
      <c r="K372" s="5">
        <f t="shared" si="17"/>
        <v>213938210</v>
      </c>
      <c r="L372" s="5">
        <f t="shared" ref="L372:M372" si="375">L371+F372</f>
        <v>40820.569</v>
      </c>
      <c r="M372" s="5">
        <f t="shared" si="375"/>
        <v>45262.59</v>
      </c>
      <c r="N372" s="6">
        <f t="shared" si="3"/>
        <v>0.08395833333</v>
      </c>
      <c r="O372" s="6">
        <f t="shared" si="4"/>
        <v>0.247613669</v>
      </c>
    </row>
    <row r="373">
      <c r="A373" s="4">
        <v>45845.0</v>
      </c>
      <c r="B373" s="5">
        <v>361.0</v>
      </c>
      <c r="C373" s="5">
        <v>163299.999999988</v>
      </c>
      <c r="D373" s="5">
        <v>1.145</v>
      </c>
      <c r="E373" s="5">
        <v>39.58</v>
      </c>
      <c r="F373" s="5">
        <v>11.16</v>
      </c>
      <c r="G373" s="5">
        <v>12.98</v>
      </c>
      <c r="H373" s="6">
        <v>1.0</v>
      </c>
      <c r="I373" s="6">
        <v>1.0</v>
      </c>
      <c r="J373" s="6">
        <v>1.0</v>
      </c>
      <c r="K373" s="5">
        <f t="shared" si="17"/>
        <v>214101510</v>
      </c>
      <c r="L373" s="5">
        <f t="shared" ref="L373:M373" si="376">L372+F373</f>
        <v>40831.729</v>
      </c>
      <c r="M373" s="5">
        <f t="shared" si="376"/>
        <v>45275.57</v>
      </c>
      <c r="N373" s="6">
        <f t="shared" si="3"/>
        <v>0.06804166667</v>
      </c>
      <c r="O373" s="6">
        <f t="shared" si="4"/>
        <v>0.2471162396</v>
      </c>
    </row>
    <row r="374">
      <c r="A374" s="4">
        <v>45846.0</v>
      </c>
      <c r="B374" s="5">
        <v>362.0</v>
      </c>
      <c r="C374" s="5">
        <v>162699.999999983</v>
      </c>
      <c r="D374" s="5">
        <v>1.15</v>
      </c>
      <c r="E374" s="5">
        <v>40.85</v>
      </c>
      <c r="F374" s="5">
        <v>0.0</v>
      </c>
      <c r="G374" s="5">
        <v>0.0</v>
      </c>
      <c r="H374" s="6">
        <v>1.0</v>
      </c>
      <c r="I374" s="6">
        <v>1.0</v>
      </c>
      <c r="J374" s="6">
        <v>1.0</v>
      </c>
      <c r="K374" s="5">
        <f t="shared" si="17"/>
        <v>214264210</v>
      </c>
      <c r="L374" s="5">
        <f t="shared" ref="L374:M374" si="377">L373+F374</f>
        <v>40831.729</v>
      </c>
      <c r="M374" s="5">
        <f t="shared" si="377"/>
        <v>45275.57</v>
      </c>
      <c r="N374" s="6">
        <f t="shared" si="3"/>
        <v>0.06779166667</v>
      </c>
      <c r="O374" s="6">
        <f t="shared" si="4"/>
        <v>0.2466208679</v>
      </c>
    </row>
    <row r="375">
      <c r="A375" s="4">
        <v>45847.0</v>
      </c>
      <c r="B375" s="5">
        <v>363.0</v>
      </c>
      <c r="C375" s="5">
        <v>179600.000000006</v>
      </c>
      <c r="D375" s="5">
        <v>1.4</v>
      </c>
      <c r="E375" s="5">
        <v>71.4</v>
      </c>
      <c r="F375" s="5">
        <v>42.84</v>
      </c>
      <c r="G375" s="5">
        <v>48.75</v>
      </c>
      <c r="H375" s="6">
        <v>1.0</v>
      </c>
      <c r="I375" s="6">
        <v>1.0</v>
      </c>
      <c r="J375" s="6">
        <v>1.0</v>
      </c>
      <c r="K375" s="5">
        <f t="shared" si="17"/>
        <v>214443810</v>
      </c>
      <c r="L375" s="5">
        <f t="shared" ref="L375:M375" si="378">L374+F375</f>
        <v>40874.569</v>
      </c>
      <c r="M375" s="5">
        <f t="shared" si="378"/>
        <v>45324.32</v>
      </c>
      <c r="N375" s="6">
        <f t="shared" si="3"/>
        <v>0.07483333333</v>
      </c>
      <c r="O375" s="6">
        <f t="shared" si="4"/>
        <v>0.246147624</v>
      </c>
    </row>
    <row r="376">
      <c r="A376" s="4">
        <v>45848.0</v>
      </c>
      <c r="B376" s="5">
        <v>364.0</v>
      </c>
      <c r="C376" s="5">
        <v>442500.0</v>
      </c>
      <c r="D376" s="5">
        <v>3.96</v>
      </c>
      <c r="E376" s="5">
        <v>78.07</v>
      </c>
      <c r="F376" s="5">
        <v>73.89</v>
      </c>
      <c r="G376" s="5">
        <v>136.36</v>
      </c>
      <c r="H376" s="6">
        <v>0.999170181193377</v>
      </c>
      <c r="I376" s="6">
        <v>1.0</v>
      </c>
      <c r="J376" s="6">
        <v>1.0</v>
      </c>
      <c r="K376" s="5">
        <f t="shared" si="17"/>
        <v>214886310</v>
      </c>
      <c r="L376" s="5">
        <f t="shared" ref="L376:M376" si="379">L375+F376</f>
        <v>40948.459</v>
      </c>
      <c r="M376" s="5">
        <f t="shared" si="379"/>
        <v>45460.68</v>
      </c>
      <c r="N376" s="6">
        <f t="shared" si="3"/>
        <v>0.184375</v>
      </c>
      <c r="O376" s="6">
        <f t="shared" si="4"/>
        <v>0.245977919</v>
      </c>
    </row>
    <row r="377">
      <c r="A377" s="4">
        <v>45849.0</v>
      </c>
      <c r="B377" s="5">
        <v>365.0</v>
      </c>
      <c r="C377" s="5">
        <v>600200.000000012</v>
      </c>
      <c r="D377" s="5">
        <v>4.785</v>
      </c>
      <c r="E377" s="5">
        <v>98.62</v>
      </c>
      <c r="F377" s="5">
        <v>118.52</v>
      </c>
      <c r="G377" s="5">
        <v>125.56</v>
      </c>
      <c r="H377" s="6">
        <v>0.999446158715088</v>
      </c>
      <c r="I377" s="6">
        <v>1.0</v>
      </c>
      <c r="J377" s="6">
        <v>1.0</v>
      </c>
      <c r="K377" s="5">
        <f t="shared" si="17"/>
        <v>215486510</v>
      </c>
      <c r="L377" s="5">
        <f t="shared" ref="L377:M377" si="380">L376+F377</f>
        <v>41066.979</v>
      </c>
      <c r="M377" s="5">
        <f t="shared" si="380"/>
        <v>45586.24</v>
      </c>
      <c r="N377" s="6">
        <f t="shared" si="3"/>
        <v>0.2500833333</v>
      </c>
      <c r="O377" s="6">
        <f t="shared" si="4"/>
        <v>0.2459891667</v>
      </c>
    </row>
    <row r="378">
      <c r="A378" s="4">
        <v>45850.0</v>
      </c>
      <c r="B378" s="5">
        <v>1.0</v>
      </c>
      <c r="C378" s="5">
        <v>681100.0000000058</v>
      </c>
      <c r="D378" s="5">
        <v>5.73</v>
      </c>
      <c r="E378" s="5">
        <v>86.49</v>
      </c>
      <c r="F378" s="5">
        <v>115.54</v>
      </c>
      <c r="G378" s="5">
        <v>132.41</v>
      </c>
      <c r="H378" s="6">
        <v>1.0</v>
      </c>
      <c r="I378" s="6">
        <v>1.0</v>
      </c>
      <c r="J378" s="6">
        <v>1.0</v>
      </c>
      <c r="K378" s="5">
        <f>C378</f>
        <v>681100</v>
      </c>
      <c r="L378" s="5">
        <f t="shared" ref="L378:M378" si="381">F378</f>
        <v>115.54</v>
      </c>
      <c r="M378" s="5">
        <f t="shared" si="381"/>
        <v>132.41</v>
      </c>
      <c r="N378" s="6">
        <f t="shared" si="3"/>
        <v>0.2837916667</v>
      </c>
      <c r="O378" s="6">
        <f t="shared" si="4"/>
        <v>0.2837916667</v>
      </c>
    </row>
    <row r="379">
      <c r="A379" s="4">
        <v>45851.0</v>
      </c>
      <c r="B379" s="5">
        <v>2.0</v>
      </c>
      <c r="C379" s="5">
        <v>723799.9999999884</v>
      </c>
      <c r="D379" s="5">
        <v>5.9399999999999995</v>
      </c>
      <c r="E379" s="5">
        <v>93.87</v>
      </c>
      <c r="F379" s="5">
        <v>116.46</v>
      </c>
      <c r="G379" s="5">
        <v>131.6</v>
      </c>
      <c r="H379" s="6">
        <v>1.0</v>
      </c>
      <c r="I379" s="6">
        <v>1.0</v>
      </c>
      <c r="J379" s="6">
        <v>1.0</v>
      </c>
      <c r="K379" s="5">
        <f t="shared" ref="K379:K461" si="383">K378+C379</f>
        <v>1404900</v>
      </c>
      <c r="L379" s="5">
        <f t="shared" ref="L379:M379" si="382">L378+F379</f>
        <v>232</v>
      </c>
      <c r="M379" s="5">
        <f t="shared" si="382"/>
        <v>264.01</v>
      </c>
      <c r="N379" s="6">
        <f t="shared" si="3"/>
        <v>0.3015833333</v>
      </c>
      <c r="O379" s="6">
        <f t="shared" si="4"/>
        <v>0.2926875</v>
      </c>
    </row>
    <row r="380">
      <c r="A380" s="4">
        <v>45852.0</v>
      </c>
      <c r="B380" s="5">
        <v>3.0</v>
      </c>
      <c r="C380" s="5">
        <v>666399.9999999942</v>
      </c>
      <c r="D380" s="5">
        <v>5.37</v>
      </c>
      <c r="E380" s="5">
        <v>93.3</v>
      </c>
      <c r="F380" s="5">
        <v>116.57</v>
      </c>
      <c r="G380" s="5">
        <v>131.39999999999998</v>
      </c>
      <c r="H380" s="6">
        <v>1.0</v>
      </c>
      <c r="I380" s="6">
        <v>1.0</v>
      </c>
      <c r="J380" s="6">
        <v>1.0</v>
      </c>
      <c r="K380" s="5">
        <f t="shared" si="383"/>
        <v>2071300</v>
      </c>
      <c r="L380" s="5">
        <f t="shared" ref="L380:M380" si="384">L379+F380</f>
        <v>348.57</v>
      </c>
      <c r="M380" s="5">
        <f t="shared" si="384"/>
        <v>395.41</v>
      </c>
      <c r="N380" s="6">
        <f t="shared" si="3"/>
        <v>0.2776666667</v>
      </c>
      <c r="O380" s="6">
        <f t="shared" si="4"/>
        <v>0.2876805556</v>
      </c>
    </row>
    <row r="381">
      <c r="A381" s="4">
        <v>45853.0</v>
      </c>
      <c r="B381" s="5">
        <v>4.0</v>
      </c>
      <c r="C381" s="5">
        <v>611000.0</v>
      </c>
      <c r="D381" s="5">
        <v>5.58</v>
      </c>
      <c r="E381" s="5">
        <v>91.14</v>
      </c>
      <c r="F381" s="5">
        <v>116.26</v>
      </c>
      <c r="G381" s="5">
        <v>130.5</v>
      </c>
      <c r="H381" s="6">
        <v>0.9985188743445018</v>
      </c>
      <c r="I381" s="6">
        <v>1.0</v>
      </c>
      <c r="J381" s="6">
        <v>1.0</v>
      </c>
      <c r="K381" s="5">
        <f t="shared" si="383"/>
        <v>2682300</v>
      </c>
      <c r="L381" s="5">
        <f t="shared" ref="L381:M381" si="385">L380+F381</f>
        <v>464.83</v>
      </c>
      <c r="M381" s="5">
        <f t="shared" si="385"/>
        <v>525.91</v>
      </c>
      <c r="N381" s="6">
        <f t="shared" si="3"/>
        <v>0.2545833333</v>
      </c>
      <c r="O381" s="6">
        <f t="shared" si="4"/>
        <v>0.27940625</v>
      </c>
    </row>
    <row r="382">
      <c r="A382" s="4">
        <v>45854.0</v>
      </c>
      <c r="B382" s="5">
        <v>5.0</v>
      </c>
      <c r="C382" s="5">
        <v>382200.00000001164</v>
      </c>
      <c r="D382" s="5">
        <v>2.93</v>
      </c>
      <c r="E382" s="5">
        <v>75.57</v>
      </c>
      <c r="F382" s="5">
        <v>116.58</v>
      </c>
      <c r="G382" s="5">
        <v>130.39</v>
      </c>
      <c r="H382" s="6">
        <v>0.998219632681784</v>
      </c>
      <c r="I382" s="6">
        <v>1.0</v>
      </c>
      <c r="J382" s="6">
        <v>1.0</v>
      </c>
      <c r="K382" s="5">
        <f t="shared" si="383"/>
        <v>3064500</v>
      </c>
      <c r="L382" s="5">
        <f t="shared" ref="L382:M382" si="386">L381+F382</f>
        <v>581.41</v>
      </c>
      <c r="M382" s="5">
        <f t="shared" si="386"/>
        <v>656.3</v>
      </c>
      <c r="N382" s="6">
        <f t="shared" si="3"/>
        <v>0.15925</v>
      </c>
      <c r="O382" s="6">
        <f t="shared" si="4"/>
        <v>0.255375</v>
      </c>
    </row>
    <row r="383">
      <c r="A383" s="4">
        <v>45855.0</v>
      </c>
      <c r="B383" s="5">
        <v>6.0</v>
      </c>
      <c r="C383" s="5">
        <v>613100.0000000058</v>
      </c>
      <c r="D383" s="5">
        <v>5.05</v>
      </c>
      <c r="E383" s="5">
        <v>82.07</v>
      </c>
      <c r="F383" s="5">
        <v>115.53999999999999</v>
      </c>
      <c r="G383" s="5">
        <v>130.54999999999998</v>
      </c>
      <c r="H383" s="6">
        <v>1.0</v>
      </c>
      <c r="I383" s="6">
        <v>0.9422253922967181</v>
      </c>
      <c r="J383" s="6">
        <v>1.0</v>
      </c>
      <c r="K383" s="5">
        <f t="shared" si="383"/>
        <v>3677600</v>
      </c>
      <c r="L383" s="5">
        <f t="shared" ref="L383:M383" si="387">L382+F383</f>
        <v>696.95</v>
      </c>
      <c r="M383" s="5">
        <f t="shared" si="387"/>
        <v>786.85</v>
      </c>
      <c r="N383" s="6">
        <f t="shared" si="3"/>
        <v>0.2554583333</v>
      </c>
      <c r="O383" s="6">
        <f t="shared" si="4"/>
        <v>0.2553888889</v>
      </c>
    </row>
    <row r="384">
      <c r="A384" s="4">
        <v>45856.0</v>
      </c>
      <c r="B384" s="5">
        <v>7.0</v>
      </c>
      <c r="C384" s="5">
        <v>633199.9999999825</v>
      </c>
      <c r="D384" s="5">
        <v>5.085</v>
      </c>
      <c r="E384" s="5">
        <v>81.37</v>
      </c>
      <c r="F384" s="5">
        <v>116.86</v>
      </c>
      <c r="G384" s="5">
        <v>127.75</v>
      </c>
      <c r="H384" s="6">
        <v>1.0</v>
      </c>
      <c r="I384" s="6">
        <v>1.0</v>
      </c>
      <c r="J384" s="6">
        <v>1.0</v>
      </c>
      <c r="K384" s="5">
        <f t="shared" si="383"/>
        <v>4310800</v>
      </c>
      <c r="L384" s="5">
        <f t="shared" ref="L384:M384" si="388">L383+F384</f>
        <v>813.81</v>
      </c>
      <c r="M384" s="5">
        <f t="shared" si="388"/>
        <v>914.6</v>
      </c>
      <c r="N384" s="6">
        <f t="shared" si="3"/>
        <v>0.2638333333</v>
      </c>
      <c r="O384" s="6">
        <f t="shared" si="4"/>
        <v>0.2565952381</v>
      </c>
    </row>
    <row r="385">
      <c r="A385" s="4">
        <v>45857.0</v>
      </c>
      <c r="B385" s="5">
        <v>8.0</v>
      </c>
      <c r="C385" s="5">
        <v>709300.0000000175</v>
      </c>
      <c r="D385" s="5">
        <v>5.975</v>
      </c>
      <c r="E385" s="5">
        <v>90.02</v>
      </c>
      <c r="F385" s="5">
        <v>116.95000000000002</v>
      </c>
      <c r="G385" s="5">
        <v>128.09</v>
      </c>
      <c r="H385" s="6">
        <v>1.0</v>
      </c>
      <c r="I385" s="6">
        <v>1.0</v>
      </c>
      <c r="J385" s="6">
        <v>1.0</v>
      </c>
      <c r="K385" s="5">
        <f t="shared" si="383"/>
        <v>5020100</v>
      </c>
      <c r="L385" s="5">
        <f t="shared" ref="L385:M385" si="389">L384+F385</f>
        <v>930.76</v>
      </c>
      <c r="M385" s="5">
        <f t="shared" si="389"/>
        <v>1042.69</v>
      </c>
      <c r="N385" s="6">
        <f t="shared" si="3"/>
        <v>0.2955416667</v>
      </c>
      <c r="O385" s="6">
        <f t="shared" si="4"/>
        <v>0.2614635417</v>
      </c>
    </row>
    <row r="386">
      <c r="A386" s="4">
        <v>45858.0</v>
      </c>
      <c r="B386" s="5">
        <v>9.0</v>
      </c>
      <c r="C386" s="5">
        <v>363899.9999999942</v>
      </c>
      <c r="D386" s="5">
        <v>2.74</v>
      </c>
      <c r="E386" s="5">
        <v>61.9</v>
      </c>
      <c r="F386" s="5">
        <v>117.57000000000001</v>
      </c>
      <c r="G386" s="5">
        <v>126.12</v>
      </c>
      <c r="H386" s="6">
        <v>1.0</v>
      </c>
      <c r="I386" s="6">
        <v>1.0</v>
      </c>
      <c r="J386" s="6">
        <v>1.0</v>
      </c>
      <c r="K386" s="5">
        <f t="shared" si="383"/>
        <v>5384000</v>
      </c>
      <c r="L386" s="5">
        <f t="shared" ref="L386:M386" si="390">L385+F386</f>
        <v>1048.33</v>
      </c>
      <c r="M386" s="5">
        <f t="shared" si="390"/>
        <v>1168.81</v>
      </c>
      <c r="N386" s="6">
        <f t="shared" si="3"/>
        <v>0.151625</v>
      </c>
      <c r="O386" s="6">
        <f t="shared" si="4"/>
        <v>0.2492592593</v>
      </c>
    </row>
    <row r="387">
      <c r="A387" s="4">
        <v>45859.0</v>
      </c>
      <c r="B387" s="5">
        <v>10.0</v>
      </c>
      <c r="C387" s="5">
        <v>456799.99999998836</v>
      </c>
      <c r="D387" s="5">
        <v>3.635</v>
      </c>
      <c r="E387" s="5">
        <v>86.96</v>
      </c>
      <c r="F387" s="5">
        <v>116.25</v>
      </c>
      <c r="G387" s="5">
        <v>131.15</v>
      </c>
      <c r="H387" s="6">
        <v>1.0</v>
      </c>
      <c r="I387" s="6">
        <v>1.0</v>
      </c>
      <c r="J387" s="6">
        <v>1.0</v>
      </c>
      <c r="K387" s="5">
        <f t="shared" si="383"/>
        <v>5840800</v>
      </c>
      <c r="L387" s="5">
        <f t="shared" ref="L387:M387" si="391">L386+F387</f>
        <v>1164.58</v>
      </c>
      <c r="M387" s="5">
        <f t="shared" si="391"/>
        <v>1299.96</v>
      </c>
      <c r="N387" s="6">
        <f t="shared" si="3"/>
        <v>0.1903333333</v>
      </c>
      <c r="O387" s="6">
        <f t="shared" si="4"/>
        <v>0.2433666667</v>
      </c>
    </row>
    <row r="388">
      <c r="A388" s="4">
        <v>45860.0</v>
      </c>
      <c r="B388" s="5">
        <v>11.0</v>
      </c>
      <c r="C388" s="5">
        <v>467400.0000000233</v>
      </c>
      <c r="D388" s="5">
        <v>3.72</v>
      </c>
      <c r="E388" s="5">
        <v>73.54</v>
      </c>
      <c r="F388" s="5">
        <v>116.53999999999999</v>
      </c>
      <c r="G388" s="5">
        <v>128.76</v>
      </c>
      <c r="H388" s="6">
        <v>1.0</v>
      </c>
      <c r="I388" s="6">
        <v>1.0</v>
      </c>
      <c r="J388" s="6">
        <v>1.0</v>
      </c>
      <c r="K388" s="5">
        <f t="shared" si="383"/>
        <v>6308200</v>
      </c>
      <c r="L388" s="5">
        <f t="shared" ref="L388:M388" si="392">L387+F388</f>
        <v>1281.12</v>
      </c>
      <c r="M388" s="5">
        <f t="shared" si="392"/>
        <v>1428.72</v>
      </c>
      <c r="N388" s="6">
        <f t="shared" si="3"/>
        <v>0.19475</v>
      </c>
      <c r="O388" s="6">
        <f t="shared" si="4"/>
        <v>0.2389469697</v>
      </c>
    </row>
    <row r="389">
      <c r="A389" s="4">
        <v>45861.0</v>
      </c>
      <c r="B389" s="5">
        <v>12.0</v>
      </c>
      <c r="C389" s="5">
        <v>630499.9999999709</v>
      </c>
      <c r="D389" s="5">
        <v>5.140000000000001</v>
      </c>
      <c r="E389" s="5">
        <v>84.22</v>
      </c>
      <c r="F389" s="5">
        <v>116.41000000000001</v>
      </c>
      <c r="G389" s="5">
        <v>131.4</v>
      </c>
      <c r="H389" s="6">
        <v>1.0</v>
      </c>
      <c r="I389" s="6">
        <v>1.0</v>
      </c>
      <c r="J389" s="6">
        <v>1.0</v>
      </c>
      <c r="K389" s="5">
        <f t="shared" si="383"/>
        <v>6938700</v>
      </c>
      <c r="L389" s="5">
        <f t="shared" ref="L389:M389" si="393">L388+F389</f>
        <v>1397.53</v>
      </c>
      <c r="M389" s="5">
        <f t="shared" si="393"/>
        <v>1560.12</v>
      </c>
      <c r="N389" s="6">
        <f t="shared" si="3"/>
        <v>0.2627083333</v>
      </c>
      <c r="O389" s="6">
        <f t="shared" si="4"/>
        <v>0.2409270833</v>
      </c>
    </row>
    <row r="390">
      <c r="A390" s="4">
        <v>45862.0</v>
      </c>
      <c r="B390" s="5">
        <v>13.0</v>
      </c>
      <c r="C390" s="5">
        <v>466799.99999998836</v>
      </c>
      <c r="D390" s="5">
        <v>3.635</v>
      </c>
      <c r="E390" s="5">
        <v>71.88</v>
      </c>
      <c r="F390" s="5">
        <v>116.63000000000001</v>
      </c>
      <c r="G390" s="5">
        <v>130.35999999999999</v>
      </c>
      <c r="H390" s="6">
        <v>1.0</v>
      </c>
      <c r="I390" s="6">
        <v>1.0</v>
      </c>
      <c r="J390" s="6">
        <v>1.0</v>
      </c>
      <c r="K390" s="5">
        <f t="shared" si="383"/>
        <v>7405500</v>
      </c>
      <c r="L390" s="5">
        <f t="shared" ref="L390:M390" si="394">L389+F390</f>
        <v>1514.16</v>
      </c>
      <c r="M390" s="5">
        <f t="shared" si="394"/>
        <v>1690.48</v>
      </c>
      <c r="N390" s="6">
        <f t="shared" si="3"/>
        <v>0.1945</v>
      </c>
      <c r="O390" s="6">
        <f t="shared" si="4"/>
        <v>0.2373557692</v>
      </c>
    </row>
    <row r="391">
      <c r="A391" s="4">
        <v>45863.0</v>
      </c>
      <c r="B391" s="5">
        <v>14.0</v>
      </c>
      <c r="C391" s="5">
        <v>281500.0000000291</v>
      </c>
      <c r="D391" s="5">
        <v>1.67</v>
      </c>
      <c r="E391" s="5">
        <v>42.29</v>
      </c>
      <c r="F391" s="5">
        <v>95.25999999999999</v>
      </c>
      <c r="G391" s="5">
        <v>54.93</v>
      </c>
      <c r="H391" s="6">
        <v>1.0</v>
      </c>
      <c r="I391" s="6">
        <v>1.0</v>
      </c>
      <c r="J391" s="6">
        <v>1.0</v>
      </c>
      <c r="K391" s="5">
        <f t="shared" si="383"/>
        <v>7687000</v>
      </c>
      <c r="L391" s="5">
        <f t="shared" ref="L391:M391" si="395">L390+F391</f>
        <v>1609.42</v>
      </c>
      <c r="M391" s="5">
        <f t="shared" si="395"/>
        <v>1745.41</v>
      </c>
      <c r="N391" s="6">
        <f t="shared" si="3"/>
        <v>0.1172916667</v>
      </c>
      <c r="O391" s="6">
        <f t="shared" si="4"/>
        <v>0.2287797619</v>
      </c>
    </row>
    <row r="392">
      <c r="A392" s="4">
        <v>45864.0</v>
      </c>
      <c r="B392" s="5">
        <v>15.0</v>
      </c>
      <c r="C392" s="5">
        <v>143099.99999997672</v>
      </c>
      <c r="D392" s="5">
        <v>1.0550000000000002</v>
      </c>
      <c r="E392" s="5">
        <v>41.95</v>
      </c>
      <c r="F392" s="5">
        <v>12.85</v>
      </c>
      <c r="G392" s="5">
        <v>14.19</v>
      </c>
      <c r="H392" s="6">
        <v>1.0</v>
      </c>
      <c r="I392" s="6">
        <v>1.0</v>
      </c>
      <c r="J392" s="6">
        <v>1.0</v>
      </c>
      <c r="K392" s="5">
        <f t="shared" si="383"/>
        <v>7830100</v>
      </c>
      <c r="L392" s="5">
        <f t="shared" ref="L392:M392" si="396">L391+F392</f>
        <v>1622.27</v>
      </c>
      <c r="M392" s="5">
        <f t="shared" si="396"/>
        <v>1759.6</v>
      </c>
      <c r="N392" s="6">
        <f t="shared" si="3"/>
        <v>0.059625</v>
      </c>
      <c r="O392" s="6">
        <f t="shared" si="4"/>
        <v>0.2175027778</v>
      </c>
    </row>
    <row r="393">
      <c r="A393" s="4">
        <v>45865.0</v>
      </c>
      <c r="B393" s="5">
        <v>16.0</v>
      </c>
      <c r="C393" s="5">
        <v>339200.00000001164</v>
      </c>
      <c r="D393" s="5">
        <v>2.69</v>
      </c>
      <c r="E393" s="5">
        <v>61.05</v>
      </c>
      <c r="F393" s="5">
        <v>73.57</v>
      </c>
      <c r="G393" s="5">
        <v>109.47</v>
      </c>
      <c r="H393" s="6">
        <v>0.9987783494362441</v>
      </c>
      <c r="I393" s="6">
        <v>1.0</v>
      </c>
      <c r="J393" s="6">
        <v>1.0</v>
      </c>
      <c r="K393" s="5">
        <f t="shared" si="383"/>
        <v>8169300</v>
      </c>
      <c r="L393" s="5">
        <f t="shared" ref="L393:M393" si="397">L392+F393</f>
        <v>1695.84</v>
      </c>
      <c r="M393" s="5">
        <f t="shared" si="397"/>
        <v>1869.07</v>
      </c>
      <c r="N393" s="6">
        <f t="shared" si="3"/>
        <v>0.1413333333</v>
      </c>
      <c r="O393" s="6">
        <f t="shared" si="4"/>
        <v>0.2127421875</v>
      </c>
    </row>
    <row r="394">
      <c r="A394" s="4">
        <v>45866.0</v>
      </c>
      <c r="B394" s="5">
        <v>17.0</v>
      </c>
      <c r="C394" s="5">
        <v>431000.0</v>
      </c>
      <c r="D394" s="5">
        <v>3.4050000000000002</v>
      </c>
      <c r="E394" s="5">
        <v>89.76</v>
      </c>
      <c r="F394" s="5">
        <v>98.2</v>
      </c>
      <c r="G394" s="5">
        <v>108.13999999999999</v>
      </c>
      <c r="H394" s="6">
        <v>0.9993564993564994</v>
      </c>
      <c r="I394" s="6">
        <v>1.0</v>
      </c>
      <c r="J394" s="6">
        <v>1.0</v>
      </c>
      <c r="K394" s="5">
        <f t="shared" si="383"/>
        <v>8600300</v>
      </c>
      <c r="L394" s="5">
        <f t="shared" ref="L394:M394" si="398">L393+F394</f>
        <v>1794.04</v>
      </c>
      <c r="M394" s="5">
        <f t="shared" si="398"/>
        <v>1977.21</v>
      </c>
      <c r="N394" s="6">
        <f t="shared" si="3"/>
        <v>0.1795833333</v>
      </c>
      <c r="O394" s="6">
        <f t="shared" si="4"/>
        <v>0.2107916667</v>
      </c>
    </row>
    <row r="395">
      <c r="A395" s="4">
        <v>45867.0</v>
      </c>
      <c r="B395" s="5">
        <v>18.0</v>
      </c>
      <c r="C395" s="5">
        <v>219800.00000001746</v>
      </c>
      <c r="D395" s="5">
        <v>1.4849999999999999</v>
      </c>
      <c r="E395" s="5">
        <v>39.83</v>
      </c>
      <c r="F395" s="5">
        <v>50.589999999999996</v>
      </c>
      <c r="G395" s="5">
        <v>30.11</v>
      </c>
      <c r="H395" s="6">
        <v>0.9993564993564994</v>
      </c>
      <c r="I395" s="6">
        <v>1.0</v>
      </c>
      <c r="J395" s="6">
        <v>1.0</v>
      </c>
      <c r="K395" s="5">
        <f t="shared" si="383"/>
        <v>8820100</v>
      </c>
      <c r="L395" s="5">
        <f t="shared" ref="L395:M395" si="399">L394+F395</f>
        <v>1844.63</v>
      </c>
      <c r="M395" s="5">
        <f t="shared" si="399"/>
        <v>2007.32</v>
      </c>
      <c r="N395" s="6">
        <f t="shared" si="3"/>
        <v>0.09158333333</v>
      </c>
      <c r="O395" s="6">
        <f t="shared" si="4"/>
        <v>0.2041689815</v>
      </c>
    </row>
    <row r="396">
      <c r="A396" s="4">
        <v>45868.0</v>
      </c>
      <c r="B396" s="5">
        <v>19.0</v>
      </c>
      <c r="C396" s="5">
        <v>364799.99999998836</v>
      </c>
      <c r="D396" s="5">
        <v>3.24</v>
      </c>
      <c r="E396" s="5">
        <v>94.08</v>
      </c>
      <c r="F396" s="5">
        <v>73.85</v>
      </c>
      <c r="G396" s="5">
        <v>121.32000000000002</v>
      </c>
      <c r="H396" s="6">
        <v>1.0</v>
      </c>
      <c r="I396" s="6">
        <v>1.0</v>
      </c>
      <c r="J396" s="6">
        <v>1.0</v>
      </c>
      <c r="K396" s="5">
        <f t="shared" si="383"/>
        <v>9184900</v>
      </c>
      <c r="L396" s="5">
        <f t="shared" ref="L396:M396" si="400">L395+F396</f>
        <v>1918.48</v>
      </c>
      <c r="M396" s="5">
        <f t="shared" si="400"/>
        <v>2128.64</v>
      </c>
      <c r="N396" s="6">
        <f t="shared" si="3"/>
        <v>0.152</v>
      </c>
      <c r="O396" s="6">
        <f t="shared" si="4"/>
        <v>0.2014232456</v>
      </c>
    </row>
    <row r="397">
      <c r="A397" s="4">
        <v>45869.0</v>
      </c>
      <c r="B397" s="5">
        <v>20.0</v>
      </c>
      <c r="C397" s="5">
        <v>680799.9999999884</v>
      </c>
      <c r="D397" s="5">
        <v>5.765000000000001</v>
      </c>
      <c r="E397" s="5">
        <v>96.43</v>
      </c>
      <c r="F397" s="5">
        <v>108.38999999999999</v>
      </c>
      <c r="G397" s="5">
        <v>131.31</v>
      </c>
      <c r="H397" s="6">
        <v>1.0</v>
      </c>
      <c r="I397" s="6">
        <v>1.0</v>
      </c>
      <c r="J397" s="6">
        <v>1.0</v>
      </c>
      <c r="K397" s="5">
        <f t="shared" si="383"/>
        <v>9865700</v>
      </c>
      <c r="L397" s="5">
        <f t="shared" ref="L397:M397" si="401">L396+F397</f>
        <v>2026.87</v>
      </c>
      <c r="M397" s="5">
        <f t="shared" si="401"/>
        <v>2259.95</v>
      </c>
      <c r="N397" s="6">
        <f t="shared" si="3"/>
        <v>0.2836666667</v>
      </c>
      <c r="O397" s="6">
        <f t="shared" si="4"/>
        <v>0.2055354167</v>
      </c>
    </row>
    <row r="398">
      <c r="A398" s="4">
        <v>45870.0</v>
      </c>
      <c r="B398" s="5">
        <v>21.0</v>
      </c>
      <c r="C398" s="5">
        <v>801300.0000000175</v>
      </c>
      <c r="D398" s="5">
        <v>6.675000000000001</v>
      </c>
      <c r="E398" s="5">
        <v>93.43</v>
      </c>
      <c r="F398" s="5">
        <v>118.14</v>
      </c>
      <c r="G398" s="5">
        <v>131.47</v>
      </c>
      <c r="H398" s="6">
        <v>1.0</v>
      </c>
      <c r="I398" s="6">
        <v>1.0</v>
      </c>
      <c r="J398" s="6">
        <v>1.0</v>
      </c>
      <c r="K398" s="5">
        <f t="shared" si="383"/>
        <v>10667000</v>
      </c>
      <c r="L398" s="5">
        <f t="shared" ref="L398:M398" si="402">L397+F398</f>
        <v>2145.01</v>
      </c>
      <c r="M398" s="5">
        <f t="shared" si="402"/>
        <v>2391.42</v>
      </c>
      <c r="N398" s="6">
        <f t="shared" si="3"/>
        <v>0.333875</v>
      </c>
      <c r="O398" s="6">
        <f t="shared" si="4"/>
        <v>0.2116468254</v>
      </c>
    </row>
    <row r="399">
      <c r="A399" s="4">
        <v>45871.0</v>
      </c>
      <c r="B399" s="5">
        <v>22.0</v>
      </c>
      <c r="C399" s="5">
        <v>566600.0000000058</v>
      </c>
      <c r="D399" s="5">
        <v>4.68</v>
      </c>
      <c r="E399" s="5">
        <v>86.93</v>
      </c>
      <c r="F399" s="5">
        <v>116.11999999999999</v>
      </c>
      <c r="G399" s="5">
        <v>131.0</v>
      </c>
      <c r="H399" s="6">
        <v>0.9997533933080808</v>
      </c>
      <c r="I399" s="6">
        <v>1.0</v>
      </c>
      <c r="J399" s="6">
        <v>1.0</v>
      </c>
      <c r="K399" s="5">
        <f t="shared" si="383"/>
        <v>11233600</v>
      </c>
      <c r="L399" s="5">
        <f t="shared" ref="L399:M399" si="403">L398+F399</f>
        <v>2261.13</v>
      </c>
      <c r="M399" s="5">
        <f t="shared" si="403"/>
        <v>2522.42</v>
      </c>
      <c r="N399" s="6">
        <f t="shared" si="3"/>
        <v>0.2360833333</v>
      </c>
      <c r="O399" s="6">
        <f t="shared" si="4"/>
        <v>0.2127575758</v>
      </c>
    </row>
    <row r="400">
      <c r="A400" s="4">
        <v>45872.0</v>
      </c>
      <c r="B400" s="5">
        <v>23.0</v>
      </c>
      <c r="C400" s="5">
        <v>800700.0000000116</v>
      </c>
      <c r="D400" s="5">
        <v>6.609999999999999</v>
      </c>
      <c r="E400" s="5">
        <v>90.07</v>
      </c>
      <c r="F400" s="5">
        <v>116.62</v>
      </c>
      <c r="G400" s="5">
        <v>130.82999999999998</v>
      </c>
      <c r="H400" s="6">
        <v>1.0</v>
      </c>
      <c r="I400" s="6">
        <v>1.0</v>
      </c>
      <c r="J400" s="6">
        <v>1.0</v>
      </c>
      <c r="K400" s="5">
        <f t="shared" si="383"/>
        <v>12034300</v>
      </c>
      <c r="L400" s="5">
        <f t="shared" ref="L400:M400" si="404">L399+F400</f>
        <v>2377.75</v>
      </c>
      <c r="M400" s="5">
        <f t="shared" si="404"/>
        <v>2653.25</v>
      </c>
      <c r="N400" s="6">
        <f t="shared" si="3"/>
        <v>0.333625</v>
      </c>
      <c r="O400" s="6">
        <f t="shared" si="4"/>
        <v>0.2180126812</v>
      </c>
    </row>
    <row r="401">
      <c r="A401" s="4">
        <v>45873.0</v>
      </c>
      <c r="B401" s="5">
        <v>24.0</v>
      </c>
      <c r="C401" s="5">
        <v>604999.9999999709</v>
      </c>
      <c r="D401" s="5">
        <v>4.32</v>
      </c>
      <c r="E401" s="5">
        <v>82.57</v>
      </c>
      <c r="F401" s="5">
        <v>158.27</v>
      </c>
      <c r="G401" s="5">
        <v>130.48</v>
      </c>
      <c r="H401" s="6">
        <v>1.0</v>
      </c>
      <c r="I401" s="6">
        <v>1.0</v>
      </c>
      <c r="J401" s="6">
        <v>1.0</v>
      </c>
      <c r="K401" s="5">
        <f t="shared" si="383"/>
        <v>12639300</v>
      </c>
      <c r="L401" s="5">
        <f t="shared" ref="L401:M401" si="405">L400+F401</f>
        <v>2536.02</v>
      </c>
      <c r="M401" s="5">
        <f t="shared" si="405"/>
        <v>2783.73</v>
      </c>
      <c r="N401" s="6">
        <f t="shared" si="3"/>
        <v>0.2520833333</v>
      </c>
      <c r="O401" s="6">
        <f t="shared" si="4"/>
        <v>0.2194322917</v>
      </c>
    </row>
    <row r="402">
      <c r="A402" s="4">
        <v>45874.0</v>
      </c>
      <c r="B402" s="5">
        <v>25.0</v>
      </c>
      <c r="C402" s="5">
        <v>711100.0000000058</v>
      </c>
      <c r="D402" s="5">
        <v>6.050000000000001</v>
      </c>
      <c r="E402" s="5">
        <v>87.52</v>
      </c>
      <c r="F402" s="5">
        <v>116.69</v>
      </c>
      <c r="G402" s="5">
        <v>130.68</v>
      </c>
      <c r="H402" s="6">
        <v>1.0</v>
      </c>
      <c r="I402" s="6">
        <v>1.0</v>
      </c>
      <c r="J402" s="6">
        <v>1.0</v>
      </c>
      <c r="K402" s="5">
        <f t="shared" si="383"/>
        <v>13350400</v>
      </c>
      <c r="L402" s="5">
        <f t="shared" ref="L402:M402" si="406">L401+F402</f>
        <v>2652.71</v>
      </c>
      <c r="M402" s="5">
        <f t="shared" si="406"/>
        <v>2914.41</v>
      </c>
      <c r="N402" s="6">
        <f t="shared" si="3"/>
        <v>0.2962916667</v>
      </c>
      <c r="O402" s="6">
        <f t="shared" si="4"/>
        <v>0.2225066667</v>
      </c>
    </row>
    <row r="403">
      <c r="A403" s="4">
        <v>45875.0</v>
      </c>
      <c r="B403" s="5">
        <v>26.0</v>
      </c>
      <c r="C403" s="5">
        <v>737299.9999999884</v>
      </c>
      <c r="D403" s="5">
        <v>6.32</v>
      </c>
      <c r="E403" s="5">
        <v>91.5</v>
      </c>
      <c r="F403" s="5">
        <v>116.52</v>
      </c>
      <c r="G403" s="5">
        <v>128.05</v>
      </c>
      <c r="H403" s="6">
        <v>1.0</v>
      </c>
      <c r="I403" s="6">
        <v>1.0</v>
      </c>
      <c r="J403" s="6">
        <v>1.0</v>
      </c>
      <c r="K403" s="5">
        <f t="shared" si="383"/>
        <v>14087700</v>
      </c>
      <c r="L403" s="5">
        <f t="shared" ref="L403:M403" si="407">L402+F403</f>
        <v>2769.23</v>
      </c>
      <c r="M403" s="5">
        <f t="shared" si="407"/>
        <v>3042.46</v>
      </c>
      <c r="N403" s="6">
        <f t="shared" si="3"/>
        <v>0.3072083333</v>
      </c>
      <c r="O403" s="6">
        <f t="shared" si="4"/>
        <v>0.2257644231</v>
      </c>
    </row>
    <row r="404">
      <c r="A404" s="4">
        <v>45876.0</v>
      </c>
      <c r="B404" s="5">
        <v>27.0</v>
      </c>
      <c r="C404" s="5">
        <v>347700.00000001164</v>
      </c>
      <c r="D404" s="5">
        <v>2.7</v>
      </c>
      <c r="E404" s="5">
        <v>77.05</v>
      </c>
      <c r="F404" s="5">
        <v>52.85999999999999</v>
      </c>
      <c r="G404" s="5">
        <v>54.599999999999994</v>
      </c>
      <c r="H404" s="6">
        <v>1.0</v>
      </c>
      <c r="I404" s="6">
        <v>1.0</v>
      </c>
      <c r="J404" s="6">
        <v>1.0</v>
      </c>
      <c r="K404" s="5">
        <f t="shared" si="383"/>
        <v>14435400</v>
      </c>
      <c r="L404" s="5">
        <f t="shared" ref="L404:M404" si="408">L403+F404</f>
        <v>2822.09</v>
      </c>
      <c r="M404" s="5">
        <f t="shared" si="408"/>
        <v>3097.06</v>
      </c>
      <c r="N404" s="6">
        <f t="shared" si="3"/>
        <v>0.144875</v>
      </c>
      <c r="O404" s="6">
        <f t="shared" si="4"/>
        <v>0.2227685185</v>
      </c>
    </row>
    <row r="405">
      <c r="A405" s="4">
        <v>45877.0</v>
      </c>
      <c r="B405" s="5">
        <v>28.0</v>
      </c>
      <c r="C405" s="5">
        <v>547600.0000000058</v>
      </c>
      <c r="D405" s="5">
        <v>4.34</v>
      </c>
      <c r="E405" s="5">
        <v>94.02</v>
      </c>
      <c r="F405" s="5">
        <v>116.37</v>
      </c>
      <c r="G405" s="5">
        <v>128.66</v>
      </c>
      <c r="H405" s="6">
        <v>1.0</v>
      </c>
      <c r="I405" s="6">
        <v>1.0</v>
      </c>
      <c r="J405" s="6">
        <v>1.0</v>
      </c>
      <c r="K405" s="5">
        <f t="shared" si="383"/>
        <v>14983000</v>
      </c>
      <c r="L405" s="5">
        <f t="shared" ref="L405:M405" si="409">L404+F405</f>
        <v>2938.46</v>
      </c>
      <c r="M405" s="5">
        <f t="shared" si="409"/>
        <v>3225.72</v>
      </c>
      <c r="N405" s="6">
        <f t="shared" si="3"/>
        <v>0.2281666667</v>
      </c>
      <c r="O405" s="6">
        <f t="shared" si="4"/>
        <v>0.2229613095</v>
      </c>
    </row>
    <row r="406">
      <c r="A406" s="4">
        <v>45878.0</v>
      </c>
      <c r="B406" s="5">
        <v>29.0</v>
      </c>
      <c r="C406" s="5">
        <v>676600.0000000058</v>
      </c>
      <c r="D406" s="5">
        <v>5.79</v>
      </c>
      <c r="E406" s="5">
        <v>93.11</v>
      </c>
      <c r="F406" s="5">
        <v>116.67999999999999</v>
      </c>
      <c r="G406" s="5">
        <v>127.54</v>
      </c>
      <c r="H406" s="6">
        <v>1.0</v>
      </c>
      <c r="I406" s="6">
        <v>1.0</v>
      </c>
      <c r="J406" s="6">
        <v>1.0</v>
      </c>
      <c r="K406" s="5">
        <f t="shared" si="383"/>
        <v>15659600</v>
      </c>
      <c r="L406" s="5">
        <f t="shared" ref="L406:M406" si="410">L405+F406</f>
        <v>3055.14</v>
      </c>
      <c r="M406" s="5">
        <f t="shared" si="410"/>
        <v>3353.26</v>
      </c>
      <c r="N406" s="6">
        <f t="shared" si="3"/>
        <v>0.2819166667</v>
      </c>
      <c r="O406" s="6">
        <f t="shared" si="4"/>
        <v>0.2249942529</v>
      </c>
    </row>
    <row r="407">
      <c r="A407" s="4">
        <v>45879.0</v>
      </c>
      <c r="B407" s="5">
        <v>30.0</v>
      </c>
      <c r="C407" s="5">
        <v>718799.9999999884</v>
      </c>
      <c r="D407" s="5">
        <v>6.035</v>
      </c>
      <c r="E407" s="5">
        <v>94.72</v>
      </c>
      <c r="F407" s="5">
        <v>116.56</v>
      </c>
      <c r="G407" s="5">
        <v>129.17999999999998</v>
      </c>
      <c r="H407" s="6">
        <v>0.9998006379585327</v>
      </c>
      <c r="I407" s="6">
        <v>1.0</v>
      </c>
      <c r="J407" s="6">
        <v>1.0</v>
      </c>
      <c r="K407" s="5">
        <f t="shared" si="383"/>
        <v>16378400</v>
      </c>
      <c r="L407" s="5">
        <f t="shared" ref="L407:M407" si="411">L406+F407</f>
        <v>3171.7</v>
      </c>
      <c r="M407" s="5">
        <f t="shared" si="411"/>
        <v>3482.44</v>
      </c>
      <c r="N407" s="6">
        <f t="shared" si="3"/>
        <v>0.2995</v>
      </c>
      <c r="O407" s="6">
        <f t="shared" si="4"/>
        <v>0.2274777778</v>
      </c>
    </row>
    <row r="408">
      <c r="A408" s="4">
        <v>45880.0</v>
      </c>
      <c r="B408" s="5">
        <v>31.0</v>
      </c>
      <c r="C408" s="5">
        <v>732799.9999999884</v>
      </c>
      <c r="D408" s="5">
        <v>5.99</v>
      </c>
      <c r="E408" s="5">
        <v>93.83</v>
      </c>
      <c r="F408" s="5">
        <v>116.12999999999998</v>
      </c>
      <c r="G408" s="5">
        <v>127.94</v>
      </c>
      <c r="H408" s="6">
        <v>1.0</v>
      </c>
      <c r="I408" s="6">
        <v>1.0</v>
      </c>
      <c r="J408" s="6">
        <v>1.0</v>
      </c>
      <c r="K408" s="5">
        <f t="shared" si="383"/>
        <v>17111200</v>
      </c>
      <c r="L408" s="5">
        <f t="shared" ref="L408:M408" si="412">L407+F408</f>
        <v>3287.83</v>
      </c>
      <c r="M408" s="5">
        <f t="shared" si="412"/>
        <v>3610.38</v>
      </c>
      <c r="N408" s="6">
        <f t="shared" si="3"/>
        <v>0.3053333333</v>
      </c>
      <c r="O408" s="6">
        <f t="shared" si="4"/>
        <v>0.2299892473</v>
      </c>
    </row>
    <row r="409">
      <c r="A409" s="4">
        <v>45881.0</v>
      </c>
      <c r="B409" s="5">
        <v>32.0</v>
      </c>
      <c r="C409" s="5">
        <v>635100.0000000058</v>
      </c>
      <c r="D409" s="5">
        <v>4.93</v>
      </c>
      <c r="E409" s="5">
        <v>86.8</v>
      </c>
      <c r="F409" s="5">
        <v>116.32000000000001</v>
      </c>
      <c r="G409" s="5">
        <v>127.73</v>
      </c>
      <c r="H409" s="6">
        <v>1.0</v>
      </c>
      <c r="I409" s="6">
        <v>1.0</v>
      </c>
      <c r="J409" s="6">
        <v>1.0</v>
      </c>
      <c r="K409" s="5">
        <f t="shared" si="383"/>
        <v>17746300</v>
      </c>
      <c r="L409" s="5">
        <f t="shared" ref="L409:M409" si="413">L408+F409</f>
        <v>3404.15</v>
      </c>
      <c r="M409" s="5">
        <f t="shared" si="413"/>
        <v>3738.11</v>
      </c>
      <c r="N409" s="6">
        <f t="shared" si="3"/>
        <v>0.264625</v>
      </c>
      <c r="O409" s="6">
        <f t="shared" si="4"/>
        <v>0.2310716146</v>
      </c>
    </row>
    <row r="410">
      <c r="A410" s="4">
        <v>45882.0</v>
      </c>
      <c r="B410" s="5">
        <v>33.0</v>
      </c>
      <c r="C410" s="5">
        <v>448200.00000001164</v>
      </c>
      <c r="D410" s="5">
        <v>3.325</v>
      </c>
      <c r="E410" s="5">
        <v>86.2</v>
      </c>
      <c r="F410" s="5">
        <v>96.25999999999999</v>
      </c>
      <c r="G410" s="5">
        <v>106.12</v>
      </c>
      <c r="H410" s="6">
        <v>1.0</v>
      </c>
      <c r="I410" s="6">
        <v>1.0</v>
      </c>
      <c r="J410" s="6">
        <v>1.0</v>
      </c>
      <c r="K410" s="5">
        <f t="shared" si="383"/>
        <v>18194500</v>
      </c>
      <c r="L410" s="5">
        <f t="shared" ref="L410:M410" si="414">L409+F410</f>
        <v>3500.41</v>
      </c>
      <c r="M410" s="5">
        <f t="shared" si="414"/>
        <v>3844.23</v>
      </c>
      <c r="N410" s="6">
        <f t="shared" si="3"/>
        <v>0.18675</v>
      </c>
      <c r="O410" s="6">
        <f t="shared" si="4"/>
        <v>0.2297285354</v>
      </c>
    </row>
    <row r="411">
      <c r="A411" s="4">
        <v>45883.0</v>
      </c>
      <c r="B411" s="5">
        <v>34.0</v>
      </c>
      <c r="C411" s="5">
        <v>588199.9999999825</v>
      </c>
      <c r="D411" s="5">
        <v>4.76</v>
      </c>
      <c r="E411" s="5">
        <v>90.44</v>
      </c>
      <c r="F411" s="5">
        <v>116.65</v>
      </c>
      <c r="G411" s="5">
        <v>129.17</v>
      </c>
      <c r="H411" s="6">
        <v>1.0</v>
      </c>
      <c r="I411" s="6">
        <v>1.0</v>
      </c>
      <c r="J411" s="6">
        <v>1.0</v>
      </c>
      <c r="K411" s="5">
        <f t="shared" si="383"/>
        <v>18782700</v>
      </c>
      <c r="L411" s="5">
        <f t="shared" ref="L411:M411" si="415">L410+F411</f>
        <v>3617.06</v>
      </c>
      <c r="M411" s="5">
        <f t="shared" si="415"/>
        <v>3973.4</v>
      </c>
      <c r="N411" s="6">
        <f t="shared" si="3"/>
        <v>0.2450833333</v>
      </c>
      <c r="O411" s="6">
        <f t="shared" si="4"/>
        <v>0.2301801471</v>
      </c>
    </row>
    <row r="412">
      <c r="A412" s="4">
        <v>45884.0</v>
      </c>
      <c r="B412" s="5">
        <v>35.0</v>
      </c>
      <c r="C412" s="5">
        <v>295400.0000000233</v>
      </c>
      <c r="D412" s="5">
        <v>2.45</v>
      </c>
      <c r="E412" s="5">
        <v>81.24</v>
      </c>
      <c r="F412" s="5">
        <v>59.35</v>
      </c>
      <c r="G412" s="5">
        <v>64.86</v>
      </c>
      <c r="H412" s="6">
        <v>1.0</v>
      </c>
      <c r="I412" s="6">
        <v>1.0</v>
      </c>
      <c r="J412" s="6">
        <v>1.0</v>
      </c>
      <c r="K412" s="5">
        <f t="shared" si="383"/>
        <v>19078100</v>
      </c>
      <c r="L412" s="5">
        <f t="shared" ref="L412:M412" si="416">L411+F412</f>
        <v>3676.41</v>
      </c>
      <c r="M412" s="5">
        <f t="shared" si="416"/>
        <v>4038.26</v>
      </c>
      <c r="N412" s="6">
        <f t="shared" si="3"/>
        <v>0.1230833333</v>
      </c>
      <c r="O412" s="6">
        <f t="shared" si="4"/>
        <v>0.2271202381</v>
      </c>
    </row>
    <row r="413">
      <c r="A413" s="4">
        <v>45885.0</v>
      </c>
      <c r="B413" s="5">
        <v>36.0</v>
      </c>
      <c r="C413" s="5">
        <v>459599.9999999767</v>
      </c>
      <c r="D413" s="5">
        <v>3.12</v>
      </c>
      <c r="E413" s="5">
        <v>85.12</v>
      </c>
      <c r="F413" s="5">
        <v>115.71</v>
      </c>
      <c r="G413" s="5">
        <v>128.37</v>
      </c>
      <c r="H413" s="6">
        <v>1.0</v>
      </c>
      <c r="I413" s="6">
        <v>1.0</v>
      </c>
      <c r="J413" s="6">
        <v>1.0</v>
      </c>
      <c r="K413" s="5">
        <f t="shared" si="383"/>
        <v>19537700</v>
      </c>
      <c r="L413" s="5">
        <f t="shared" ref="L413:M413" si="417">L412+F413</f>
        <v>3792.12</v>
      </c>
      <c r="M413" s="5">
        <f t="shared" si="417"/>
        <v>4166.63</v>
      </c>
      <c r="N413" s="6">
        <f t="shared" si="3"/>
        <v>0.1915</v>
      </c>
      <c r="O413" s="6">
        <f t="shared" si="4"/>
        <v>0.226130787</v>
      </c>
    </row>
    <row r="414">
      <c r="A414" s="4">
        <v>45886.0</v>
      </c>
      <c r="B414" s="5">
        <v>37.0</v>
      </c>
      <c r="C414" s="5">
        <v>545500.0000000291</v>
      </c>
      <c r="D414" s="5">
        <v>4.08</v>
      </c>
      <c r="E414" s="5">
        <v>96.54</v>
      </c>
      <c r="F414" s="5">
        <v>116.64</v>
      </c>
      <c r="G414" s="5">
        <v>129.49</v>
      </c>
      <c r="H414" s="6">
        <v>1.0</v>
      </c>
      <c r="I414" s="6">
        <v>1.0</v>
      </c>
      <c r="J414" s="6">
        <v>1.0</v>
      </c>
      <c r="K414" s="5">
        <f t="shared" si="383"/>
        <v>20083200</v>
      </c>
      <c r="L414" s="5">
        <f t="shared" ref="L414:M414" si="418">L413+F414</f>
        <v>3908.76</v>
      </c>
      <c r="M414" s="5">
        <f t="shared" si="418"/>
        <v>4296.12</v>
      </c>
      <c r="N414" s="6">
        <f t="shared" si="3"/>
        <v>0.2272916667</v>
      </c>
      <c r="O414" s="6">
        <f t="shared" si="4"/>
        <v>0.2261621622</v>
      </c>
    </row>
    <row r="415">
      <c r="A415" s="4">
        <v>45887.0</v>
      </c>
      <c r="B415" s="5">
        <v>38.0</v>
      </c>
      <c r="C415" s="5">
        <v>489299.99999998836</v>
      </c>
      <c r="D415" s="5">
        <v>3.6</v>
      </c>
      <c r="E415" s="5">
        <v>89.55</v>
      </c>
      <c r="F415" s="5">
        <v>114.39</v>
      </c>
      <c r="G415" s="5">
        <v>128.45999999999998</v>
      </c>
      <c r="H415" s="6">
        <v>0.9990755441086567</v>
      </c>
      <c r="I415" s="6">
        <v>1.0</v>
      </c>
      <c r="J415" s="6">
        <v>0.9987034399002166</v>
      </c>
      <c r="K415" s="5">
        <f t="shared" si="383"/>
        <v>20572500</v>
      </c>
      <c r="L415" s="5">
        <f t="shared" ref="L415:M415" si="419">L414+F415</f>
        <v>4023.15</v>
      </c>
      <c r="M415" s="5">
        <f t="shared" si="419"/>
        <v>4424.58</v>
      </c>
      <c r="N415" s="6">
        <f t="shared" si="3"/>
        <v>0.203875</v>
      </c>
      <c r="O415" s="6">
        <f t="shared" si="4"/>
        <v>0.2255756579</v>
      </c>
    </row>
    <row r="416">
      <c r="A416" s="4">
        <v>45888.0</v>
      </c>
      <c r="B416" s="5">
        <v>39.0</v>
      </c>
      <c r="C416" s="5">
        <v>253799.99999998836</v>
      </c>
      <c r="D416" s="5">
        <v>2.01</v>
      </c>
      <c r="E416" s="5">
        <v>78.64</v>
      </c>
      <c r="F416" s="5">
        <v>53.16</v>
      </c>
      <c r="G416" s="5">
        <v>57.92</v>
      </c>
      <c r="H416" s="6">
        <v>1.0</v>
      </c>
      <c r="I416" s="6">
        <v>1.0</v>
      </c>
      <c r="J416" s="6">
        <v>1.0</v>
      </c>
      <c r="K416" s="5">
        <f t="shared" si="383"/>
        <v>20826300</v>
      </c>
      <c r="L416" s="5">
        <f t="shared" ref="L416:M416" si="420">L415+F416</f>
        <v>4076.31</v>
      </c>
      <c r="M416" s="5">
        <f t="shared" si="420"/>
        <v>4482.5</v>
      </c>
      <c r="N416" s="6">
        <f t="shared" si="3"/>
        <v>0.10575</v>
      </c>
      <c r="O416" s="6">
        <f t="shared" si="4"/>
        <v>0.2225032051</v>
      </c>
    </row>
    <row r="417">
      <c r="A417" s="4">
        <v>45889.0</v>
      </c>
      <c r="B417" s="5">
        <v>40.0</v>
      </c>
      <c r="C417" s="5">
        <v>339600.0000000058</v>
      </c>
      <c r="D417" s="5">
        <v>2.18</v>
      </c>
      <c r="E417" s="5">
        <v>58.19</v>
      </c>
      <c r="F417" s="5">
        <v>101.82000000000001</v>
      </c>
      <c r="G417" s="5">
        <v>113.26</v>
      </c>
      <c r="H417" s="6">
        <v>0.9987788008472744</v>
      </c>
      <c r="I417" s="6">
        <v>1.0</v>
      </c>
      <c r="J417" s="6">
        <v>1.0</v>
      </c>
      <c r="K417" s="5">
        <f t="shared" si="383"/>
        <v>21165900</v>
      </c>
      <c r="L417" s="5">
        <f t="shared" ref="L417:M417" si="421">L416+F417</f>
        <v>4178.13</v>
      </c>
      <c r="M417" s="5">
        <f t="shared" si="421"/>
        <v>4595.76</v>
      </c>
      <c r="N417" s="6">
        <f t="shared" si="3"/>
        <v>0.1415</v>
      </c>
      <c r="O417" s="6">
        <f t="shared" si="4"/>
        <v>0.220478125</v>
      </c>
    </row>
    <row r="418">
      <c r="A418" s="4">
        <v>45890.0</v>
      </c>
      <c r="B418" s="5">
        <v>41.0</v>
      </c>
      <c r="C418" s="5">
        <v>715700.0000000116</v>
      </c>
      <c r="D418" s="5">
        <v>5.83</v>
      </c>
      <c r="E418" s="5">
        <v>94.57</v>
      </c>
      <c r="F418" s="5">
        <v>116.41999999999999</v>
      </c>
      <c r="G418" s="5">
        <v>132.51999999999998</v>
      </c>
      <c r="H418" s="6">
        <v>0.999908480780964</v>
      </c>
      <c r="I418" s="6">
        <v>1.0</v>
      </c>
      <c r="J418" s="6">
        <v>1.0</v>
      </c>
      <c r="K418" s="5">
        <f t="shared" si="383"/>
        <v>21881600</v>
      </c>
      <c r="L418" s="5">
        <f t="shared" ref="L418:M418" si="422">L417+F418</f>
        <v>4294.55</v>
      </c>
      <c r="M418" s="5">
        <f t="shared" si="422"/>
        <v>4728.28</v>
      </c>
      <c r="N418" s="6">
        <f t="shared" si="3"/>
        <v>0.2982083333</v>
      </c>
      <c r="O418" s="6">
        <f t="shared" si="4"/>
        <v>0.2223739837</v>
      </c>
    </row>
    <row r="419">
      <c r="A419" s="4">
        <v>45891.0</v>
      </c>
      <c r="B419" s="5">
        <v>42.0</v>
      </c>
      <c r="C419" s="5">
        <v>484299.99999998836</v>
      </c>
      <c r="D419" s="5">
        <v>3.835</v>
      </c>
      <c r="E419" s="5">
        <v>79.09</v>
      </c>
      <c r="F419" s="5">
        <v>116.27000000000001</v>
      </c>
      <c r="G419" s="5">
        <v>128.54</v>
      </c>
      <c r="H419" s="6">
        <v>0.9998645170031161</v>
      </c>
      <c r="I419" s="6">
        <v>1.0</v>
      </c>
      <c r="J419" s="6">
        <v>1.0</v>
      </c>
      <c r="K419" s="5">
        <f t="shared" si="383"/>
        <v>22365900</v>
      </c>
      <c r="L419" s="5">
        <f t="shared" ref="L419:M419" si="423">L418+F419</f>
        <v>4410.82</v>
      </c>
      <c r="M419" s="5">
        <f t="shared" si="423"/>
        <v>4856.82</v>
      </c>
      <c r="N419" s="6">
        <f t="shared" si="3"/>
        <v>0.2017916667</v>
      </c>
      <c r="O419" s="6">
        <f t="shared" si="4"/>
        <v>0.2218839286</v>
      </c>
    </row>
    <row r="420">
      <c r="A420" s="4">
        <v>45892.0</v>
      </c>
      <c r="B420" s="5">
        <v>43.0</v>
      </c>
      <c r="C420" s="5">
        <v>292500.0</v>
      </c>
      <c r="D420" s="5">
        <v>2.18</v>
      </c>
      <c r="E420" s="5">
        <v>70.91</v>
      </c>
      <c r="F420" s="5">
        <v>54.790000000000006</v>
      </c>
      <c r="G420" s="5">
        <v>55.239999999999995</v>
      </c>
      <c r="H420" s="6">
        <v>1.0</v>
      </c>
      <c r="I420" s="6">
        <v>1.0</v>
      </c>
      <c r="J420" s="6">
        <v>1.0</v>
      </c>
      <c r="K420" s="5">
        <f t="shared" si="383"/>
        <v>22658400</v>
      </c>
      <c r="L420" s="5">
        <f t="shared" ref="L420:M420" si="424">L419+F420</f>
        <v>4465.61</v>
      </c>
      <c r="M420" s="5">
        <f t="shared" si="424"/>
        <v>4912.06</v>
      </c>
      <c r="N420" s="6">
        <f t="shared" si="3"/>
        <v>0.121875</v>
      </c>
      <c r="O420" s="6">
        <f t="shared" si="4"/>
        <v>0.2195581395</v>
      </c>
    </row>
    <row r="421">
      <c r="A421" s="4">
        <v>45893.0</v>
      </c>
      <c r="B421" s="5">
        <v>44.0</v>
      </c>
      <c r="C421" s="5">
        <v>270100.0000000058</v>
      </c>
      <c r="D421" s="5">
        <v>2.21</v>
      </c>
      <c r="E421" s="5">
        <v>53.82</v>
      </c>
      <c r="F421" s="5">
        <v>61.11</v>
      </c>
      <c r="G421" s="5">
        <v>68.72</v>
      </c>
      <c r="H421" s="6">
        <v>1.0</v>
      </c>
      <c r="I421" s="6">
        <v>1.0</v>
      </c>
      <c r="J421" s="6">
        <v>1.0</v>
      </c>
      <c r="K421" s="5">
        <f t="shared" si="383"/>
        <v>22928500</v>
      </c>
      <c r="L421" s="5">
        <f t="shared" ref="L421:M421" si="425">L420+F421</f>
        <v>4526.72</v>
      </c>
      <c r="M421" s="5">
        <f t="shared" si="425"/>
        <v>4980.78</v>
      </c>
      <c r="N421" s="6">
        <f t="shared" si="3"/>
        <v>0.1125416667</v>
      </c>
      <c r="O421" s="6">
        <f t="shared" si="4"/>
        <v>0.217125947</v>
      </c>
    </row>
    <row r="422">
      <c r="A422" s="4">
        <v>45894.0</v>
      </c>
      <c r="B422" s="5">
        <v>45.0</v>
      </c>
      <c r="C422" s="5">
        <v>396100.0000000058</v>
      </c>
      <c r="D422" s="5">
        <v>3.005</v>
      </c>
      <c r="E422" s="5">
        <v>87.81</v>
      </c>
      <c r="F422" s="5">
        <v>96.51000000000002</v>
      </c>
      <c r="G422" s="5">
        <v>108.16</v>
      </c>
      <c r="H422" s="6">
        <v>1.0</v>
      </c>
      <c r="I422" s="6">
        <v>1.0</v>
      </c>
      <c r="J422" s="6">
        <v>1.0</v>
      </c>
      <c r="K422" s="5">
        <f t="shared" si="383"/>
        <v>23324600</v>
      </c>
      <c r="L422" s="5">
        <f t="shared" ref="L422:M422" si="426">L421+F422</f>
        <v>4623.23</v>
      </c>
      <c r="M422" s="5">
        <f t="shared" si="426"/>
        <v>5088.94</v>
      </c>
      <c r="N422" s="6">
        <f t="shared" si="3"/>
        <v>0.1650416667</v>
      </c>
      <c r="O422" s="6">
        <f t="shared" si="4"/>
        <v>0.2159685185</v>
      </c>
    </row>
    <row r="423">
      <c r="A423" s="4">
        <v>45895.0</v>
      </c>
      <c r="B423" s="5">
        <v>46.0</v>
      </c>
      <c r="C423" s="5">
        <v>569500.0</v>
      </c>
      <c r="D423" s="5">
        <v>4.505</v>
      </c>
      <c r="E423" s="5">
        <v>86.96</v>
      </c>
      <c r="F423" s="5">
        <v>103.35</v>
      </c>
      <c r="G423" s="5">
        <v>113.69</v>
      </c>
      <c r="H423" s="6">
        <v>1.0</v>
      </c>
      <c r="I423" s="6">
        <v>1.0</v>
      </c>
      <c r="J423" s="6">
        <v>1.0</v>
      </c>
      <c r="K423" s="5">
        <f t="shared" si="383"/>
        <v>23894100</v>
      </c>
      <c r="L423" s="5">
        <f t="shared" ref="L423:M423" si="427">L422+F423</f>
        <v>4726.58</v>
      </c>
      <c r="M423" s="5">
        <f t="shared" si="427"/>
        <v>5202.63</v>
      </c>
      <c r="N423" s="6">
        <f t="shared" si="3"/>
        <v>0.2372916667</v>
      </c>
      <c r="O423" s="6">
        <f t="shared" si="4"/>
        <v>0.2164320652</v>
      </c>
    </row>
    <row r="424">
      <c r="A424" s="4">
        <v>45896.0</v>
      </c>
      <c r="B424" s="5">
        <v>47.0</v>
      </c>
      <c r="C424" s="5">
        <v>622799.9999999884</v>
      </c>
      <c r="D424" s="5">
        <v>5.0600000000000005</v>
      </c>
      <c r="E424" s="5">
        <v>84.68</v>
      </c>
      <c r="F424" s="5">
        <v>107.93</v>
      </c>
      <c r="G424" s="5">
        <v>118.88999999999999</v>
      </c>
      <c r="H424" s="6">
        <v>1.0</v>
      </c>
      <c r="I424" s="6">
        <v>1.0</v>
      </c>
      <c r="J424" s="6">
        <v>1.0</v>
      </c>
      <c r="K424" s="5">
        <f t="shared" si="383"/>
        <v>24516900</v>
      </c>
      <c r="L424" s="5">
        <f t="shared" ref="L424:M424" si="428">L423+F424</f>
        <v>4834.51</v>
      </c>
      <c r="M424" s="5">
        <f t="shared" si="428"/>
        <v>5321.52</v>
      </c>
      <c r="N424" s="6">
        <f t="shared" si="3"/>
        <v>0.2595</v>
      </c>
      <c r="O424" s="6">
        <f t="shared" si="4"/>
        <v>0.2173484043</v>
      </c>
    </row>
    <row r="425">
      <c r="A425" s="4">
        <v>45897.0</v>
      </c>
      <c r="B425" s="5">
        <v>48.0</v>
      </c>
      <c r="C425" s="5">
        <v>430200.00000001164</v>
      </c>
      <c r="D425" s="5">
        <v>3.295</v>
      </c>
      <c r="E425" s="5">
        <v>73.77</v>
      </c>
      <c r="F425" s="5">
        <v>110.63</v>
      </c>
      <c r="G425" s="5">
        <v>121.24999999999999</v>
      </c>
      <c r="H425" s="6">
        <v>0.9995168784178282</v>
      </c>
      <c r="I425" s="6">
        <v>1.0</v>
      </c>
      <c r="J425" s="6">
        <v>1.0</v>
      </c>
      <c r="K425" s="5">
        <f t="shared" si="383"/>
        <v>24947100</v>
      </c>
      <c r="L425" s="5">
        <f t="shared" ref="L425:M425" si="429">L424+F425</f>
        <v>4945.14</v>
      </c>
      <c r="M425" s="5">
        <f t="shared" si="429"/>
        <v>5442.77</v>
      </c>
      <c r="N425" s="6">
        <f t="shared" si="3"/>
        <v>0.17925</v>
      </c>
      <c r="O425" s="6">
        <f t="shared" si="4"/>
        <v>0.2165546875</v>
      </c>
    </row>
    <row r="426">
      <c r="A426" s="4">
        <v>45898.0</v>
      </c>
      <c r="B426" s="5">
        <v>49.0</v>
      </c>
      <c r="C426" s="5">
        <v>635200.0000000116</v>
      </c>
      <c r="D426" s="5">
        <v>5.415</v>
      </c>
      <c r="E426" s="5">
        <v>98.32</v>
      </c>
      <c r="F426" s="5">
        <v>116.57000000000001</v>
      </c>
      <c r="G426" s="5">
        <v>129.89999999999998</v>
      </c>
      <c r="H426" s="6">
        <v>1.0</v>
      </c>
      <c r="I426" s="6">
        <v>1.0</v>
      </c>
      <c r="J426" s="6">
        <v>1.0</v>
      </c>
      <c r="K426" s="5">
        <f t="shared" si="383"/>
        <v>25582300</v>
      </c>
      <c r="L426" s="5">
        <f t="shared" ref="L426:M426" si="430">L425+F426</f>
        <v>5061.71</v>
      </c>
      <c r="M426" s="5">
        <f t="shared" si="430"/>
        <v>5572.67</v>
      </c>
      <c r="N426" s="6">
        <f t="shared" si="3"/>
        <v>0.2646666667</v>
      </c>
      <c r="O426" s="6">
        <f t="shared" si="4"/>
        <v>0.2175365646</v>
      </c>
    </row>
    <row r="427">
      <c r="A427" s="4">
        <v>45899.0</v>
      </c>
      <c r="B427" s="5">
        <v>50.0</v>
      </c>
      <c r="C427" s="5">
        <v>438699.99999998254</v>
      </c>
      <c r="D427" s="5">
        <v>3.425</v>
      </c>
      <c r="E427" s="5">
        <v>73.82</v>
      </c>
      <c r="F427" s="5">
        <v>80.10000000000001</v>
      </c>
      <c r="G427" s="5">
        <v>87.9</v>
      </c>
      <c r="H427" s="6">
        <v>1.0</v>
      </c>
      <c r="I427" s="6">
        <v>1.0</v>
      </c>
      <c r="J427" s="6">
        <v>1.0</v>
      </c>
      <c r="K427" s="5">
        <f t="shared" si="383"/>
        <v>26021000</v>
      </c>
      <c r="L427" s="5">
        <f t="shared" ref="L427:M427" si="431">L426+F427</f>
        <v>5141.81</v>
      </c>
      <c r="M427" s="5">
        <f t="shared" si="431"/>
        <v>5660.57</v>
      </c>
      <c r="N427" s="6">
        <f t="shared" si="3"/>
        <v>0.1827916667</v>
      </c>
      <c r="O427" s="6">
        <f t="shared" si="4"/>
        <v>0.2168416667</v>
      </c>
    </row>
    <row r="428">
      <c r="A428" s="4">
        <v>45900.0</v>
      </c>
      <c r="B428" s="5">
        <v>51.0</v>
      </c>
      <c r="C428" s="5">
        <v>519600.0000000058</v>
      </c>
      <c r="D428" s="5">
        <v>4.01</v>
      </c>
      <c r="E428" s="5">
        <v>84.11</v>
      </c>
      <c r="F428" s="5">
        <v>116.22999999999999</v>
      </c>
      <c r="G428" s="5">
        <v>129.06</v>
      </c>
      <c r="H428" s="6">
        <v>1.0</v>
      </c>
      <c r="I428" s="6">
        <v>1.0</v>
      </c>
      <c r="J428" s="6">
        <v>1.0</v>
      </c>
      <c r="K428" s="5">
        <f t="shared" si="383"/>
        <v>26540600</v>
      </c>
      <c r="L428" s="5">
        <f t="shared" ref="L428:M428" si="432">L427+F428</f>
        <v>5258.04</v>
      </c>
      <c r="M428" s="5">
        <f t="shared" si="432"/>
        <v>5789.63</v>
      </c>
      <c r="N428" s="6">
        <f t="shared" si="3"/>
        <v>0.2165</v>
      </c>
      <c r="O428" s="6">
        <f t="shared" si="4"/>
        <v>0.2168349673</v>
      </c>
    </row>
    <row r="429">
      <c r="A429" s="4">
        <v>45901.0</v>
      </c>
      <c r="B429" s="5">
        <v>52.0</v>
      </c>
      <c r="C429" s="5">
        <v>199899.99999999418</v>
      </c>
      <c r="D429" s="5">
        <v>1.62</v>
      </c>
      <c r="E429" s="5">
        <v>52.5</v>
      </c>
      <c r="F429" s="5">
        <v>0.0</v>
      </c>
      <c r="G429" s="5">
        <v>0.0</v>
      </c>
      <c r="H429" s="6">
        <v>1.0</v>
      </c>
      <c r="I429" s="6">
        <v>1.0</v>
      </c>
      <c r="J429" s="6">
        <v>1.0</v>
      </c>
      <c r="K429" s="5">
        <f t="shared" si="383"/>
        <v>26740500</v>
      </c>
      <c r="L429" s="5">
        <f t="shared" ref="L429:M429" si="433">L428+F429</f>
        <v>5258.04</v>
      </c>
      <c r="M429" s="5">
        <f t="shared" si="433"/>
        <v>5789.63</v>
      </c>
      <c r="N429" s="6">
        <f t="shared" si="3"/>
        <v>0.08329166667</v>
      </c>
      <c r="O429" s="6">
        <f t="shared" si="4"/>
        <v>0.2142668269</v>
      </c>
    </row>
    <row r="430">
      <c r="A430" s="4">
        <v>45902.0</v>
      </c>
      <c r="B430" s="5">
        <v>53.0</v>
      </c>
      <c r="C430" s="5">
        <v>546799.9999999884</v>
      </c>
      <c r="D430" s="5">
        <v>4.65</v>
      </c>
      <c r="E430" s="5">
        <v>82.18</v>
      </c>
      <c r="F430" s="5">
        <v>114.55</v>
      </c>
      <c r="G430" s="5">
        <v>129.77</v>
      </c>
      <c r="H430" s="6">
        <v>0.9994307832422585</v>
      </c>
      <c r="I430" s="6">
        <v>1.0</v>
      </c>
      <c r="J430" s="6">
        <v>0.9920354165299022</v>
      </c>
      <c r="K430" s="5">
        <f t="shared" si="383"/>
        <v>27287300</v>
      </c>
      <c r="L430" s="5">
        <f t="shared" ref="L430:M430" si="434">L429+F430</f>
        <v>5372.59</v>
      </c>
      <c r="M430" s="5">
        <f t="shared" si="434"/>
        <v>5919.4</v>
      </c>
      <c r="N430" s="6">
        <f t="shared" si="3"/>
        <v>0.2278333333</v>
      </c>
      <c r="O430" s="6">
        <f t="shared" si="4"/>
        <v>0.2145227987</v>
      </c>
    </row>
    <row r="431">
      <c r="A431" s="4">
        <v>45903.0</v>
      </c>
      <c r="B431" s="5">
        <v>54.0</v>
      </c>
      <c r="C431" s="5">
        <v>504600.0000000058</v>
      </c>
      <c r="D431" s="5">
        <v>4.195</v>
      </c>
      <c r="E431" s="5">
        <v>72.81</v>
      </c>
      <c r="F431" s="5">
        <v>116.41999999999999</v>
      </c>
      <c r="G431" s="5">
        <v>128.69</v>
      </c>
      <c r="H431" s="6">
        <v>1.0</v>
      </c>
      <c r="I431" s="6">
        <v>1.0</v>
      </c>
      <c r="J431" s="6">
        <v>1.0</v>
      </c>
      <c r="K431" s="5">
        <f t="shared" si="383"/>
        <v>27791900</v>
      </c>
      <c r="L431" s="5">
        <f t="shared" ref="L431:M431" si="435">L430+F431</f>
        <v>5489.01</v>
      </c>
      <c r="M431" s="5">
        <f t="shared" si="435"/>
        <v>6048.09</v>
      </c>
      <c r="N431" s="6">
        <f t="shared" si="3"/>
        <v>0.21025</v>
      </c>
      <c r="O431" s="6">
        <f t="shared" si="4"/>
        <v>0.2144436728</v>
      </c>
    </row>
    <row r="432">
      <c r="A432" s="4">
        <v>45904.0</v>
      </c>
      <c r="B432" s="5">
        <v>55.0</v>
      </c>
      <c r="C432" s="5">
        <v>320300.00000001746</v>
      </c>
      <c r="D432" s="5">
        <v>2.3600000000000003</v>
      </c>
      <c r="E432" s="5">
        <v>69.68</v>
      </c>
      <c r="F432" s="5">
        <v>72.59</v>
      </c>
      <c r="G432" s="5">
        <v>76.35</v>
      </c>
      <c r="H432" s="6">
        <v>1.0</v>
      </c>
      <c r="I432" s="6">
        <v>1.0</v>
      </c>
      <c r="J432" s="6">
        <v>1.0</v>
      </c>
      <c r="K432" s="5">
        <f t="shared" si="383"/>
        <v>28112200</v>
      </c>
      <c r="L432" s="5">
        <f t="shared" ref="L432:M432" si="436">L431+F432</f>
        <v>5561.6</v>
      </c>
      <c r="M432" s="5">
        <f t="shared" si="436"/>
        <v>6124.44</v>
      </c>
      <c r="N432" s="6">
        <f t="shared" si="3"/>
        <v>0.1334583333</v>
      </c>
      <c r="O432" s="6">
        <f t="shared" si="4"/>
        <v>0.2129712121</v>
      </c>
    </row>
    <row r="433">
      <c r="A433" s="4">
        <v>45905.0</v>
      </c>
      <c r="B433" s="5">
        <v>56.0</v>
      </c>
      <c r="C433" s="5">
        <v>676799.9999999884</v>
      </c>
      <c r="D433" s="5">
        <v>5.64</v>
      </c>
      <c r="E433" s="5">
        <v>92.35</v>
      </c>
      <c r="F433" s="5">
        <v>116.47</v>
      </c>
      <c r="G433" s="5">
        <v>129.26</v>
      </c>
      <c r="H433" s="6">
        <v>1.0</v>
      </c>
      <c r="I433" s="6">
        <v>1.0</v>
      </c>
      <c r="J433" s="6">
        <v>1.0</v>
      </c>
      <c r="K433" s="5">
        <f t="shared" si="383"/>
        <v>28789000</v>
      </c>
      <c r="L433" s="5">
        <f t="shared" ref="L433:M433" si="437">L432+F433</f>
        <v>5678.07</v>
      </c>
      <c r="M433" s="5">
        <f t="shared" si="437"/>
        <v>6253.7</v>
      </c>
      <c r="N433" s="6">
        <f t="shared" si="3"/>
        <v>0.282</v>
      </c>
      <c r="O433" s="6">
        <f t="shared" si="4"/>
        <v>0.214203869</v>
      </c>
    </row>
    <row r="434">
      <c r="A434" s="4">
        <v>45906.0</v>
      </c>
      <c r="B434" s="5">
        <v>57.0</v>
      </c>
      <c r="C434" s="5">
        <v>723600.0000000058</v>
      </c>
      <c r="D434" s="5">
        <v>5.885</v>
      </c>
      <c r="E434" s="5">
        <v>92.24</v>
      </c>
      <c r="F434" s="5">
        <v>116.08</v>
      </c>
      <c r="G434" s="5">
        <v>128.93</v>
      </c>
      <c r="H434" s="6">
        <v>1.0</v>
      </c>
      <c r="I434" s="6">
        <v>1.0</v>
      </c>
      <c r="J434" s="6">
        <v>1.0</v>
      </c>
      <c r="K434" s="5">
        <f t="shared" si="383"/>
        <v>29512600</v>
      </c>
      <c r="L434" s="5">
        <f t="shared" ref="L434:M434" si="438">L433+F434</f>
        <v>5794.15</v>
      </c>
      <c r="M434" s="5">
        <f t="shared" si="438"/>
        <v>6382.63</v>
      </c>
      <c r="N434" s="6">
        <f t="shared" si="3"/>
        <v>0.3015</v>
      </c>
      <c r="O434" s="6">
        <f t="shared" si="4"/>
        <v>0.2157353801</v>
      </c>
    </row>
    <row r="435">
      <c r="A435" s="4">
        <v>45907.0</v>
      </c>
      <c r="B435" s="5">
        <v>58.0</v>
      </c>
      <c r="C435" s="5">
        <v>692699.9999999825</v>
      </c>
      <c r="D435" s="5">
        <v>5.875</v>
      </c>
      <c r="E435" s="5">
        <v>94.75</v>
      </c>
      <c r="F435" s="5">
        <v>116.19</v>
      </c>
      <c r="G435" s="5">
        <v>129.07000000000002</v>
      </c>
      <c r="H435" s="6">
        <v>1.0</v>
      </c>
      <c r="I435" s="6">
        <v>1.0</v>
      </c>
      <c r="J435" s="6">
        <v>1.0</v>
      </c>
      <c r="K435" s="5">
        <f t="shared" si="383"/>
        <v>30205300</v>
      </c>
      <c r="L435" s="5">
        <f t="shared" ref="L435:M435" si="439">L434+F435</f>
        <v>5910.34</v>
      </c>
      <c r="M435" s="5">
        <f t="shared" si="439"/>
        <v>6511.7</v>
      </c>
      <c r="N435" s="6">
        <f t="shared" si="3"/>
        <v>0.288625</v>
      </c>
      <c r="O435" s="6">
        <f t="shared" si="4"/>
        <v>0.2169920977</v>
      </c>
    </row>
    <row r="436">
      <c r="A436" s="4">
        <v>45908.0</v>
      </c>
      <c r="B436" s="5">
        <v>59.0</v>
      </c>
      <c r="C436" s="5">
        <v>625500.0</v>
      </c>
      <c r="D436" s="5">
        <v>5.19</v>
      </c>
      <c r="E436" s="5">
        <v>88.12</v>
      </c>
      <c r="F436" s="5">
        <v>116.66000000000001</v>
      </c>
      <c r="G436" s="5">
        <v>129.92000000000002</v>
      </c>
      <c r="H436" s="6">
        <v>1.0</v>
      </c>
      <c r="I436" s="6">
        <v>1.0</v>
      </c>
      <c r="J436" s="6">
        <v>1.0</v>
      </c>
      <c r="K436" s="5">
        <f t="shared" si="383"/>
        <v>30830800</v>
      </c>
      <c r="L436" s="5">
        <f t="shared" ref="L436:M436" si="440">L435+F436</f>
        <v>6027</v>
      </c>
      <c r="M436" s="5">
        <f t="shared" si="440"/>
        <v>6641.62</v>
      </c>
      <c r="N436" s="6">
        <f t="shared" si="3"/>
        <v>0.260625</v>
      </c>
      <c r="O436" s="6">
        <f t="shared" si="4"/>
        <v>0.2177316384</v>
      </c>
    </row>
    <row r="437">
      <c r="A437" s="4">
        <v>45909.0</v>
      </c>
      <c r="B437" s="5">
        <v>60.0</v>
      </c>
      <c r="C437" s="5">
        <v>648100.0000000058</v>
      </c>
      <c r="D437" s="5">
        <v>5.34</v>
      </c>
      <c r="E437" s="5">
        <v>88.61</v>
      </c>
      <c r="F437" s="5">
        <v>117.11000000000001</v>
      </c>
      <c r="G437" s="5">
        <v>128.76000000000002</v>
      </c>
      <c r="H437" s="6">
        <v>1.0</v>
      </c>
      <c r="I437" s="6">
        <v>1.0</v>
      </c>
      <c r="J437" s="6">
        <v>1.0</v>
      </c>
      <c r="K437" s="5">
        <f t="shared" si="383"/>
        <v>31478900</v>
      </c>
      <c r="L437" s="5">
        <f t="shared" ref="L437:M437" si="441">L436+F437</f>
        <v>6144.11</v>
      </c>
      <c r="M437" s="5">
        <f t="shared" si="441"/>
        <v>6770.38</v>
      </c>
      <c r="N437" s="6">
        <f t="shared" si="3"/>
        <v>0.2700416667</v>
      </c>
      <c r="O437" s="6">
        <f t="shared" si="4"/>
        <v>0.2186034722</v>
      </c>
    </row>
    <row r="438">
      <c r="A438" s="4">
        <v>45910.0</v>
      </c>
      <c r="B438" s="5">
        <v>61.0</v>
      </c>
      <c r="C438" s="5">
        <v>678899.9999999942</v>
      </c>
      <c r="D438" s="5">
        <v>5.59</v>
      </c>
      <c r="E438" s="5">
        <v>87.22</v>
      </c>
      <c r="F438" s="5">
        <v>116.54999999999998</v>
      </c>
      <c r="G438" s="5">
        <v>129.05</v>
      </c>
      <c r="H438" s="6">
        <v>1.0</v>
      </c>
      <c r="I438" s="6">
        <v>1.0</v>
      </c>
      <c r="J438" s="6">
        <v>1.0</v>
      </c>
      <c r="K438" s="5">
        <f t="shared" si="383"/>
        <v>32157800</v>
      </c>
      <c r="L438" s="5">
        <f t="shared" ref="L438:M438" si="442">L437+F438</f>
        <v>6260.66</v>
      </c>
      <c r="M438" s="5">
        <f t="shared" si="442"/>
        <v>6899.43</v>
      </c>
      <c r="N438" s="6">
        <f t="shared" si="3"/>
        <v>0.282875</v>
      </c>
      <c r="O438" s="6">
        <f t="shared" si="4"/>
        <v>0.2196571038</v>
      </c>
    </row>
    <row r="439">
      <c r="A439" s="4">
        <v>45911.0</v>
      </c>
      <c r="B439" s="5">
        <v>62.0</v>
      </c>
      <c r="C439" s="5">
        <v>539199.9999999825</v>
      </c>
      <c r="D439" s="5">
        <v>4.325</v>
      </c>
      <c r="E439" s="5">
        <v>92.6</v>
      </c>
      <c r="F439" s="5">
        <v>62.58</v>
      </c>
      <c r="G439" s="5">
        <v>68.32</v>
      </c>
      <c r="H439" s="6">
        <v>1.0</v>
      </c>
      <c r="I439" s="6">
        <v>1.0</v>
      </c>
      <c r="J439" s="6">
        <v>1.0</v>
      </c>
      <c r="K439" s="5">
        <f t="shared" si="383"/>
        <v>32697000</v>
      </c>
      <c r="L439" s="5">
        <f t="shared" ref="L439:M439" si="443">L438+F439</f>
        <v>6323.24</v>
      </c>
      <c r="M439" s="5">
        <f t="shared" si="443"/>
        <v>6967.75</v>
      </c>
      <c r="N439" s="6">
        <f t="shared" si="3"/>
        <v>0.2246666667</v>
      </c>
      <c r="O439" s="6">
        <f t="shared" si="4"/>
        <v>0.2197379032</v>
      </c>
    </row>
    <row r="440">
      <c r="A440" s="4">
        <v>45912.0</v>
      </c>
      <c r="B440" s="5">
        <v>63.0</v>
      </c>
      <c r="C440" s="5">
        <v>561000.0000000291</v>
      </c>
      <c r="D440" s="5">
        <v>4.5</v>
      </c>
      <c r="E440" s="5">
        <v>88.08</v>
      </c>
      <c r="F440" s="5">
        <v>116.18</v>
      </c>
      <c r="G440" s="5">
        <v>128.79999999999998</v>
      </c>
      <c r="H440" s="6">
        <v>1.0</v>
      </c>
      <c r="I440" s="6">
        <v>1.0</v>
      </c>
      <c r="J440" s="6">
        <v>1.0</v>
      </c>
      <c r="K440" s="5">
        <f t="shared" si="383"/>
        <v>33258000</v>
      </c>
      <c r="L440" s="5">
        <f t="shared" ref="L440:M440" si="444">L439+F440</f>
        <v>6439.42</v>
      </c>
      <c r="M440" s="5">
        <f t="shared" si="444"/>
        <v>7096.55</v>
      </c>
      <c r="N440" s="6">
        <f t="shared" si="3"/>
        <v>0.23375</v>
      </c>
      <c r="O440" s="6">
        <f t="shared" si="4"/>
        <v>0.2199603175</v>
      </c>
    </row>
    <row r="441">
      <c r="A441" s="4">
        <v>45913.0</v>
      </c>
      <c r="B441" s="5">
        <v>64.0</v>
      </c>
      <c r="C441" s="5">
        <v>559100.0000000058</v>
      </c>
      <c r="D441" s="5">
        <v>4.51</v>
      </c>
      <c r="E441" s="5">
        <v>92.58</v>
      </c>
      <c r="F441" s="5">
        <v>109.50999999999999</v>
      </c>
      <c r="G441" s="5">
        <v>120.72</v>
      </c>
      <c r="H441" s="6">
        <v>1.0</v>
      </c>
      <c r="I441" s="6">
        <v>1.0</v>
      </c>
      <c r="J441" s="6">
        <v>1.0</v>
      </c>
      <c r="K441" s="5">
        <f t="shared" si="383"/>
        <v>33817100</v>
      </c>
      <c r="L441" s="5">
        <f t="shared" ref="L441:M441" si="445">L440+F441</f>
        <v>6548.93</v>
      </c>
      <c r="M441" s="5">
        <f t="shared" si="445"/>
        <v>7217.27</v>
      </c>
      <c r="N441" s="6">
        <f t="shared" si="3"/>
        <v>0.2329583333</v>
      </c>
      <c r="O441" s="6">
        <f t="shared" si="4"/>
        <v>0.2201634115</v>
      </c>
    </row>
    <row r="442">
      <c r="A442" s="4">
        <v>45914.0</v>
      </c>
      <c r="B442" s="5">
        <v>65.0</v>
      </c>
      <c r="C442" s="5">
        <v>716000.0</v>
      </c>
      <c r="D442" s="5">
        <v>5.75</v>
      </c>
      <c r="E442" s="5">
        <v>91.32</v>
      </c>
      <c r="F442" s="5">
        <v>116.41</v>
      </c>
      <c r="G442" s="5">
        <v>129.47</v>
      </c>
      <c r="H442" s="6">
        <v>1.0</v>
      </c>
      <c r="I442" s="6">
        <v>1.0</v>
      </c>
      <c r="J442" s="6">
        <v>1.0</v>
      </c>
      <c r="K442" s="5">
        <f t="shared" si="383"/>
        <v>34533100</v>
      </c>
      <c r="L442" s="5">
        <f t="shared" ref="L442:M442" si="446">L441+F442</f>
        <v>6665.34</v>
      </c>
      <c r="M442" s="5">
        <f t="shared" si="446"/>
        <v>7346.74</v>
      </c>
      <c r="N442" s="6">
        <f t="shared" si="3"/>
        <v>0.2983333333</v>
      </c>
      <c r="O442" s="6">
        <f t="shared" si="4"/>
        <v>0.2213660256</v>
      </c>
    </row>
    <row r="443">
      <c r="A443" s="4">
        <v>45915.0</v>
      </c>
      <c r="B443" s="5">
        <v>66.0</v>
      </c>
      <c r="C443" s="5">
        <v>331299.99999998836</v>
      </c>
      <c r="D443" s="5">
        <v>2.42</v>
      </c>
      <c r="E443" s="5">
        <v>80.52</v>
      </c>
      <c r="F443" s="5">
        <v>71.02000000000001</v>
      </c>
      <c r="G443" s="5">
        <v>79.85000000000001</v>
      </c>
      <c r="H443" s="6">
        <v>1.0</v>
      </c>
      <c r="I443" s="6">
        <v>1.0</v>
      </c>
      <c r="J443" s="6">
        <v>1.0</v>
      </c>
      <c r="K443" s="5">
        <f t="shared" si="383"/>
        <v>34864400</v>
      </c>
      <c r="L443" s="5">
        <f t="shared" ref="L443:M443" si="447">L442+F443</f>
        <v>6736.36</v>
      </c>
      <c r="M443" s="5">
        <f t="shared" si="447"/>
        <v>7426.59</v>
      </c>
      <c r="N443" s="6">
        <f t="shared" si="3"/>
        <v>0.1380416667</v>
      </c>
      <c r="O443" s="6">
        <f t="shared" si="4"/>
        <v>0.2201035354</v>
      </c>
    </row>
    <row r="444">
      <c r="A444" s="4">
        <v>45916.0</v>
      </c>
      <c r="B444" s="5">
        <v>67.0</v>
      </c>
      <c r="C444" s="5">
        <v>270799.99999998836</v>
      </c>
      <c r="D444" s="5">
        <v>2.2</v>
      </c>
      <c r="E444" s="5">
        <v>49.74</v>
      </c>
      <c r="F444" s="5">
        <v>48.25</v>
      </c>
      <c r="G444" s="5">
        <v>52.42999999999999</v>
      </c>
      <c r="H444" s="6">
        <v>1.0</v>
      </c>
      <c r="I444" s="6">
        <v>1.0</v>
      </c>
      <c r="J444" s="6">
        <v>1.0</v>
      </c>
      <c r="K444" s="5">
        <f t="shared" si="383"/>
        <v>35135200</v>
      </c>
      <c r="L444" s="5">
        <f t="shared" ref="L444:M444" si="448">L443+F444</f>
        <v>6784.61</v>
      </c>
      <c r="M444" s="5">
        <f t="shared" si="448"/>
        <v>7479.02</v>
      </c>
      <c r="N444" s="6">
        <f t="shared" si="3"/>
        <v>0.1128333333</v>
      </c>
      <c r="O444" s="6">
        <f t="shared" si="4"/>
        <v>0.2185024876</v>
      </c>
    </row>
    <row r="445">
      <c r="A445" s="4">
        <v>45917.0</v>
      </c>
      <c r="B445" s="5">
        <v>68.0</v>
      </c>
      <c r="C445" s="5">
        <v>602100.0000000058</v>
      </c>
      <c r="D445" s="5">
        <v>4.71</v>
      </c>
      <c r="E445" s="5">
        <v>83.52</v>
      </c>
      <c r="F445" s="5">
        <v>116.28999999999999</v>
      </c>
      <c r="G445" s="5">
        <v>128.99</v>
      </c>
      <c r="H445" s="6">
        <v>1.0</v>
      </c>
      <c r="I445" s="6">
        <v>1.0</v>
      </c>
      <c r="J445" s="6">
        <v>1.0</v>
      </c>
      <c r="K445" s="5">
        <f t="shared" si="383"/>
        <v>35737300</v>
      </c>
      <c r="L445" s="5">
        <f t="shared" ref="L445:M445" si="449">L444+F445</f>
        <v>6900.9</v>
      </c>
      <c r="M445" s="5">
        <f t="shared" si="449"/>
        <v>7608.01</v>
      </c>
      <c r="N445" s="6">
        <f t="shared" si="3"/>
        <v>0.250875</v>
      </c>
      <c r="O445" s="6">
        <f t="shared" si="4"/>
        <v>0.2189785539</v>
      </c>
    </row>
    <row r="446">
      <c r="A446" s="4">
        <v>45918.0</v>
      </c>
      <c r="B446" s="5">
        <v>69.0</v>
      </c>
      <c r="C446" s="5">
        <v>679800.0000000175</v>
      </c>
      <c r="D446" s="5">
        <v>5.43</v>
      </c>
      <c r="E446" s="5">
        <v>87.43</v>
      </c>
      <c r="F446" s="5">
        <v>116.54</v>
      </c>
      <c r="G446" s="5">
        <v>129.26000000000002</v>
      </c>
      <c r="H446" s="6">
        <v>1.0</v>
      </c>
      <c r="I446" s="6">
        <v>1.0</v>
      </c>
      <c r="J446" s="6">
        <v>1.0</v>
      </c>
      <c r="K446" s="5">
        <f t="shared" si="383"/>
        <v>36417100</v>
      </c>
      <c r="L446" s="5">
        <f t="shared" ref="L446:M446" si="450">L445+F446</f>
        <v>7017.44</v>
      </c>
      <c r="M446" s="5">
        <f t="shared" si="450"/>
        <v>7737.27</v>
      </c>
      <c r="N446" s="6">
        <f t="shared" si="3"/>
        <v>0.28325</v>
      </c>
      <c r="O446" s="6">
        <f t="shared" si="4"/>
        <v>0.2199100242</v>
      </c>
    </row>
    <row r="447">
      <c r="A447" s="4">
        <v>45919.0</v>
      </c>
      <c r="B447" s="5">
        <v>70.0</v>
      </c>
      <c r="C447" s="5">
        <v>740799.9999999884</v>
      </c>
      <c r="D447" s="5">
        <v>5.805</v>
      </c>
      <c r="E447" s="5">
        <v>91.08</v>
      </c>
      <c r="F447" s="5">
        <v>116.84</v>
      </c>
      <c r="G447" s="5">
        <v>130.21</v>
      </c>
      <c r="H447" s="6">
        <v>1.0</v>
      </c>
      <c r="I447" s="6">
        <v>1.0</v>
      </c>
      <c r="J447" s="6">
        <v>1.0</v>
      </c>
      <c r="K447" s="5">
        <f t="shared" si="383"/>
        <v>37157900</v>
      </c>
      <c r="L447" s="5">
        <f t="shared" ref="L447:M447" si="451">L446+F447</f>
        <v>7134.28</v>
      </c>
      <c r="M447" s="5">
        <f t="shared" si="451"/>
        <v>7867.48</v>
      </c>
      <c r="N447" s="6">
        <f t="shared" si="3"/>
        <v>0.3086666667</v>
      </c>
      <c r="O447" s="6">
        <f t="shared" si="4"/>
        <v>0.2211779762</v>
      </c>
    </row>
    <row r="448">
      <c r="A448" s="4">
        <v>45920.0</v>
      </c>
      <c r="B448" s="5">
        <v>71.0</v>
      </c>
      <c r="C448" s="5">
        <v>729899.9999999942</v>
      </c>
      <c r="D448" s="5">
        <v>5.98</v>
      </c>
      <c r="E448" s="5">
        <v>87.35</v>
      </c>
      <c r="F448" s="5">
        <v>116.31</v>
      </c>
      <c r="G448" s="5">
        <v>129.39</v>
      </c>
      <c r="H448" s="6">
        <v>1.0</v>
      </c>
      <c r="I448" s="6">
        <v>1.0</v>
      </c>
      <c r="J448" s="6">
        <v>1.0</v>
      </c>
      <c r="K448" s="5">
        <f t="shared" si="383"/>
        <v>37887800</v>
      </c>
      <c r="L448" s="5">
        <f t="shared" ref="L448:M448" si="452">L447+F448</f>
        <v>7250.59</v>
      </c>
      <c r="M448" s="5">
        <f t="shared" si="452"/>
        <v>7996.87</v>
      </c>
      <c r="N448" s="6">
        <f t="shared" si="3"/>
        <v>0.304125</v>
      </c>
      <c r="O448" s="6">
        <f t="shared" si="4"/>
        <v>0.2223462441</v>
      </c>
    </row>
    <row r="449">
      <c r="A449" s="4">
        <v>45921.0</v>
      </c>
      <c r="B449" s="5">
        <v>72.0</v>
      </c>
      <c r="C449" s="5">
        <v>707500.0</v>
      </c>
      <c r="D449" s="5">
        <v>5.7</v>
      </c>
      <c r="E449" s="5">
        <v>94.16</v>
      </c>
      <c r="F449" s="5">
        <v>116.77</v>
      </c>
      <c r="G449" s="5">
        <v>128.98</v>
      </c>
      <c r="H449" s="6">
        <v>0.9979027563773326</v>
      </c>
      <c r="I449" s="6">
        <v>1.0</v>
      </c>
      <c r="J449" s="6">
        <v>1.0</v>
      </c>
      <c r="K449" s="5">
        <f t="shared" si="383"/>
        <v>38595300</v>
      </c>
      <c r="L449" s="5">
        <f t="shared" ref="L449:M449" si="453">L448+F449</f>
        <v>7367.36</v>
      </c>
      <c r="M449" s="5">
        <f t="shared" si="453"/>
        <v>8125.85</v>
      </c>
      <c r="N449" s="6">
        <f t="shared" si="3"/>
        <v>0.2947916667</v>
      </c>
      <c r="O449" s="6">
        <f t="shared" si="4"/>
        <v>0.2233524306</v>
      </c>
    </row>
    <row r="450">
      <c r="A450" s="4">
        <v>45922.0</v>
      </c>
      <c r="B450" s="5">
        <v>73.0</v>
      </c>
      <c r="C450" s="5">
        <v>602799.9999999884</v>
      </c>
      <c r="D450" s="5">
        <v>4.68</v>
      </c>
      <c r="E450" s="5">
        <v>99.58</v>
      </c>
      <c r="F450" s="5">
        <v>117.48000000000002</v>
      </c>
      <c r="G450" s="5">
        <v>129.83</v>
      </c>
      <c r="H450" s="6">
        <v>1.0</v>
      </c>
      <c r="I450" s="6">
        <v>1.0</v>
      </c>
      <c r="J450" s="6">
        <v>1.0</v>
      </c>
      <c r="K450" s="5">
        <f t="shared" si="383"/>
        <v>39198100</v>
      </c>
      <c r="L450" s="5">
        <f t="shared" ref="L450:M450" si="454">L449+F450</f>
        <v>7484.84</v>
      </c>
      <c r="M450" s="5">
        <f t="shared" si="454"/>
        <v>8255.68</v>
      </c>
      <c r="N450" s="6">
        <f t="shared" si="3"/>
        <v>0.2511666667</v>
      </c>
      <c r="O450" s="6">
        <f t="shared" si="4"/>
        <v>0.2237334475</v>
      </c>
    </row>
    <row r="451">
      <c r="A451" s="4">
        <v>45923.0</v>
      </c>
      <c r="B451" s="5">
        <v>74.0</v>
      </c>
      <c r="C451" s="5">
        <v>582500.0</v>
      </c>
      <c r="D451" s="5">
        <v>4.595000000000001</v>
      </c>
      <c r="E451" s="5">
        <v>86.79</v>
      </c>
      <c r="F451" s="5">
        <v>116.72999999999999</v>
      </c>
      <c r="G451" s="5">
        <v>124.77000000000001</v>
      </c>
      <c r="H451" s="6">
        <v>1.0</v>
      </c>
      <c r="I451" s="6">
        <v>1.0</v>
      </c>
      <c r="J451" s="6">
        <v>1.0</v>
      </c>
      <c r="K451" s="5">
        <f t="shared" si="383"/>
        <v>39780600</v>
      </c>
      <c r="L451" s="5">
        <f t="shared" ref="L451:M451" si="455">L450+F451</f>
        <v>7601.57</v>
      </c>
      <c r="M451" s="5">
        <f t="shared" si="455"/>
        <v>8380.45</v>
      </c>
      <c r="N451" s="6">
        <f t="shared" si="3"/>
        <v>0.2427083333</v>
      </c>
      <c r="O451" s="6">
        <f t="shared" si="4"/>
        <v>0.2239898649</v>
      </c>
    </row>
    <row r="452">
      <c r="A452" s="4">
        <v>45924.0</v>
      </c>
      <c r="B452" s="5">
        <v>75.0</v>
      </c>
      <c r="C452" s="5">
        <v>114900.00000002328</v>
      </c>
      <c r="D452" s="5">
        <v>0.795</v>
      </c>
      <c r="E452" s="5">
        <v>26.3</v>
      </c>
      <c r="F452" s="5">
        <v>0.0</v>
      </c>
      <c r="G452" s="5">
        <v>0.0</v>
      </c>
      <c r="H452" s="6">
        <v>1.0</v>
      </c>
      <c r="I452" s="6">
        <v>1.0</v>
      </c>
      <c r="J452" s="6">
        <v>1.0</v>
      </c>
      <c r="K452" s="5">
        <f t="shared" si="383"/>
        <v>39895500</v>
      </c>
      <c r="L452" s="5">
        <f t="shared" ref="L452:M452" si="456">L451+F452</f>
        <v>7601.57</v>
      </c>
      <c r="M452" s="5">
        <f t="shared" si="456"/>
        <v>8380.45</v>
      </c>
      <c r="N452" s="6">
        <f t="shared" si="3"/>
        <v>0.047875</v>
      </c>
      <c r="O452" s="6">
        <f t="shared" si="4"/>
        <v>0.2216416667</v>
      </c>
    </row>
    <row r="453">
      <c r="A453" s="4">
        <v>45925.0</v>
      </c>
      <c r="B453" s="5">
        <v>76.0</v>
      </c>
      <c r="C453" s="5">
        <v>518399.9999999942</v>
      </c>
      <c r="D453" s="5">
        <v>4.3</v>
      </c>
      <c r="E453" s="5">
        <v>80.82</v>
      </c>
      <c r="F453" s="5">
        <v>115.88999999999999</v>
      </c>
      <c r="G453" s="5">
        <v>127.97</v>
      </c>
      <c r="H453" s="6">
        <v>1.0</v>
      </c>
      <c r="I453" s="6">
        <v>1.0</v>
      </c>
      <c r="J453" s="6">
        <v>1.0</v>
      </c>
      <c r="K453" s="5">
        <f t="shared" si="383"/>
        <v>40413900</v>
      </c>
      <c r="L453" s="5">
        <f t="shared" ref="L453:M453" si="457">L452+F453</f>
        <v>7717.46</v>
      </c>
      <c r="M453" s="5">
        <f t="shared" si="457"/>
        <v>8508.42</v>
      </c>
      <c r="N453" s="6">
        <f t="shared" si="3"/>
        <v>0.216</v>
      </c>
      <c r="O453" s="6">
        <f t="shared" si="4"/>
        <v>0.2215674342</v>
      </c>
    </row>
    <row r="454">
      <c r="A454" s="4">
        <v>45926.0</v>
      </c>
      <c r="B454" s="5">
        <v>77.0</v>
      </c>
      <c r="C454" s="5">
        <v>610199.9999999825</v>
      </c>
      <c r="D454" s="5">
        <v>4.88</v>
      </c>
      <c r="E454" s="5">
        <v>88.23</v>
      </c>
      <c r="F454" s="5">
        <v>116.34</v>
      </c>
      <c r="G454" s="5">
        <v>129.16</v>
      </c>
      <c r="H454" s="6">
        <v>1.0</v>
      </c>
      <c r="I454" s="6">
        <v>1.0</v>
      </c>
      <c r="J454" s="6">
        <v>1.0</v>
      </c>
      <c r="K454" s="5">
        <f t="shared" si="383"/>
        <v>41024100</v>
      </c>
      <c r="L454" s="5">
        <f t="shared" ref="L454:M454" si="458">L453+F454</f>
        <v>7833.8</v>
      </c>
      <c r="M454" s="5">
        <f t="shared" si="458"/>
        <v>8637.58</v>
      </c>
      <c r="N454" s="6">
        <f t="shared" si="3"/>
        <v>0.25425</v>
      </c>
      <c r="O454" s="6">
        <f t="shared" si="4"/>
        <v>0.2219918831</v>
      </c>
    </row>
    <row r="455">
      <c r="A455" s="4">
        <v>45927.0</v>
      </c>
      <c r="B455" s="5">
        <v>78.0</v>
      </c>
      <c r="C455" s="5">
        <v>299000.0</v>
      </c>
      <c r="D455" s="5">
        <v>2.4000000000000004</v>
      </c>
      <c r="E455" s="5">
        <v>72.85</v>
      </c>
      <c r="F455" s="5">
        <v>99.77000000000001</v>
      </c>
      <c r="G455" s="5">
        <v>110.49000000000001</v>
      </c>
      <c r="H455" s="6">
        <v>1.0</v>
      </c>
      <c r="I455" s="6">
        <v>1.0</v>
      </c>
      <c r="J455" s="6">
        <v>1.0</v>
      </c>
      <c r="K455" s="5">
        <f t="shared" si="383"/>
        <v>41323100</v>
      </c>
      <c r="L455" s="5">
        <f t="shared" ref="L455:M455" si="459">L454+F455</f>
        <v>7933.57</v>
      </c>
      <c r="M455" s="5">
        <f t="shared" si="459"/>
        <v>8748.07</v>
      </c>
      <c r="N455" s="6">
        <f t="shared" si="3"/>
        <v>0.1245833333</v>
      </c>
      <c r="O455" s="6">
        <f t="shared" si="4"/>
        <v>0.2207430556</v>
      </c>
    </row>
    <row r="456">
      <c r="A456" s="4">
        <v>45928.0</v>
      </c>
      <c r="B456" s="5">
        <v>79.0</v>
      </c>
      <c r="C456" s="5">
        <v>550700.0000000116</v>
      </c>
      <c r="D456" s="5">
        <v>4.4399999999999995</v>
      </c>
      <c r="E456" s="5">
        <v>84.43</v>
      </c>
      <c r="F456" s="5">
        <v>116.32000000000002</v>
      </c>
      <c r="G456" s="5">
        <v>128.98</v>
      </c>
      <c r="H456" s="6">
        <v>1.0</v>
      </c>
      <c r="I456" s="6">
        <v>1.0</v>
      </c>
      <c r="J456" s="6">
        <v>1.0</v>
      </c>
      <c r="K456" s="5">
        <f t="shared" si="383"/>
        <v>41873800</v>
      </c>
      <c r="L456" s="5">
        <f t="shared" ref="L456:M456" si="460">L455+F456</f>
        <v>8049.89</v>
      </c>
      <c r="M456" s="5">
        <f t="shared" si="460"/>
        <v>8877.05</v>
      </c>
      <c r="N456" s="6">
        <f t="shared" si="3"/>
        <v>0.2294583333</v>
      </c>
      <c r="O456" s="6">
        <f t="shared" si="4"/>
        <v>0.2208533755</v>
      </c>
    </row>
    <row r="457">
      <c r="A457" s="4">
        <v>45929.0</v>
      </c>
      <c r="B457" s="5">
        <v>80.0</v>
      </c>
      <c r="C457" s="5">
        <v>595000.0</v>
      </c>
      <c r="D457" s="5">
        <v>4.720000000000001</v>
      </c>
      <c r="E457" s="5">
        <v>85.56</v>
      </c>
      <c r="F457" s="5">
        <v>116.69</v>
      </c>
      <c r="G457" s="5">
        <v>129.1</v>
      </c>
      <c r="H457" s="6">
        <v>1.0</v>
      </c>
      <c r="I457" s="6">
        <v>1.0</v>
      </c>
      <c r="J457" s="6">
        <v>1.0</v>
      </c>
      <c r="K457" s="5">
        <f t="shared" si="383"/>
        <v>42468800</v>
      </c>
      <c r="L457" s="5">
        <f t="shared" ref="L457:M457" si="461">L456+F457</f>
        <v>8166.58</v>
      </c>
      <c r="M457" s="5">
        <f t="shared" si="461"/>
        <v>9006.15</v>
      </c>
      <c r="N457" s="6">
        <f t="shared" si="3"/>
        <v>0.2479166667</v>
      </c>
      <c r="O457" s="6">
        <f t="shared" si="4"/>
        <v>0.2211916667</v>
      </c>
    </row>
    <row r="458">
      <c r="A458" s="4">
        <v>45930.0</v>
      </c>
      <c r="B458" s="5">
        <v>81.0</v>
      </c>
      <c r="C458" s="5">
        <v>653700.0000000116</v>
      </c>
      <c r="D458" s="5">
        <v>5.4399999999999995</v>
      </c>
      <c r="E458" s="5">
        <v>91.14</v>
      </c>
      <c r="F458" s="5">
        <v>116.45</v>
      </c>
      <c r="G458" s="5">
        <v>128.82</v>
      </c>
      <c r="H458" s="6">
        <v>1.0</v>
      </c>
      <c r="I458" s="6">
        <v>1.0</v>
      </c>
      <c r="J458" s="6">
        <v>1.0</v>
      </c>
      <c r="K458" s="5">
        <f t="shared" si="383"/>
        <v>43122500</v>
      </c>
      <c r="L458" s="5">
        <f t="shared" ref="L458:M458" si="462">L457+F458</f>
        <v>8283.03</v>
      </c>
      <c r="M458" s="5">
        <f t="shared" si="462"/>
        <v>9134.97</v>
      </c>
      <c r="N458" s="6">
        <f t="shared" si="3"/>
        <v>0.272375</v>
      </c>
      <c r="O458" s="6">
        <f t="shared" si="4"/>
        <v>0.2218235597</v>
      </c>
    </row>
    <row r="459">
      <c r="A459" s="4">
        <v>45931.0</v>
      </c>
      <c r="B459" s="5">
        <v>82.0</v>
      </c>
      <c r="C459" s="5">
        <v>621599.9999999767</v>
      </c>
      <c r="D459" s="5">
        <v>4.515000000000001</v>
      </c>
      <c r="E459" s="5">
        <v>93.01</v>
      </c>
      <c r="F459" s="5">
        <v>98.36</v>
      </c>
      <c r="G459" s="5">
        <v>106.56</v>
      </c>
      <c r="H459" s="6">
        <v>1.0</v>
      </c>
      <c r="I459" s="6">
        <v>1.0</v>
      </c>
      <c r="J459" s="6">
        <v>1.0</v>
      </c>
      <c r="K459" s="5">
        <f t="shared" si="383"/>
        <v>43744100</v>
      </c>
      <c r="L459" s="5">
        <f t="shared" ref="L459:M459" si="463">L458+F459</f>
        <v>8381.39</v>
      </c>
      <c r="M459" s="5">
        <f t="shared" si="463"/>
        <v>9241.53</v>
      </c>
      <c r="N459" s="6">
        <f t="shared" si="3"/>
        <v>0.259</v>
      </c>
      <c r="O459" s="6">
        <f t="shared" si="4"/>
        <v>0.2222769309</v>
      </c>
    </row>
    <row r="460">
      <c r="A460" s="4">
        <v>45932.0</v>
      </c>
      <c r="B460" s="5">
        <v>83.0</v>
      </c>
      <c r="C460" s="5">
        <v>565700.0000000116</v>
      </c>
      <c r="D460" s="5">
        <v>4.46</v>
      </c>
      <c r="E460" s="5">
        <v>88.65</v>
      </c>
      <c r="F460" s="5">
        <v>116.3</v>
      </c>
      <c r="G460" s="5">
        <v>128.89</v>
      </c>
      <c r="H460" s="6">
        <v>1.0</v>
      </c>
      <c r="I460" s="6">
        <v>1.0</v>
      </c>
      <c r="J460" s="6">
        <v>1.0</v>
      </c>
      <c r="K460" s="5">
        <f t="shared" si="383"/>
        <v>44309800</v>
      </c>
      <c r="L460" s="5">
        <f t="shared" ref="L460:M460" si="464">L459+F460</f>
        <v>8497.69</v>
      </c>
      <c r="M460" s="5">
        <f t="shared" si="464"/>
        <v>9370.42</v>
      </c>
      <c r="N460" s="6">
        <f t="shared" si="3"/>
        <v>0.2357083333</v>
      </c>
      <c r="O460" s="6">
        <f t="shared" si="4"/>
        <v>0.222438755</v>
      </c>
    </row>
    <row r="461">
      <c r="A461" s="4">
        <v>45933.0</v>
      </c>
      <c r="B461" s="5">
        <v>84.0</v>
      </c>
      <c r="C461" s="5">
        <v>0.0</v>
      </c>
      <c r="D461" s="5">
        <v>0.0</v>
      </c>
      <c r="E461" s="5">
        <v>0.0</v>
      </c>
      <c r="F461" s="5">
        <v>0.0</v>
      </c>
      <c r="G461" s="5">
        <v>0.0</v>
      </c>
      <c r="H461" s="6" t="e">
        <v>#N/A</v>
      </c>
      <c r="I461" s="6" t="e">
        <v>#N/A</v>
      </c>
      <c r="J461" s="6">
        <v>1.0</v>
      </c>
      <c r="K461" s="5">
        <f t="shared" si="383"/>
        <v>44309800</v>
      </c>
      <c r="L461" s="5">
        <f t="shared" ref="L461:M461" si="465">L460+F461</f>
        <v>8497.69</v>
      </c>
      <c r="M461" s="5">
        <f t="shared" si="465"/>
        <v>9370.42</v>
      </c>
      <c r="N461" s="6">
        <f t="shared" si="3"/>
        <v>0</v>
      </c>
      <c r="O461" s="6">
        <f t="shared" si="4"/>
        <v>0.2197906746</v>
      </c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