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343" documentId="8_{A83A57CF-E447-4F6F-A946-028487133BE5}" xr6:coauthVersionLast="47" xr6:coauthVersionMax="47" xr10:uidLastSave="{6F811820-9DD0-4B0E-A6BE-37D7FF231238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Sheet1" sheetId="18" state="hidden" r:id="rId2"/>
    <sheet name="Preliminary Activity" sheetId="14" r:id="rId3"/>
    <sheet name="Manpower" sheetId="10" state="hidden" r:id="rId4"/>
    <sheet name="Machinery" sheetId="12" state="hidden" r:id="rId5"/>
    <sheet name="Ordering" sheetId="15" r:id="rId6"/>
    <sheet name="MDL" sheetId="27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1" i="27" l="1"/>
  <c r="S240" i="27"/>
  <c r="P240" i="27"/>
  <c r="O240" i="27"/>
  <c r="H240" i="27"/>
  <c r="S236" i="27"/>
  <c r="O236" i="27"/>
  <c r="H236" i="27"/>
  <c r="S214" i="27"/>
  <c r="O214" i="27"/>
  <c r="S213" i="27"/>
  <c r="O213" i="27"/>
  <c r="H213" i="27"/>
  <c r="H212" i="27"/>
  <c r="S211" i="27"/>
  <c r="O211" i="27"/>
  <c r="H211" i="27"/>
  <c r="O209" i="27"/>
  <c r="S208" i="27"/>
  <c r="P208" i="27"/>
  <c r="O208" i="27"/>
  <c r="A207" i="27"/>
  <c r="A208" i="27" s="1"/>
  <c r="A211" i="27" s="1"/>
  <c r="A212" i="27" s="1"/>
  <c r="A213" i="27" s="1"/>
  <c r="A214" i="27" s="1"/>
  <c r="A215" i="27" s="1"/>
  <c r="A216" i="27" s="1"/>
  <c r="A217" i="27" s="1"/>
  <c r="A218" i="27" s="1"/>
  <c r="A219" i="27" s="1"/>
  <c r="A220" i="27" s="1"/>
  <c r="A221" i="27" s="1"/>
  <c r="A222" i="27" s="1"/>
  <c r="A223" i="27" s="1"/>
  <c r="A224" i="27" s="1"/>
  <c r="A225" i="27" s="1"/>
  <c r="A226" i="27" s="1"/>
  <c r="A227" i="27" s="1"/>
  <c r="A228" i="27" s="1"/>
  <c r="A229" i="27" s="1"/>
  <c r="A230" i="27" s="1"/>
  <c r="A231" i="27" s="1"/>
  <c r="A233" i="27" s="1"/>
  <c r="A234" i="27" s="1"/>
  <c r="A235" i="27" s="1"/>
  <c r="S196" i="27"/>
  <c r="S183" i="27"/>
  <c r="O183" i="27"/>
  <c r="S177" i="27"/>
  <c r="O177" i="27"/>
  <c r="H177" i="27"/>
  <c r="H214" i="27" s="1"/>
  <c r="S175" i="27"/>
  <c r="O175" i="27"/>
  <c r="H175" i="27"/>
  <c r="S173" i="27"/>
  <c r="O173" i="27"/>
  <c r="H173" i="27"/>
  <c r="S170" i="27"/>
  <c r="P170" i="27"/>
  <c r="O170" i="27"/>
  <c r="H170" i="27"/>
  <c r="O167" i="27"/>
  <c r="P166" i="27"/>
  <c r="O166" i="27"/>
  <c r="S165" i="27"/>
  <c r="P165" i="27"/>
  <c r="O165" i="27"/>
  <c r="H165" i="27"/>
  <c r="O164" i="27"/>
  <c r="P163" i="27"/>
  <c r="O163" i="27"/>
  <c r="S162" i="27"/>
  <c r="P162" i="27"/>
  <c r="O162" i="27"/>
  <c r="H162" i="27"/>
  <c r="S161" i="27"/>
  <c r="H161" i="27"/>
  <c r="O160" i="27"/>
  <c r="P159" i="27"/>
  <c r="O159" i="27"/>
  <c r="S158" i="27"/>
  <c r="Q158" i="27"/>
  <c r="P158" i="27"/>
  <c r="O158" i="27"/>
  <c r="H158" i="27"/>
  <c r="O152" i="27"/>
  <c r="P151" i="27"/>
  <c r="O151" i="27"/>
  <c r="S150" i="27"/>
  <c r="P150" i="27"/>
  <c r="O150" i="27"/>
  <c r="H150" i="27"/>
  <c r="O149" i="27"/>
  <c r="U148" i="27"/>
  <c r="P148" i="27"/>
  <c r="O148" i="27"/>
  <c r="H148" i="27"/>
  <c r="H147" i="27"/>
  <c r="H146" i="27"/>
  <c r="H145" i="27"/>
  <c r="H144" i="27"/>
  <c r="H141" i="27"/>
  <c r="H137" i="27"/>
  <c r="H133" i="27"/>
  <c r="H129" i="27"/>
  <c r="O128" i="27"/>
  <c r="P127" i="27"/>
  <c r="O127" i="27"/>
  <c r="S126" i="27"/>
  <c r="P126" i="27"/>
  <c r="O126" i="27"/>
  <c r="H126" i="27"/>
  <c r="O120" i="27"/>
  <c r="P119" i="27"/>
  <c r="O119" i="27"/>
  <c r="S118" i="27"/>
  <c r="P118" i="27"/>
  <c r="O118" i="27"/>
  <c r="H118" i="27"/>
  <c r="O117" i="27"/>
  <c r="S116" i="27"/>
  <c r="P116" i="27"/>
  <c r="O116" i="27"/>
  <c r="H116" i="27"/>
  <c r="O115" i="27"/>
  <c r="S114" i="27"/>
  <c r="P114" i="27"/>
  <c r="O114" i="27"/>
  <c r="H114" i="27"/>
  <c r="O113" i="27"/>
  <c r="P112" i="27"/>
  <c r="O112" i="27"/>
  <c r="P111" i="27"/>
  <c r="O111" i="27"/>
  <c r="S110" i="27"/>
  <c r="P110" i="27"/>
  <c r="O110" i="27"/>
  <c r="H110" i="27"/>
  <c r="H109" i="27"/>
  <c r="H106" i="27"/>
  <c r="H102" i="27"/>
  <c r="S99" i="27"/>
  <c r="H97" i="27"/>
  <c r="O84" i="27"/>
  <c r="P83" i="27"/>
  <c r="O83" i="27"/>
  <c r="U82" i="27"/>
  <c r="S82" i="27"/>
  <c r="R82" i="27"/>
  <c r="Q82" i="27"/>
  <c r="P82" i="27"/>
  <c r="O82" i="27"/>
  <c r="H82" i="27"/>
  <c r="O81" i="27"/>
  <c r="S80" i="27"/>
  <c r="P80" i="27"/>
  <c r="O80" i="27"/>
  <c r="H80" i="27"/>
  <c r="H69" i="27"/>
  <c r="S67" i="27"/>
  <c r="O67" i="27"/>
  <c r="H67" i="27"/>
  <c r="O58" i="27"/>
  <c r="O57" i="27"/>
  <c r="P56" i="27"/>
  <c r="O56" i="27"/>
  <c r="P55" i="27"/>
  <c r="O55" i="27"/>
  <c r="S54" i="27"/>
  <c r="P54" i="27"/>
  <c r="O54" i="27"/>
  <c r="H54" i="27"/>
  <c r="O53" i="27"/>
  <c r="H53" i="27"/>
  <c r="S52" i="27"/>
  <c r="O52" i="27"/>
  <c r="H52" i="27"/>
  <c r="O51" i="27"/>
  <c r="O50" i="27"/>
  <c r="S49" i="27"/>
  <c r="P49" i="27"/>
  <c r="O49" i="27"/>
  <c r="H49" i="27"/>
  <c r="O48" i="27"/>
  <c r="O47" i="27"/>
  <c r="P46" i="27"/>
  <c r="O46" i="27"/>
  <c r="P45" i="27"/>
  <c r="O45" i="27"/>
  <c r="S44" i="27"/>
  <c r="Q44" i="27"/>
  <c r="P44" i="27"/>
  <c r="O44" i="27"/>
  <c r="H44" i="27"/>
  <c r="O43" i="27"/>
  <c r="S42" i="27"/>
  <c r="P42" i="27"/>
  <c r="O42" i="27"/>
  <c r="H42" i="27"/>
  <c r="O41" i="27"/>
  <c r="S40" i="27"/>
  <c r="P40" i="27"/>
  <c r="O40" i="27"/>
  <c r="H40" i="27"/>
  <c r="O39" i="27"/>
  <c r="O38" i="27"/>
  <c r="O37" i="27"/>
  <c r="P36" i="27"/>
  <c r="O36" i="27"/>
  <c r="P35" i="27"/>
  <c r="O35" i="27"/>
  <c r="U34" i="27"/>
  <c r="S34" i="27"/>
  <c r="Q34" i="27"/>
  <c r="P34" i="27"/>
  <c r="O34" i="27"/>
  <c r="H34" i="27"/>
  <c r="S32" i="27"/>
  <c r="P32" i="27"/>
  <c r="O32" i="27"/>
  <c r="H32" i="27"/>
  <c r="S30" i="27"/>
  <c r="P30" i="27"/>
  <c r="O30" i="27"/>
  <c r="H30" i="27"/>
  <c r="O29" i="27"/>
  <c r="P28" i="27"/>
  <c r="O28" i="27"/>
  <c r="S27" i="27"/>
  <c r="P27" i="27"/>
  <c r="O27" i="27"/>
  <c r="H27" i="27"/>
  <c r="O24" i="27"/>
  <c r="O23" i="27"/>
  <c r="P22" i="27"/>
  <c r="O22" i="27"/>
  <c r="U21" i="27"/>
  <c r="S21" i="27"/>
  <c r="S24" i="27" s="1"/>
  <c r="Q21" i="27"/>
  <c r="P21" i="27"/>
  <c r="O21" i="27"/>
  <c r="H21" i="27"/>
  <c r="S19" i="27"/>
  <c r="P19" i="27"/>
  <c r="O19" i="27"/>
  <c r="S17" i="27"/>
  <c r="O17" i="27"/>
  <c r="O16" i="27"/>
  <c r="S15" i="27"/>
  <c r="P15" i="27"/>
  <c r="O15" i="27"/>
  <c r="U13" i="27"/>
  <c r="O13" i="27"/>
  <c r="S10" i="27"/>
  <c r="Q10" i="27"/>
  <c r="O10" i="27"/>
  <c r="O8" i="27"/>
  <c r="U7" i="27"/>
  <c r="S7" i="27"/>
  <c r="R7" i="27"/>
  <c r="Q7" i="27"/>
  <c r="P7" i="27"/>
  <c r="O7" i="27"/>
  <c r="P5" i="27"/>
  <c r="O5" i="27"/>
  <c r="P4" i="27"/>
  <c r="O4" i="27"/>
  <c r="U1" i="27"/>
  <c r="U161" i="27" s="1"/>
  <c r="O1" i="27"/>
  <c r="O125" i="27" s="1"/>
  <c r="U30" i="27" l="1"/>
  <c r="U40" i="27"/>
  <c r="O31" i="27"/>
  <c r="O20" i="27"/>
  <c r="P115" i="27"/>
  <c r="U15" i="27"/>
  <c r="U80" i="27"/>
  <c r="U27" i="27"/>
  <c r="P81" i="27"/>
  <c r="U129" i="27"/>
  <c r="O171" i="27"/>
  <c r="U17" i="27"/>
  <c r="O33" i="27"/>
  <c r="U165" i="27"/>
  <c r="P173" i="27"/>
  <c r="P211" i="27"/>
  <c r="U208" i="27"/>
  <c r="O95" i="27"/>
  <c r="P236" i="27"/>
  <c r="P164" i="27"/>
  <c r="O133" i="27"/>
  <c r="P241" i="27"/>
  <c r="O69" i="27"/>
  <c r="U158" i="27"/>
  <c r="O14" i="27"/>
  <c r="U114" i="27"/>
  <c r="U126" i="27"/>
  <c r="U162" i="27"/>
  <c r="U211" i="27"/>
  <c r="O122" i="27"/>
  <c r="O129" i="27"/>
  <c r="P161" i="27"/>
  <c r="U170" i="27"/>
  <c r="P177" i="27"/>
  <c r="U32" i="27"/>
  <c r="P67" i="27"/>
  <c r="P183" i="27"/>
  <c r="O11" i="27"/>
  <c r="P214" i="27"/>
  <c r="U19" i="27"/>
  <c r="U118" i="27"/>
  <c r="O145" i="27"/>
  <c r="P175" i="27"/>
  <c r="U236" i="27"/>
  <c r="U145" i="27"/>
  <c r="U150" i="27"/>
  <c r="O123" i="27"/>
  <c r="P209" i="27"/>
  <c r="P213" i="27"/>
  <c r="U240" i="27"/>
  <c r="O161" i="27"/>
  <c r="P17" i="27"/>
  <c r="U116" i="27"/>
  <c r="P35" i="11" l="1"/>
  <c r="P36" i="11"/>
  <c r="P37" i="11"/>
  <c r="P38" i="11"/>
  <c r="P39" i="11"/>
  <c r="P40" i="11"/>
  <c r="P34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L15" i="8" a="1"/>
  <c r="L15" i="8" s="1"/>
  <c r="K11" i="8" a="1"/>
  <c r="K11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I11" i="8"/>
  <c r="L11" i="8" a="1"/>
  <c r="L11" i="8" s="1"/>
  <c r="E22" i="8"/>
  <c r="G22" i="8"/>
  <c r="H22" i="8"/>
  <c r="S12" i="11" l="1"/>
  <c r="Q12" i="11" s="1"/>
  <c r="T12" i="11"/>
  <c r="T11" i="11"/>
  <c r="O12" i="11"/>
  <c r="K6" i="8" l="1"/>
  <c r="I11" i="11" l="1"/>
  <c r="D1" i="11"/>
  <c r="P12" i="11" l="1"/>
  <c r="N4" i="8"/>
  <c r="K15" i="8" l="1" a="1"/>
  <c r="K15" i="8" s="1"/>
  <c r="K16" i="8" a="1"/>
  <c r="K16" i="8" s="1"/>
  <c r="K17" i="8" a="1"/>
  <c r="K17" i="8" s="1"/>
  <c r="K14" i="8" a="1"/>
  <c r="K14" i="8" s="1"/>
  <c r="K12" i="8" a="1"/>
  <c r="K12" i="8" s="1"/>
  <c r="K18" i="8" a="1"/>
  <c r="K18" i="8" s="1"/>
  <c r="A26" i="14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0" i="11"/>
  <c r="T9" i="11"/>
  <c r="T8" i="11"/>
  <c r="T7" i="11"/>
  <c r="T6" i="11"/>
  <c r="T5" i="11"/>
  <c r="T4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N37" i="11"/>
  <c r="O37" i="11" s="1"/>
  <c r="S36" i="11"/>
  <c r="Q36" i="11" s="1"/>
  <c r="N36" i="11"/>
  <c r="O36" i="11" s="1"/>
  <c r="S35" i="11"/>
  <c r="Q35" i="11" s="1"/>
  <c r="S34" i="11"/>
  <c r="Q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S15" i="11"/>
  <c r="Q15" i="11" s="1"/>
  <c r="D23" i="8" s="1"/>
  <c r="S14" i="11"/>
  <c r="Q14" i="11" s="1"/>
  <c r="S13" i="11"/>
  <c r="Q13" i="11" s="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H23" i="8" l="1"/>
  <c r="G23" i="8" s="1"/>
  <c r="E23" i="8"/>
  <c r="D21" i="8"/>
  <c r="P13" i="11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R14" i="1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13" i="1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R15" i="1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12" i="11"/>
  <c r="R40" i="11"/>
  <c r="Q67" i="11"/>
  <c r="R67" i="11" s="1"/>
  <c r="N12" i="1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H21" i="8" l="1"/>
  <c r="G21" i="8" s="1"/>
  <c r="E21" i="8"/>
  <c r="D11" i="8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D24" i="8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D26" i="8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G59" i="8" s="1"/>
  <c r="C72" i="8" s="1"/>
  <c r="R17" i="11"/>
  <c r="R18" i="11"/>
  <c r="E5" i="12"/>
  <c r="E10" i="12" s="1"/>
  <c r="E6" i="12" s="1"/>
  <c r="F59" i="8" l="1"/>
  <c r="C71" i="8" s="1"/>
  <c r="C73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<sst xmlns="http://schemas.openxmlformats.org/spreadsheetml/2006/main" count="2432" uniqueCount="852">
  <si>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</si>
  <si>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</si>
  <si>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</si>
  <si>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</si>
  <si>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</si>
  <si>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</si>
  <si>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</si>
  <si>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</si>
  <si>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</si>
  <si>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</si>
  <si>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</si>
  <si>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</si>
  <si>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</si>
  <si>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</si>
  <si>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</si>
  <si>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</si>
  <si>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</si>
  <si>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</si>
  <si>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</si>
  <si>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</si>
  <si>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</si>
  <si>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</si>
  <si>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</si>
  <si>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</si>
  <si>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</si>
  <si>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</si>
  <si>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</si>
  <si>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</si>
  <si>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</si>
  <si>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</si>
  <si>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</si>
  <si>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</si>
  <si>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</si>
  <si>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</si>
  <si>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</si>
  <si>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</si>
  <si>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</si>
  <si>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</si>
  <si>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</si>
  <si>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</si>
  <si>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</si>
  <si>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</si>
  <si>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</si>
  <si>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</si>
  <si>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</si>
  <si>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</si>
  <si>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</si>
  <si>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</si>
  <si>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</si>
  <si>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</si>
  <si>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</si>
  <si>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</si>
  <si>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</si>
  <si>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</si>
  <si>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</si>
  <si>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</si>
  <si>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</si>
  <si>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</si>
  <si>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</si>
  <si>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</si>
  <si>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</si>
  <si>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</si>
  <si>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</si>
  <si>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</si>
  <si>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</si>
  <si>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</si>
  <si>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</si>
  <si>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</si>
  <si>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</si>
  <si>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</si>
  <si>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</si>
  <si>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</si>
  <si>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</si>
  <si>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</si>
  <si>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</si>
  <si>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</si>
  <si>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</si>
  <si>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</si>
  <si>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</si>
  <si>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</si>
  <si>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</si>
  <si>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</si>
  <si>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</si>
  <si>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</si>
  <si>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</si>
  <si>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</si>
  <si>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</si>
  <si>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</si>
  <si>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</si>
  <si>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</si>
  <si>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</si>
  <si>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</si>
  <si>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</si>
  <si>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</si>
  <si>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</si>
  <si>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</si>
  <si>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</si>
  <si>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</si>
  <si>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</si>
  <si>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</si>
  <si>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</si>
  <si>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</si>
  <si>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</si>
  <si>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</si>
  <si>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</si>
  <si>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</si>
  <si>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</si>
  <si>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</si>
  <si>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</si>
  <si>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</si>
  <si>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</si>
  <si>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</si>
  <si>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</si>
  <si>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</si>
  <si>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</si>
  <si>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</si>
  <si>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</si>
  <si>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</si>
  <si>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</si>
  <si>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</si>
  <si>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</si>
  <si>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</si>
  <si>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</si>
  <si>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</si>
  <si>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</si>
  <si>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</si>
  <si>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</si>
  <si>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</si>
  <si>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</si>
  <si>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</si>
  <si>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</si>
  <si>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</si>
  <si>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</si>
  <si>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</si>
  <si>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</si>
  <si>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</si>
  <si>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</si>
  <si>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</si>
  <si>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</si>
  <si>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</si>
  <si>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</si>
  <si>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</si>
  <si>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</si>
  <si>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</si>
  <si>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</si>
  <si>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</si>
  <si>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</si>
  <si>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</si>
  <si>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</si>
  <si>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</si>
  <si>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</si>
  <si>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</si>
  <si>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</si>
  <si>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</si>
  <si>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</si>
  <si>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</si>
  <si>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</si>
  <si>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</si>
  <si>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</si>
  <si>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</si>
  <si>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</si>
  <si>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</si>
  <si>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</si>
  <si>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</si>
  <si>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</si>
  <si>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</si>
  <si>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</si>
  <si>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</si>
  <si>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</si>
  <si>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</si>
  <si>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</si>
  <si>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</si>
  <si>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</si>
  <si>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</si>
  <si>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</si>
  <si>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</si>
  <si>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</si>
  <si>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</si>
  <si>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</si>
  <si>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</si>
  <si>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</si>
  <si>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</si>
  <si>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</si>
  <si>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</si>
  <si>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</si>
  <si>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</si>
  <si>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</si>
  <si>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</si>
  <si>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</si>
  <si>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</si>
  <si>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</si>
  <si>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</si>
  <si>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</si>
  <si>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</si>
  <si>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</si>
  <si>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</si>
  <si>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</si>
  <si>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</si>
  <si>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</si>
  <si>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</si>
  <si>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</si>
  <si>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</si>
  <si>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</si>
  <si>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</si>
  <si>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</si>
  <si>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</si>
  <si>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</si>
  <si>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</si>
  <si>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</si>
  <si>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</si>
  <si>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</si>
  <si>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</si>
  <si>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</si>
  <si>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</si>
  <si>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</si>
  <si>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</si>
  <si>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</si>
  <si>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</si>
  <si>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</si>
  <si>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</si>
  <si>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</si>
  <si>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</si>
  <si>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</si>
  <si>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</si>
  <si>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</si>
  <si>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</si>
  <si>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</si>
  <si>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</si>
  <si>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</si>
  <si>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</si>
  <si>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</si>
  <si>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</si>
  <si>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</si>
  <si>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</si>
  <si>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</si>
  <si>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</si>
  <si>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</si>
  <si>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</si>
  <si>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</si>
  <si>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</si>
  <si>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</si>
  <si>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</si>
  <si>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</si>
  <si>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</si>
  <si>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</si>
  <si>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</si>
  <si>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</si>
  <si>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</si>
  <si>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</si>
  <si>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</si>
  <si>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</si>
  <si>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</si>
  <si>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</si>
  <si>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</si>
  <si>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</si>
  <si>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</si>
  <si>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</si>
  <si>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</si>
  <si>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</si>
  <si>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</si>
  <si>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</si>
  <si>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</si>
  <si>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</si>
  <si>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</si>
  <si>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</si>
  <si>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</si>
  <si>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</si>
  <si>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</si>
  <si>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</si>
  <si>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</si>
  <si>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</si>
  <si>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</si>
  <si>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</si>
  <si>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</si>
  <si>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</si>
  <si>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</si>
  <si>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</si>
  <si>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</si>
  <si>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</si>
  <si>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</si>
  <si>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</si>
  <si>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</si>
  <si>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</si>
  <si>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</si>
  <si>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</si>
  <si>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</si>
  <si>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</si>
  <si>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</si>
  <si>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</si>
  <si>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</si>
  <si>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</si>
  <si>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</si>
  <si>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</si>
  <si>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</si>
  <si>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</si>
  <si>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</si>
  <si>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</si>
  <si>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</si>
  <si>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</si>
  <si>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</si>
  <si>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</si>
  <si>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</si>
  <si>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</si>
  <si>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</si>
  <si>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</si>
  <si>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</si>
  <si>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</si>
  <si>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</si>
  <si>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</si>
  <si>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</si>
  <si>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</si>
  <si>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</si>
  <si>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</si>
  <si>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</si>
  <si>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</si>
  <si>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</si>
  <si>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</si>
  <si>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</si>
  <si>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</si>
  <si>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</si>
  <si>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</si>
  <si>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</si>
  <si>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</si>
  <si>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</si>
  <si>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</si>
  <si>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</si>
  <si>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</si>
  <si>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</si>
  <si>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</si>
  <si>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</si>
  <si>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</si>
  <si>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</si>
  <si>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</si>
  <si>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</si>
  <si>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</si>
  <si>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</si>
  <si>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</si>
  <si>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</si>
  <si>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</si>
  <si>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</si>
  <si>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</si>
  <si>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</si>
  <si>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</si>
  <si>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</si>
  <si>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</si>
  <si>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</si>
  <si>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</si>
  <si>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</si>
  <si>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</si>
  <si>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</si>
  <si>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</si>
  <si>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</si>
  <si>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</si>
  <si>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</si>
  <si>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</si>
  <si>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</si>
  <si>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</si>
  <si>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</si>
  <si>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</si>
  <si>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</si>
  <si>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</si>
  <si>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</si>
  <si>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</si>
  <si>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</si>
  <si>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</si>
  <si>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</si>
  <si>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</si>
  <si>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</si>
  <si>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</si>
  <si>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</si>
  <si>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</si>
  <si>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</si>
  <si>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</si>
  <si>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</si>
  <si>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</si>
  <si>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</si>
  <si>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</si>
  <si>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</si>
  <si>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</si>
  <si>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</si>
  <si>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</si>
  <si>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</si>
  <si>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</si>
  <si>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</si>
  <si>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</si>
  <si>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</si>
  <si>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</si>
  <si>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</si>
  <si>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</si>
  <si>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</si>
  <si>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</si>
  <si>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</si>
  <si>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Fencing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</si>
  <si>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</si>
  <si>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</si>
  <si>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</si>
  <si>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</si>
  <si>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</si>
  <si>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</si>
  <si>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</si>
  <si>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</si>
  <si>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</si>
  <si>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</si>
  <si>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</si>
  <si>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</si>
  <si>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</si>
  <si>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</si>
  <si>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</si>
  <si>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</si>
  <si>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</si>
  <si>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</si>
  <si>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</si>
  <si>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</si>
  <si>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</si>
  <si>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</si>
  <si>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</si>
  <si>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</si>
  <si>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</si>
  <si>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</si>
  <si>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</si>
  <si>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</si>
  <si>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</si>
  <si>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</si>
  <si>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</si>
  <si>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</si>
  <si>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</si>
  <si>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</si>
  <si>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</si>
  <si>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</si>
  <si>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</si>
  <si>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</si>
  <si>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</si>
  <si>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</si>
  <si>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</si>
  <si>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</si>
  <si>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</si>
  <si>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</si>
  <si>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</si>
  <si>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</si>
  <si>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</si>
  <si>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</si>
  <si>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</si>
  <si>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</si>
  <si>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</si>
  <si>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 xml:space="preserve">MDL SUMMARY - 300MW SECI PV </t>
  </si>
  <si>
    <t>Sl.No.</t>
  </si>
  <si>
    <t>Discipline</t>
  </si>
  <si>
    <t>Document Title</t>
  </si>
  <si>
    <t>Document
Number</t>
  </si>
  <si>
    <t>Approval
Catogery</t>
  </si>
  <si>
    <t>Planned  Submission
Date (EPCC)</t>
  </si>
  <si>
    <t>Other drawing linked</t>
  </si>
  <si>
    <t>Tentative approval date- linked docs.</t>
  </si>
  <si>
    <t>Revision</t>
  </si>
  <si>
    <t>Submission Date</t>
  </si>
  <si>
    <t>Response date</t>
  </si>
  <si>
    <t>CLIENT Comments / Approval(CAT-I,CAT-II CAT-III &amp; CAT-IV)</t>
  </si>
  <si>
    <t>No.of Days Reviwed by SECI</t>
  </si>
  <si>
    <t>No.of Days Reviwed by ARIPL</t>
  </si>
  <si>
    <t>Approved date</t>
  </si>
  <si>
    <t>Submission/Review By</t>
  </si>
  <si>
    <t>Approved Category</t>
  </si>
  <si>
    <t>Days taken for review/re-submission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</si>
  <si>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</si>
  <si>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</si>
  <si>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</si>
  <si>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</si>
  <si>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</si>
  <si>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</si>
  <si>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</si>
  <si>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</si>
  <si>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</si>
  <si>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</si>
  <si>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</si>
  <si>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</si>
  <si>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</si>
  <si>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</si>
  <si>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</si>
  <si>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</si>
  <si>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</si>
  <si>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</si>
  <si>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</si>
  <si>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</si>
  <si>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</si>
  <si>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</si>
  <si>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</si>
  <si>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</si>
  <si>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</si>
  <si>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</si>
  <si>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</si>
  <si>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</si>
  <si>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</si>
  <si>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</si>
  <si>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</si>
  <si>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</si>
  <si>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</si>
  <si>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</si>
  <si>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</si>
  <si>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</si>
  <si>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</si>
  <si>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</si>
  <si>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</si>
  <si>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</si>
  <si>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</si>
  <si>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</si>
  <si>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</si>
  <si>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</si>
  <si>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</si>
  <si>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</si>
  <si>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</si>
  <si>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</si>
  <si>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</si>
  <si>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</si>
  <si>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</si>
  <si>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</si>
  <si>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</si>
  <si>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</si>
  <si>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</si>
  <si>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</si>
  <si>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</si>
  <si>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</si>
  <si>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</si>
  <si>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</si>
  <si>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</si>
  <si>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</si>
  <si>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SECI-RG300-PL-CIV-108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</si>
  <si>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</si>
  <si>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</si>
  <si>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</si>
  <si>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</si>
  <si>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</si>
  <si>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</si>
  <si>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SECI-RG300-PL-CIV-203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</si>
  <si>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</si>
  <si>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</si>
  <si>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</si>
  <si>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</si>
  <si>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</si>
  <si>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</si>
  <si>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</si>
  <si>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</si>
  <si>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</si>
  <si>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</si>
  <si>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</si>
  <si>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</si>
  <si>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</si>
  <si>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Design document for Inverter Station</t>
  </si>
  <si>
    <t>SECI-RG300-PL-CIV-301</t>
  </si>
  <si>
    <t>Inverter Platform - Architectural &amp; Structural details                     ICOG)</t>
  </si>
  <si>
    <t>SECI-RG300-PL-CIV-302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</si>
  <si>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</si>
  <si>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</si>
  <si>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</si>
  <si>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>SECI-RG300-PL-CIV-304</t>
  </si>
  <si>
    <t xml:space="preserve">IDT Foundation GA and detail drawing </t>
  </si>
  <si>
    <t>SECI-RG300-PL-CIV-305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</si>
  <si>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</si>
  <si>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</si>
  <si>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</si>
  <si>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</si>
  <si>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</si>
  <si>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</si>
  <si>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</si>
  <si>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</si>
  <si>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</si>
  <si>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</si>
  <si>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</si>
  <si>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</si>
  <si>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</si>
  <si>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</si>
  <si>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</si>
  <si>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</si>
  <si>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</si>
  <si>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</si>
  <si>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</si>
  <si>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</si>
  <si>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</si>
  <si>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</si>
  <si>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</si>
  <si>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</si>
  <si>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</si>
  <si>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</si>
  <si>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</si>
  <si>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</si>
  <si>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</si>
  <si>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</si>
  <si>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</si>
  <si>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</si>
  <si>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</si>
  <si>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</si>
  <si>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</si>
  <si>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</si>
  <si>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</si>
  <si>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</si>
  <si>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</si>
  <si>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</si>
  <si>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</si>
  <si>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</si>
  <si>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</si>
  <si>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</si>
  <si>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</si>
  <si>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</si>
  <si>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</si>
  <si>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</si>
  <si>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</si>
  <si>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</si>
  <si>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</si>
  <si>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</si>
  <si>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</si>
  <si>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</si>
  <si>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</si>
  <si>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</si>
  <si>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</si>
  <si>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</si>
  <si>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</si>
  <si>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</si>
  <si>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</si>
  <si>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</si>
  <si>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</si>
  <si>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</si>
  <si>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</si>
  <si>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</si>
  <si>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</si>
  <si>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</si>
  <si>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</si>
  <si>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</si>
  <si>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</si>
  <si>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</si>
  <si>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</si>
  <si>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</si>
  <si>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</si>
  <si>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</si>
  <si>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</si>
  <si>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</si>
  <si>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</si>
  <si>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</si>
  <si>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</si>
  <si>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</si>
  <si>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</si>
  <si>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</si>
  <si>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</si>
  <si>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</si>
  <si>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</si>
  <si>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</si>
  <si>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</si>
  <si>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</si>
  <si>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</si>
  <si>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</si>
  <si>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</si>
  <si>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</si>
  <si>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</si>
  <si>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</si>
  <si>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</si>
  <si>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</si>
  <si>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</si>
  <si>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</si>
  <si>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</si>
  <si>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</si>
  <si>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</si>
  <si>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</si>
  <si>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</si>
  <si>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</si>
  <si>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</si>
  <si>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</si>
  <si>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</si>
  <si>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</si>
  <si>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</si>
  <si>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</si>
  <si>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</si>
  <si>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</si>
  <si>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</si>
  <si>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</si>
  <si>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</si>
  <si>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</si>
  <si>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</si>
  <si>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</si>
  <si>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</si>
  <si>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</si>
  <si>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</si>
  <si>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</si>
  <si>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</si>
  <si>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</si>
  <si>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</si>
  <si>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</si>
  <si>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</si>
  <si>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</si>
  <si>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</si>
  <si>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</si>
  <si>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</si>
  <si>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</si>
  <si>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</si>
  <si>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</si>
  <si>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</si>
  <si>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</si>
  <si>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</si>
  <si>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</si>
  <si>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</si>
  <si>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</si>
  <si>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</si>
  <si>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</si>
  <si>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</si>
  <si>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</si>
  <si>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</si>
  <si>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</si>
  <si>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</si>
  <si>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</si>
  <si>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</si>
  <si>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Inverter Duty Transformer-GTP, GA &amp; Type test reports  (T&amp;R)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</si>
  <si>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</si>
  <si>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</si>
  <si>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</si>
  <si>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</si>
  <si>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</si>
  <si>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</si>
  <si>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</si>
  <si>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</si>
  <si>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</si>
  <si>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</si>
  <si>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</si>
  <si>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</si>
  <si>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</si>
  <si>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</si>
  <si>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</si>
  <si>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</si>
  <si>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</si>
  <si>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</si>
  <si>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</si>
  <si>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</si>
  <si>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</si>
  <si>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</si>
  <si>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</si>
  <si>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</si>
  <si>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</si>
  <si>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</si>
  <si>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</si>
  <si>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</si>
  <si>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</si>
  <si>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</si>
  <si>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</si>
  <si>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</si>
  <si>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</si>
  <si>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</si>
  <si>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</si>
  <si>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</si>
  <si>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</si>
  <si>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</si>
  <si>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</si>
  <si>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</si>
  <si>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</si>
  <si>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</si>
  <si>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</si>
  <si>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</si>
  <si>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</si>
  <si>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</si>
  <si>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</si>
  <si>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</si>
  <si>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</si>
  <si>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</si>
  <si>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</si>
  <si>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</si>
  <si>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</si>
  <si>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</si>
  <si>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</si>
  <si>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</si>
  <si>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</si>
  <si>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</si>
  <si>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</si>
  <si>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</si>
  <si>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</si>
  <si>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</si>
  <si>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</si>
  <si>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</si>
  <si>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</si>
  <si>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</si>
  <si>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</si>
  <si>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</si>
  <si>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</si>
  <si>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</si>
  <si>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</si>
  <si>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</si>
  <si>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</si>
  <si>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</si>
  <si>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</si>
  <si>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</si>
  <si>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</si>
  <si>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</si>
  <si>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</si>
  <si>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</si>
  <si>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</si>
  <si>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</si>
  <si>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</si>
  <si>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</si>
  <si>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</si>
  <si>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</si>
  <si>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</si>
  <si>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</si>
  <si>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</si>
  <si>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</si>
  <si>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</si>
  <si>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</si>
  <si>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</si>
  <si>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</si>
  <si>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</si>
  <si>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</si>
  <si>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</si>
  <si>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</si>
  <si>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</si>
  <si>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</si>
  <si>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</si>
  <si>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</si>
  <si>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</si>
  <si>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</si>
  <si>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</si>
  <si>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</si>
  <si>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</si>
  <si>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</si>
  <si>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</si>
  <si>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</si>
  <si>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</si>
  <si>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</si>
  <si>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</si>
  <si>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</si>
  <si>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</si>
  <si>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</si>
  <si>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</si>
  <si>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</si>
  <si>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</si>
  <si>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</si>
  <si>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</si>
  <si>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</si>
  <si>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</si>
  <si>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Submitted/Expected Submission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</si>
  <si>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</si>
  <si>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</si>
  <si>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</si>
  <si>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</si>
  <si>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</si>
  <si>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</si>
  <si>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</si>
  <si>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</si>
  <si>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</si>
  <si>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</si>
  <si>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</si>
  <si>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</si>
  <si>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</si>
  <si>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</si>
  <si>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</si>
  <si>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Done</t>
  </si>
  <si>
    <t>M/s Fuji Electric</t>
  </si>
  <si>
    <t>M/S Guangdong Mingyang Longyuan Power Electronics Co.Ltd</t>
  </si>
  <si>
    <t>M/S ALNICO ELECTRIC PVT LTD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</si>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</sst>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46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00206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</fills>
  <borders count="5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45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wrapText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41" fillId="18" borderId="41" xfId="0" applyFont="1" applyFill="1" applyBorder="1" applyAlignment="1">
      <alignment horizontal="left" vertical="center" wrapText="1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4" fillId="0" borderId="41" xfId="0" applyFont="1" applyBorder="1" applyAlignment="1">
      <alignment horizontal="left" wrapText="1" readingOrder="1"/>
    </xf>
    <xf numFmtId="15" fontId="34" fillId="0" borderId="41" xfId="0" applyNumberFormat="1" applyFont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wrapText="1"/>
    </xf>
    <xf numFmtId="0" fontId="34" fillId="0" borderId="41" xfId="0" applyFont="1" applyBorder="1" applyAlignment="1">
      <alignment horizontal="center" wrapText="1" readingOrder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4" fillId="18" borderId="41" xfId="0" applyFont="1" applyFill="1" applyBorder="1" applyAlignment="1">
      <alignment horizontal="left" wrapText="1" readingOrder="1"/>
    </xf>
    <xf numFmtId="15" fontId="34" fillId="18" borderId="41" xfId="0" applyNumberFormat="1" applyFont="1" applyFill="1" applyBorder="1" applyAlignment="1">
      <alignment horizontal="center" wrapText="1" readingOrder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11" fillId="17" borderId="0" xfId="0" applyFont="1" applyFill="1" applyAlignment="1">
      <alignment horizont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14" fontId="43" fillId="0" borderId="41" xfId="0" applyNumberFormat="1" applyFont="1" applyBorder="1" applyAlignment="1">
      <alignment horizontal="center" vertical="center"/>
    </xf>
    <xf numFmtId="0" fontId="44" fillId="21" borderId="41" xfId="0" applyFont="1" applyFill="1" applyBorder="1" applyAlignment="1">
      <alignment horizontal="center" vertical="center"/>
    </xf>
    <xf numFmtId="0" fontId="44" fillId="21" borderId="41" xfId="0" applyFont="1" applyFill="1" applyBorder="1" applyAlignment="1">
      <alignment horizontal="center" vertical="center"/>
    </xf>
    <xf numFmtId="0" fontId="43" fillId="22" borderId="41" xfId="0" applyFont="1" applyFill="1" applyBorder="1" applyAlignment="1">
      <alignment horizontal="center" vertical="center"/>
    </xf>
    <xf numFmtId="0" fontId="43" fillId="0" borderId="41" xfId="0" applyFont="1" applyBorder="1"/>
    <xf numFmtId="0" fontId="43" fillId="0" borderId="41" xfId="0" applyFont="1" applyBorder="1" applyAlignment="1">
      <alignment horizontal="center" vertical="center"/>
    </xf>
    <xf numFmtId="14" fontId="44" fillId="0" borderId="41" xfId="0" applyNumberFormat="1" applyFont="1" applyBorder="1" applyAlignment="1">
      <alignment horizontal="center" vertical="center"/>
    </xf>
    <xf numFmtId="0" fontId="45" fillId="23" borderId="41" xfId="0" applyFont="1" applyFill="1" applyBorder="1" applyAlignment="1">
      <alignment horizontal="center" vertical="center"/>
    </xf>
    <xf numFmtId="0" fontId="45" fillId="23" borderId="41" xfId="0" applyFont="1" applyFill="1" applyBorder="1" applyAlignment="1">
      <alignment horizontal="left" vertical="center"/>
    </xf>
    <xf numFmtId="0" fontId="45" fillId="23" borderId="41" xfId="0" applyFont="1" applyFill="1" applyBorder="1" applyAlignment="1">
      <alignment horizontal="center" vertical="center" wrapText="1"/>
    </xf>
    <xf numFmtId="0" fontId="43" fillId="22" borderId="41" xfId="0" applyFont="1" applyFill="1" applyBorder="1" applyAlignment="1">
      <alignment horizontal="center" vertical="center"/>
    </xf>
    <xf numFmtId="0" fontId="43" fillId="22" borderId="41" xfId="0" applyFont="1" applyFill="1" applyBorder="1" applyAlignment="1">
      <alignment horizontal="left" vertical="center" wrapText="1"/>
    </xf>
    <xf numFmtId="0" fontId="43" fillId="22" borderId="41" xfId="7" applyFont="1" applyFill="1" applyBorder="1" applyAlignment="1">
      <alignment vertical="center" wrapText="1"/>
    </xf>
    <xf numFmtId="164" fontId="43" fillId="22" borderId="41" xfId="0" applyNumberFormat="1" applyFont="1" applyFill="1" applyBorder="1" applyAlignment="1">
      <alignment horizontal="center" vertical="center"/>
    </xf>
    <xf numFmtId="164" fontId="43" fillId="22" borderId="41" xfId="0" applyNumberFormat="1" applyFont="1" applyFill="1" applyBorder="1" applyAlignment="1">
      <alignment horizontal="center" vertical="center"/>
    </xf>
    <xf numFmtId="0" fontId="43" fillId="22" borderId="41" xfId="7" applyFont="1" applyFill="1" applyBorder="1" applyAlignment="1">
      <alignment horizontal="left" vertical="center" wrapText="1"/>
    </xf>
    <xf numFmtId="0" fontId="43" fillId="24" borderId="41" xfId="0" applyFont="1" applyFill="1" applyBorder="1" applyAlignment="1">
      <alignment horizontal="center" vertical="center"/>
    </xf>
    <xf numFmtId="0" fontId="43" fillId="24" borderId="41" xfId="0" applyFont="1" applyFill="1" applyBorder="1" applyAlignment="1">
      <alignment horizontal="left" vertical="center" wrapText="1"/>
    </xf>
    <xf numFmtId="0" fontId="43" fillId="24" borderId="41" xfId="7" applyFont="1" applyFill="1" applyBorder="1" applyAlignment="1">
      <alignment horizontal="left" vertical="center" wrapText="1"/>
    </xf>
    <xf numFmtId="164" fontId="43" fillId="24" borderId="41" xfId="0" applyNumberFormat="1" applyFont="1" applyFill="1" applyBorder="1" applyAlignment="1">
      <alignment horizontal="center" vertical="center"/>
    </xf>
    <xf numFmtId="0" fontId="43" fillId="24" borderId="41" xfId="0" applyFont="1" applyFill="1" applyBorder="1" applyAlignment="1">
      <alignment horizontal="center" vertical="center"/>
    </xf>
    <xf numFmtId="164" fontId="43" fillId="24" borderId="41" xfId="0" applyNumberFormat="1" applyFont="1" applyFill="1" applyBorder="1" applyAlignment="1">
      <alignment horizontal="center" vertical="center"/>
    </xf>
    <xf numFmtId="15" fontId="43" fillId="24" borderId="41" xfId="0" applyNumberFormat="1" applyFont="1" applyFill="1" applyBorder="1" applyAlignment="1">
      <alignment horizontal="center" vertical="center"/>
    </xf>
    <xf numFmtId="0" fontId="43" fillId="24" borderId="41" xfId="0" applyFont="1" applyFill="1" applyBorder="1" applyAlignment="1">
      <alignment horizontal="left" vertical="center" wrapText="1"/>
    </xf>
    <xf numFmtId="0" fontId="43" fillId="24" borderId="41" xfId="7" applyFont="1" applyFill="1" applyBorder="1" applyAlignment="1">
      <alignment horizontal="left" vertical="center" wrapText="1"/>
    </xf>
    <xf numFmtId="0" fontId="43" fillId="24" borderId="45" xfId="0" applyFont="1" applyFill="1" applyBorder="1" applyAlignment="1">
      <alignment horizontal="center" vertical="center"/>
    </xf>
    <xf numFmtId="0" fontId="43" fillId="24" borderId="45" xfId="0" applyFont="1" applyFill="1" applyBorder="1" applyAlignment="1">
      <alignment horizontal="left" vertical="center" wrapText="1"/>
    </xf>
    <xf numFmtId="0" fontId="43" fillId="24" borderId="45" xfId="7" applyFont="1" applyFill="1" applyBorder="1" applyAlignment="1">
      <alignment vertical="center" wrapText="1"/>
    </xf>
    <xf numFmtId="164" fontId="43" fillId="24" borderId="45" xfId="0" applyNumberFormat="1" applyFont="1" applyFill="1" applyBorder="1" applyAlignment="1">
      <alignment horizontal="center" vertical="center"/>
    </xf>
    <xf numFmtId="15" fontId="43" fillId="24" borderId="45" xfId="0" applyNumberFormat="1" applyFont="1" applyFill="1" applyBorder="1" applyAlignment="1">
      <alignment horizontal="center" vertical="center"/>
    </xf>
    <xf numFmtId="0" fontId="43" fillId="24" borderId="45" xfId="7" applyFont="1" applyFill="1" applyBorder="1" applyAlignment="1">
      <alignment horizontal="left" vertical="center" wrapText="1"/>
    </xf>
    <xf numFmtId="0" fontId="43" fillId="21" borderId="41" xfId="0" applyFont="1" applyFill="1" applyBorder="1" applyAlignment="1">
      <alignment horizontal="center" vertical="center"/>
    </xf>
    <xf numFmtId="0" fontId="43" fillId="21" borderId="41" xfId="0" applyFont="1" applyFill="1" applyBorder="1" applyAlignment="1">
      <alignment horizontal="left" vertical="center" wrapText="1"/>
    </xf>
    <xf numFmtId="0" fontId="43" fillId="21" borderId="41" xfId="7" applyFont="1" applyFill="1" applyBorder="1" applyAlignment="1">
      <alignment horizontal="left" vertical="center" wrapText="1"/>
    </xf>
    <xf numFmtId="164" fontId="43" fillId="0" borderId="41" xfId="0" applyNumberFormat="1" applyFont="1" applyBorder="1" applyAlignment="1">
      <alignment horizontal="center" vertical="center"/>
    </xf>
    <xf numFmtId="0" fontId="43" fillId="22" borderId="41" xfId="0" applyFont="1" applyFill="1" applyBorder="1" applyAlignment="1">
      <alignment horizontal="left" vertical="center" wrapText="1"/>
    </xf>
    <xf numFmtId="0" fontId="43" fillId="22" borderId="41" xfId="7" applyFont="1" applyFill="1" applyBorder="1" applyAlignment="1">
      <alignment horizontal="left" vertical="center" wrapText="1"/>
    </xf>
    <xf numFmtId="0" fontId="43" fillId="21" borderId="45" xfId="0" applyFont="1" applyFill="1" applyBorder="1" applyAlignment="1">
      <alignment horizontal="center" vertical="center"/>
    </xf>
    <xf numFmtId="0" fontId="43" fillId="21" borderId="45" xfId="0" applyFont="1" applyFill="1" applyBorder="1" applyAlignment="1">
      <alignment horizontal="left" vertical="center" wrapText="1"/>
    </xf>
    <xf numFmtId="0" fontId="43" fillId="21" borderId="45" xfId="7" applyFont="1" applyFill="1" applyBorder="1" applyAlignment="1">
      <alignment vertical="center" wrapText="1"/>
    </xf>
    <xf numFmtId="0" fontId="43" fillId="0" borderId="45" xfId="0" applyFont="1" applyBorder="1" applyAlignment="1">
      <alignment horizontal="center" vertical="center"/>
    </xf>
    <xf numFmtId="0" fontId="43" fillId="22" borderId="45" xfId="0" applyFont="1" applyFill="1" applyBorder="1" applyAlignment="1">
      <alignment horizontal="center" vertical="center"/>
    </xf>
    <xf numFmtId="164" fontId="43" fillId="22" borderId="45" xfId="0" applyNumberFormat="1" applyFont="1" applyFill="1" applyBorder="1" applyAlignment="1">
      <alignment horizontal="center" vertical="center"/>
    </xf>
    <xf numFmtId="0" fontId="43" fillId="22" borderId="45" xfId="0" applyFont="1" applyFill="1" applyBorder="1" applyAlignment="1">
      <alignment horizontal="center" vertical="center"/>
    </xf>
    <xf numFmtId="16" fontId="43" fillId="24" borderId="45" xfId="0" applyNumberFormat="1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16" fontId="43" fillId="24" borderId="41" xfId="0" applyNumberFormat="1" applyFont="1" applyFill="1" applyBorder="1" applyAlignment="1">
      <alignment horizontal="center" vertical="center"/>
    </xf>
    <xf numFmtId="0" fontId="43" fillId="24" borderId="45" xfId="0" applyFont="1" applyFill="1" applyBorder="1" applyAlignment="1">
      <alignment horizontal="center" vertical="center"/>
    </xf>
    <xf numFmtId="164" fontId="43" fillId="24" borderId="45" xfId="0" applyNumberFormat="1" applyFont="1" applyFill="1" applyBorder="1" applyAlignment="1">
      <alignment horizontal="center" vertical="center"/>
    </xf>
    <xf numFmtId="0" fontId="43" fillId="24" borderId="47" xfId="0" applyFont="1" applyFill="1" applyBorder="1" applyAlignment="1">
      <alignment horizontal="center" vertical="center"/>
    </xf>
    <xf numFmtId="0" fontId="43" fillId="24" borderId="5" xfId="0" applyFont="1" applyFill="1" applyBorder="1" applyAlignment="1">
      <alignment horizontal="center" vertical="center"/>
    </xf>
    <xf numFmtId="164" fontId="43" fillId="24" borderId="5" xfId="0" applyNumberFormat="1" applyFont="1" applyFill="1" applyBorder="1" applyAlignment="1">
      <alignment horizontal="center" vertical="center"/>
    </xf>
    <xf numFmtId="0" fontId="43" fillId="24" borderId="48" xfId="0" applyFont="1" applyFill="1" applyBorder="1" applyAlignment="1">
      <alignment horizontal="center" vertical="center"/>
    </xf>
    <xf numFmtId="164" fontId="43" fillId="24" borderId="47" xfId="0" applyNumberFormat="1" applyFont="1" applyFill="1" applyBorder="1" applyAlignment="1">
      <alignment horizontal="center" vertical="center"/>
    </xf>
    <xf numFmtId="16" fontId="43" fillId="24" borderId="41" xfId="0" applyNumberFormat="1" applyFont="1" applyFill="1" applyBorder="1" applyAlignment="1">
      <alignment horizontal="center" vertical="center"/>
    </xf>
    <xf numFmtId="0" fontId="43" fillId="0" borderId="45" xfId="0" applyFont="1" applyBorder="1" applyAlignment="1">
      <alignment horizontal="center" vertical="center"/>
    </xf>
    <xf numFmtId="0" fontId="43" fillId="0" borderId="41" xfId="0" applyFont="1" applyBorder="1" applyAlignment="1">
      <alignment horizontal="left" vertical="center" wrapText="1"/>
    </xf>
    <xf numFmtId="0" fontId="43" fillId="0" borderId="41" xfId="7" applyFont="1" applyBorder="1" applyAlignment="1">
      <alignment horizontal="left" vertical="center" wrapText="1"/>
    </xf>
    <xf numFmtId="0" fontId="43" fillId="0" borderId="47" xfId="0" applyFont="1" applyBorder="1" applyAlignment="1">
      <alignment horizontal="center" vertical="center"/>
    </xf>
    <xf numFmtId="164" fontId="43" fillId="0" borderId="47" xfId="0" applyNumberFormat="1" applyFont="1" applyBorder="1" applyAlignment="1">
      <alignment horizontal="center" vertical="center"/>
    </xf>
    <xf numFmtId="16" fontId="43" fillId="0" borderId="41" xfId="0" applyNumberFormat="1" applyFont="1" applyBorder="1" applyAlignment="1">
      <alignment horizontal="center" vertical="center"/>
    </xf>
    <xf numFmtId="0" fontId="43" fillId="21" borderId="41" xfId="0" applyFont="1" applyFill="1" applyBorder="1" applyAlignment="1">
      <alignment horizontal="center" vertical="center"/>
    </xf>
    <xf numFmtId="0" fontId="43" fillId="21" borderId="41" xfId="0" applyFont="1" applyFill="1" applyBorder="1" applyAlignment="1">
      <alignment horizontal="left" vertical="center" wrapText="1"/>
    </xf>
    <xf numFmtId="0" fontId="43" fillId="21" borderId="41" xfId="7" applyFont="1" applyFill="1" applyBorder="1" applyAlignment="1">
      <alignment horizontal="left" vertical="center" wrapText="1"/>
    </xf>
    <xf numFmtId="0" fontId="43" fillId="0" borderId="41" xfId="0" applyFont="1" applyBorder="1" applyAlignment="1">
      <alignment horizontal="center" vertical="center"/>
    </xf>
    <xf numFmtId="164" fontId="43" fillId="0" borderId="45" xfId="0" applyNumberFormat="1" applyFont="1" applyBorder="1" applyAlignment="1">
      <alignment horizontal="center" vertical="center"/>
    </xf>
    <xf numFmtId="0" fontId="43" fillId="21" borderId="47" xfId="0" applyFont="1" applyFill="1" applyBorder="1" applyAlignment="1">
      <alignment horizontal="center" vertical="center"/>
    </xf>
    <xf numFmtId="0" fontId="43" fillId="21" borderId="47" xfId="0" applyFont="1" applyFill="1" applyBorder="1" applyAlignment="1">
      <alignment horizontal="left" vertical="center" wrapText="1"/>
    </xf>
    <xf numFmtId="0" fontId="43" fillId="21" borderId="47" xfId="7" applyFont="1" applyFill="1" applyBorder="1" applyAlignment="1">
      <alignment horizontal="left" vertical="center" wrapText="1"/>
    </xf>
    <xf numFmtId="0" fontId="43" fillId="0" borderId="47" xfId="0" applyFont="1" applyBorder="1" applyAlignment="1">
      <alignment horizontal="center" vertical="center"/>
    </xf>
    <xf numFmtId="164" fontId="43" fillId="0" borderId="47" xfId="0" applyNumberFormat="1" applyFont="1" applyBorder="1" applyAlignment="1">
      <alignment horizontal="center" vertical="center"/>
    </xf>
    <xf numFmtId="164" fontId="43" fillId="0" borderId="45" xfId="0" applyNumberFormat="1" applyFont="1" applyBorder="1" applyAlignment="1">
      <alignment horizontal="center" vertical="center"/>
    </xf>
    <xf numFmtId="0" fontId="43" fillId="21" borderId="45" xfId="7" applyFont="1" applyFill="1" applyBorder="1" applyAlignment="1">
      <alignment horizontal="left" vertical="center" wrapText="1"/>
    </xf>
    <xf numFmtId="0" fontId="43" fillId="21" borderId="41" xfId="7" applyFont="1" applyFill="1" applyBorder="1" applyAlignment="1">
      <alignment vertical="center" wrapText="1"/>
    </xf>
    <xf numFmtId="0" fontId="43" fillId="24" borderId="41" xfId="7" applyFont="1" applyFill="1" applyBorder="1" applyAlignment="1">
      <alignment vertical="center" wrapText="1"/>
    </xf>
    <xf numFmtId="0" fontId="43" fillId="25" borderId="41" xfId="0" applyFont="1" applyFill="1" applyBorder="1" applyAlignment="1">
      <alignment horizontal="center" vertical="center"/>
    </xf>
    <xf numFmtId="0" fontId="43" fillId="25" borderId="41" xfId="0" applyFont="1" applyFill="1" applyBorder="1" applyAlignment="1">
      <alignment horizontal="left" vertical="center" wrapText="1"/>
    </xf>
    <xf numFmtId="0" fontId="43" fillId="25" borderId="45" xfId="7" applyFont="1" applyFill="1" applyBorder="1" applyAlignment="1">
      <alignment horizontal="left" vertical="center" wrapText="1"/>
    </xf>
    <xf numFmtId="164" fontId="43" fillId="0" borderId="41" xfId="0" applyNumberFormat="1" applyFont="1" applyBorder="1" applyAlignment="1">
      <alignment horizontal="center" vertical="center"/>
    </xf>
    <xf numFmtId="0" fontId="43" fillId="24" borderId="47" xfId="0" applyFont="1" applyFill="1" applyBorder="1" applyAlignment="1">
      <alignment horizontal="center" vertical="center"/>
    </xf>
    <xf numFmtId="0" fontId="43" fillId="25" borderId="45" xfId="0" applyFont="1" applyFill="1" applyBorder="1" applyAlignment="1">
      <alignment horizontal="center" vertical="center"/>
    </xf>
    <xf numFmtId="0" fontId="43" fillId="25" borderId="45" xfId="0" applyFont="1" applyFill="1" applyBorder="1" applyAlignment="1">
      <alignment horizontal="left" vertical="center" wrapText="1"/>
    </xf>
    <xf numFmtId="0" fontId="43" fillId="25" borderId="45" xfId="7" applyFont="1" applyFill="1" applyBorder="1" applyAlignment="1">
      <alignment vertical="center" wrapText="1"/>
    </xf>
    <xf numFmtId="0" fontId="43" fillId="25" borderId="41" xfId="0" applyFont="1" applyFill="1" applyBorder="1" applyAlignment="1">
      <alignment horizontal="center" vertical="center"/>
    </xf>
    <xf numFmtId="0" fontId="43" fillId="25" borderId="41" xfId="0" applyFont="1" applyFill="1" applyBorder="1" applyAlignment="1">
      <alignment horizontal="left" vertical="center" wrapText="1"/>
    </xf>
    <xf numFmtId="0" fontId="43" fillId="25" borderId="41" xfId="7" applyFont="1" applyFill="1" applyBorder="1" applyAlignment="1">
      <alignment vertical="center" wrapText="1"/>
    </xf>
    <xf numFmtId="0" fontId="43" fillId="25" borderId="41" xfId="7" applyFont="1" applyFill="1" applyBorder="1" applyAlignment="1">
      <alignment horizontal="left" vertical="center" wrapText="1"/>
    </xf>
    <xf numFmtId="2" fontId="43" fillId="0" borderId="41" xfId="0" applyNumberFormat="1" applyFont="1" applyBorder="1" applyAlignment="1">
      <alignment horizontal="center" vertical="center"/>
    </xf>
    <xf numFmtId="0" fontId="43" fillId="24" borderId="46" xfId="0" applyFont="1" applyFill="1" applyBorder="1" applyAlignment="1">
      <alignment horizontal="center" vertical="center"/>
    </xf>
    <xf numFmtId="0" fontId="43" fillId="24" borderId="46" xfId="0" applyFont="1" applyFill="1" applyBorder="1" applyAlignment="1">
      <alignment horizontal="left" vertical="center" wrapText="1"/>
    </xf>
    <xf numFmtId="0" fontId="43" fillId="24" borderId="46" xfId="7" applyFont="1" applyFill="1" applyBorder="1" applyAlignment="1">
      <alignment horizontal="center" vertical="center" wrapText="1"/>
    </xf>
    <xf numFmtId="0" fontId="43" fillId="24" borderId="47" xfId="0" applyFont="1" applyFill="1" applyBorder="1" applyAlignment="1">
      <alignment horizontal="left" vertical="center" wrapText="1"/>
    </xf>
    <xf numFmtId="0" fontId="43" fillId="24" borderId="47" xfId="7" applyFont="1" applyFill="1" applyBorder="1" applyAlignment="1">
      <alignment horizontal="center" vertical="center" wrapText="1"/>
    </xf>
    <xf numFmtId="171" fontId="43" fillId="0" borderId="45" xfId="0" applyNumberFormat="1" applyFont="1" applyBorder="1" applyAlignment="1">
      <alignment horizontal="center" vertical="center"/>
    </xf>
    <xf numFmtId="0" fontId="43" fillId="25" borderId="46" xfId="0" applyFont="1" applyFill="1" applyBorder="1" applyAlignment="1">
      <alignment horizontal="center" vertical="center"/>
    </xf>
    <xf numFmtId="0" fontId="43" fillId="25" borderId="46" xfId="0" applyFont="1" applyFill="1" applyBorder="1" applyAlignment="1">
      <alignment horizontal="left" vertical="center" wrapText="1"/>
    </xf>
    <xf numFmtId="0" fontId="43" fillId="25" borderId="46" xfId="7" applyFont="1" applyFill="1" applyBorder="1" applyAlignment="1">
      <alignment horizontal="left" vertical="center" wrapText="1"/>
    </xf>
    <xf numFmtId="0" fontId="43" fillId="0" borderId="46" xfId="0" applyFont="1" applyBorder="1" applyAlignment="1">
      <alignment horizontal="center" vertical="center"/>
    </xf>
    <xf numFmtId="171" fontId="43" fillId="0" borderId="46" xfId="0" applyNumberFormat="1" applyFont="1" applyBorder="1" applyAlignment="1">
      <alignment horizontal="center" vertical="center"/>
    </xf>
    <xf numFmtId="0" fontId="43" fillId="25" borderId="47" xfId="0" applyFont="1" applyFill="1" applyBorder="1" applyAlignment="1">
      <alignment horizontal="center" vertical="center"/>
    </xf>
    <xf numFmtId="0" fontId="43" fillId="25" borderId="47" xfId="0" applyFont="1" applyFill="1" applyBorder="1" applyAlignment="1">
      <alignment horizontal="left" vertical="center" wrapText="1"/>
    </xf>
    <xf numFmtId="0" fontId="43" fillId="25" borderId="47" xfId="7" applyFont="1" applyFill="1" applyBorder="1" applyAlignment="1">
      <alignment horizontal="left" vertical="center" wrapText="1"/>
    </xf>
    <xf numFmtId="171" fontId="43" fillId="0" borderId="47" xfId="0" applyNumberFormat="1" applyFont="1" applyBorder="1" applyAlignment="1">
      <alignment horizontal="center" vertical="center"/>
    </xf>
    <xf numFmtId="171" fontId="43" fillId="0" borderId="41" xfId="0" applyNumberFormat="1" applyFont="1" applyBorder="1" applyAlignment="1">
      <alignment horizontal="center" vertical="center"/>
    </xf>
    <xf numFmtId="0" fontId="43" fillId="25" borderId="47" xfId="7" applyFont="1" applyFill="1" applyBorder="1" applyAlignment="1">
      <alignment horizontal="center" vertical="center" wrapText="1"/>
    </xf>
    <xf numFmtId="171" fontId="43" fillId="22" borderId="41" xfId="0" applyNumberFormat="1" applyFont="1" applyFill="1" applyBorder="1" applyAlignment="1">
      <alignment horizontal="center" vertical="center"/>
    </xf>
    <xf numFmtId="171" fontId="43" fillId="24" borderId="41" xfId="0" applyNumberFormat="1" applyFont="1" applyFill="1" applyBorder="1" applyAlignment="1">
      <alignment horizontal="center" vertical="center"/>
    </xf>
    <xf numFmtId="0" fontId="43" fillId="25" borderId="45" xfId="7" applyFont="1" applyFill="1" applyBorder="1" applyAlignment="1">
      <alignment horizontal="center" vertical="center" wrapText="1"/>
    </xf>
    <xf numFmtId="16" fontId="43" fillId="0" borderId="45" xfId="0" applyNumberFormat="1" applyFont="1" applyBorder="1" applyAlignment="1">
      <alignment horizontal="center" vertical="center"/>
    </xf>
    <xf numFmtId="0" fontId="43" fillId="25" borderId="46" xfId="7" applyFont="1" applyFill="1" applyBorder="1" applyAlignment="1">
      <alignment horizontal="center" vertical="center" wrapText="1"/>
    </xf>
    <xf numFmtId="16" fontId="43" fillId="0" borderId="47" xfId="0" applyNumberFormat="1" applyFont="1" applyBorder="1" applyAlignment="1">
      <alignment horizontal="center" vertical="center"/>
    </xf>
    <xf numFmtId="0" fontId="43" fillId="25" borderId="47" xfId="0" applyFont="1" applyFill="1" applyBorder="1" applyAlignment="1">
      <alignment horizontal="center" vertical="center"/>
    </xf>
    <xf numFmtId="16" fontId="43" fillId="0" borderId="47" xfId="0" applyNumberFormat="1" applyFont="1" applyBorder="1" applyAlignment="1">
      <alignment horizontal="center" vertical="center"/>
    </xf>
    <xf numFmtId="0" fontId="43" fillId="0" borderId="41" xfId="0" applyFont="1" applyBorder="1" applyAlignment="1">
      <alignment horizontal="center" vertical="center" wrapText="1"/>
    </xf>
    <xf numFmtId="0" fontId="43" fillId="25" borderId="45" xfId="0" applyFont="1" applyFill="1" applyBorder="1" applyAlignment="1">
      <alignment horizontal="center" vertical="center"/>
    </xf>
    <xf numFmtId="0" fontId="43" fillId="25" borderId="5" xfId="0" applyFont="1" applyFill="1" applyBorder="1" applyAlignment="1">
      <alignment horizontal="center" vertical="center"/>
    </xf>
    <xf numFmtId="0" fontId="43" fillId="25" borderId="5" xfId="0" applyFont="1" applyFill="1" applyBorder="1" applyAlignment="1">
      <alignment horizontal="center" vertical="center"/>
    </xf>
    <xf numFmtId="0" fontId="43" fillId="25" borderId="48" xfId="0" applyFont="1" applyFill="1" applyBorder="1" applyAlignment="1">
      <alignment horizontal="center" vertical="center"/>
    </xf>
    <xf numFmtId="0" fontId="43" fillId="25" borderId="49" xfId="0" applyFont="1" applyFill="1" applyBorder="1" applyAlignment="1">
      <alignment horizontal="center" vertical="center"/>
    </xf>
    <xf numFmtId="0" fontId="43" fillId="25" borderId="50" xfId="0" applyFont="1" applyFill="1" applyBorder="1" applyAlignment="1">
      <alignment horizontal="center" vertical="center"/>
    </xf>
    <xf numFmtId="0" fontId="43" fillId="0" borderId="41" xfId="0" applyFont="1" applyBorder="1" applyAlignment="1">
      <alignment horizontal="center"/>
    </xf>
    <xf numFmtId="0" fontId="43" fillId="25" borderId="48" xfId="0" applyFont="1" applyFill="1" applyBorder="1" applyAlignment="1">
      <alignment horizontal="center" vertical="center"/>
    </xf>
    <xf numFmtId="0" fontId="43" fillId="25" borderId="45" xfId="0" applyFont="1" applyFill="1" applyBorder="1" applyAlignment="1">
      <alignment horizontal="left" vertical="center" wrapText="1"/>
    </xf>
    <xf numFmtId="0" fontId="43" fillId="25" borderId="45" xfId="7" applyFont="1" applyFill="1" applyBorder="1" applyAlignment="1">
      <alignment horizontal="left" vertical="center" wrapText="1"/>
    </xf>
    <xf numFmtId="0" fontId="43" fillId="0" borderId="45" xfId="0" applyFont="1" applyBorder="1" applyAlignment="1">
      <alignment horizontal="center"/>
    </xf>
    <xf numFmtId="171" fontId="43" fillId="0" borderId="45" xfId="0" applyNumberFormat="1" applyFont="1" applyBorder="1" applyAlignment="1">
      <alignment horizontal="center" vertical="center"/>
    </xf>
    <xf numFmtId="0" fontId="43" fillId="24" borderId="5" xfId="0" applyFont="1" applyFill="1" applyBorder="1" applyAlignment="1">
      <alignment horizontal="center" vertical="center"/>
    </xf>
    <xf numFmtId="0" fontId="43" fillId="24" borderId="22" xfId="0" applyFont="1" applyFill="1" applyBorder="1" applyAlignment="1">
      <alignment horizontal="center" vertical="center"/>
    </xf>
    <xf numFmtId="0" fontId="43" fillId="24" borderId="5" xfId="0" applyFont="1" applyFill="1" applyBorder="1" applyAlignment="1">
      <alignment horizontal="left" vertical="center" wrapText="1"/>
    </xf>
    <xf numFmtId="0" fontId="43" fillId="24" borderId="5" xfId="7" applyFont="1" applyFill="1" applyBorder="1" applyAlignment="1">
      <alignment horizontal="left" vertical="center" wrapText="1"/>
    </xf>
    <xf numFmtId="171" fontId="43" fillId="24" borderId="5" xfId="0" applyNumberFormat="1" applyFont="1" applyFill="1" applyBorder="1" applyAlignment="1">
      <alignment horizontal="center" vertical="center"/>
    </xf>
    <xf numFmtId="0" fontId="43" fillId="24" borderId="22" xfId="0" applyFont="1" applyFill="1" applyBorder="1" applyAlignment="1">
      <alignment horizontal="center" vertical="center"/>
    </xf>
    <xf numFmtId="0" fontId="43" fillId="24" borderId="14" xfId="0" applyFont="1" applyFill="1" applyBorder="1" applyAlignment="1">
      <alignment horizontal="center" vertical="center"/>
    </xf>
    <xf numFmtId="0" fontId="43" fillId="24" borderId="0" xfId="0" applyFont="1" applyFill="1" applyAlignment="1">
      <alignment horizontal="center" vertic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12</xdr:col>
      <xdr:colOff>1478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75917" y="0"/>
          <a:ext cx="1137657" cy="4826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80" zoomScaleNormal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J17" sqref="J17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6.54296875" hidden="1" customWidth="1"/>
    <col min="15" max="15" width="5" hidden="1" customWidth="1"/>
  </cols>
  <sheetData>
    <row r="1" spans="1:15" s="10" customFormat="1" ht="37" customHeight="1" x14ac:dyDescent="0.35">
      <c r="A1" s="256" t="s">
        <v>52</v>
      </c>
      <c r="B1" s="257"/>
      <c r="C1" s="257"/>
      <c r="D1" s="257"/>
      <c r="E1" s="257"/>
      <c r="F1" s="257"/>
      <c r="G1" s="258"/>
      <c r="H1" s="258"/>
      <c r="I1" s="258"/>
      <c r="J1" s="258"/>
      <c r="K1" s="258"/>
      <c r="L1" s="259"/>
    </row>
    <row r="2" spans="1:15" s="13" customFormat="1" ht="12" x14ac:dyDescent="0.35">
      <c r="A2" s="117" t="s">
        <v>48</v>
      </c>
      <c r="B2" s="248" t="s">
        <v>49</v>
      </c>
      <c r="C2" s="249"/>
      <c r="D2" s="249"/>
      <c r="E2" s="249"/>
      <c r="F2" s="249"/>
      <c r="G2" s="114"/>
      <c r="H2" s="114"/>
      <c r="I2" s="114"/>
      <c r="J2" s="114"/>
      <c r="K2" s="114"/>
      <c r="L2" s="115"/>
      <c r="N2" s="143" t="s">
        <v>393</v>
      </c>
      <c r="O2" s="143" t="s">
        <v>394</v>
      </c>
    </row>
    <row r="3" spans="1:15" s="13" customFormat="1" ht="12" x14ac:dyDescent="0.35">
      <c r="A3" s="118" t="s">
        <v>50</v>
      </c>
      <c r="B3" s="250">
        <v>390</v>
      </c>
      <c r="C3" s="251"/>
      <c r="D3" s="251"/>
      <c r="E3" s="251"/>
      <c r="F3" s="252"/>
      <c r="G3" s="114"/>
      <c r="H3" s="114"/>
      <c r="I3" s="114"/>
      <c r="J3" s="114"/>
      <c r="K3" s="114"/>
      <c r="L3" s="115"/>
      <c r="N3" s="142">
        <v>45859</v>
      </c>
      <c r="O3" s="142">
        <v>45839</v>
      </c>
    </row>
    <row r="4" spans="1:15" s="13" customFormat="1" ht="12" x14ac:dyDescent="0.35">
      <c r="A4" s="116" t="s">
        <v>51</v>
      </c>
      <c r="B4" s="253">
        <v>45694</v>
      </c>
      <c r="C4" s="254"/>
      <c r="D4" s="254"/>
      <c r="E4" s="254"/>
      <c r="F4" s="255"/>
      <c r="G4" s="114"/>
      <c r="H4" s="114"/>
      <c r="I4" s="114"/>
      <c r="J4" s="114"/>
      <c r="K4" s="114"/>
      <c r="L4" s="115"/>
      <c r="N4" s="142">
        <f>N3+5</f>
        <v>45864</v>
      </c>
      <c r="O4" s="142">
        <v>45869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2" t="s">
        <v>402</v>
      </c>
      <c r="L5" s="163" t="s">
        <v>403</v>
      </c>
    </row>
    <row r="6" spans="1:15" s="13" customFormat="1" ht="12" x14ac:dyDescent="0.35">
      <c r="A6" s="116" t="s">
        <v>10</v>
      </c>
      <c r="B6" s="14">
        <v>45861</v>
      </c>
      <c r="C6" s="12"/>
      <c r="D6" s="12"/>
      <c r="E6" s="12"/>
      <c r="F6" s="120"/>
      <c r="G6" s="114"/>
      <c r="H6" s="114"/>
      <c r="I6" s="114"/>
      <c r="J6" s="114"/>
      <c r="K6" s="164">
        <f>N3</f>
        <v>45859</v>
      </c>
      <c r="L6" s="163">
        <v>45839</v>
      </c>
    </row>
    <row r="7" spans="1:15" s="13" customFormat="1" ht="12" x14ac:dyDescent="0.35">
      <c r="A7" s="117"/>
      <c r="B7" s="212"/>
      <c r="C7" s="213"/>
      <c r="D7" s="213"/>
      <c r="E7" s="213"/>
      <c r="F7" s="215"/>
      <c r="G7" s="114"/>
      <c r="H7" s="114"/>
      <c r="I7" s="114"/>
      <c r="J7" s="114"/>
      <c r="K7" s="216">
        <f>N4</f>
        <v>45864</v>
      </c>
      <c r="L7" s="217">
        <f>L6+30</f>
        <v>45869</v>
      </c>
    </row>
    <row r="8" spans="1:15" s="2" customFormat="1" ht="29" x14ac:dyDescent="0.35">
      <c r="A8" s="218" t="s">
        <v>0</v>
      </c>
      <c r="B8" s="218" t="s">
        <v>9</v>
      </c>
      <c r="C8" s="218" t="s">
        <v>3</v>
      </c>
      <c r="D8" s="218" t="s">
        <v>7</v>
      </c>
      <c r="E8" s="218" t="s">
        <v>8</v>
      </c>
      <c r="F8" s="219" t="s">
        <v>59</v>
      </c>
      <c r="G8" s="219" t="s">
        <v>58</v>
      </c>
      <c r="H8" s="219" t="s">
        <v>57</v>
      </c>
      <c r="I8" s="219" t="s">
        <v>61</v>
      </c>
      <c r="J8" s="219" t="s">
        <v>62</v>
      </c>
      <c r="K8" s="219" t="s">
        <v>407</v>
      </c>
      <c r="L8" s="219" t="s">
        <v>408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20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7" t="s">
        <v>405</v>
      </c>
      <c r="B11" s="8">
        <v>1033</v>
      </c>
      <c r="C11" s="8" t="s">
        <v>5</v>
      </c>
      <c r="D11" s="6">
        <f>'Construction Status'!S4</f>
        <v>872</v>
      </c>
      <c r="E11" s="6">
        <f>B11-D11</f>
        <v>161</v>
      </c>
      <c r="F11" s="166">
        <v>0.01</v>
      </c>
      <c r="G11" s="113">
        <f>F11*H11</f>
        <v>8.4414327202323326E-3</v>
      </c>
      <c r="H11" s="18">
        <f>D11/B11</f>
        <v>0.84414327202323325</v>
      </c>
      <c r="I11" s="7">
        <f>SUMIF('Construction Status'!$U$2:$DF$2,'Construction DASHBOARD'!$B$6,'Construction Status'!U4:DF4)</f>
        <v>0</v>
      </c>
      <c r="J11" s="7">
        <v>0</v>
      </c>
      <c r="K11" s="7" cm="1">
        <f t="array" ref="K11">SUMPRODUCT(('Construction Status'!$U$4:$DF$120)*('Construction Status'!$D$4:$D$120='Construction DASHBOARD'!A11)*('Construction Status'!$U$2:$DF$2&gt;='Construction DASHBOARD'!$N$3)*('Construction Status'!$U$2:$DF$2&lt;='Construction DASHBOARD'!$N$4))</f>
        <v>0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60">
        <v>45859</v>
      </c>
      <c r="O11" s="3">
        <v>1</v>
      </c>
    </row>
    <row r="12" spans="1:15" s="3" customFormat="1" x14ac:dyDescent="0.35">
      <c r="A12" s="167" t="s">
        <v>406</v>
      </c>
      <c r="B12" s="8">
        <v>1033</v>
      </c>
      <c r="C12" s="8" t="s">
        <v>5</v>
      </c>
      <c r="D12" s="6">
        <f>'Construction Status'!S5</f>
        <v>872</v>
      </c>
      <c r="E12" s="6">
        <f>B12-D12</f>
        <v>161</v>
      </c>
      <c r="F12" s="166">
        <v>0.01</v>
      </c>
      <c r="G12" s="113">
        <f>F12*H12</f>
        <v>8.4414327202323326E-3</v>
      </c>
      <c r="H12" s="18">
        <f>D12/B12</f>
        <v>0.84414327202323325</v>
      </c>
      <c r="I12" s="7">
        <f>SUMIF('Construction Status'!$U$2:$DF$2,'Construction DASHBOARD'!$B$6,'Construction Status'!U5:DF5)</f>
        <v>0</v>
      </c>
      <c r="J12" s="7">
        <v>0</v>
      </c>
      <c r="K12" s="7" cm="1">
        <f t="array" ref="K12">SUMPRODUCT(('Construction Status'!$U$4:$DF$120)*('Construction Status'!$D$4:$D$120='Construction DASHBOARD'!A12)*('Construction Status'!$U$2:$DF$2&gt;='Construction DASHBOARD'!$N$3)*('Construction Status'!$U$2:$DF$2&lt;='Construction DASHBOARD'!$N$4))</f>
        <v>0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60"/>
    </row>
    <row r="13" spans="1:15" s="3" customFormat="1" x14ac:dyDescent="0.35">
      <c r="A13" s="220" t="s">
        <v>19</v>
      </c>
      <c r="B13" s="8"/>
      <c r="C13" s="8"/>
      <c r="D13" s="6"/>
      <c r="E13" s="6"/>
      <c r="F13" s="165"/>
      <c r="G13" s="18"/>
      <c r="H13" s="18"/>
      <c r="I13" s="7"/>
      <c r="J13" s="7"/>
      <c r="K13" s="7"/>
      <c r="L13" s="7"/>
      <c r="N13" s="160">
        <v>45860</v>
      </c>
      <c r="O13" s="3">
        <v>1</v>
      </c>
    </row>
    <row r="14" spans="1:15" s="3" customFormat="1" x14ac:dyDescent="0.35">
      <c r="A14" s="221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6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/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60">
        <v>45861</v>
      </c>
      <c r="O14" s="3">
        <v>1</v>
      </c>
    </row>
    <row r="15" spans="1:15" s="3" customFormat="1" x14ac:dyDescent="0.35">
      <c r="A15" s="221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6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/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60">
        <v>45862</v>
      </c>
      <c r="O15" s="3">
        <v>1</v>
      </c>
    </row>
    <row r="16" spans="1:15" s="3" customFormat="1" x14ac:dyDescent="0.35">
      <c r="A16" s="221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6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/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60">
        <v>45863</v>
      </c>
      <c r="O16" s="3">
        <v>2</v>
      </c>
    </row>
    <row r="17" spans="1:15" s="3" customFormat="1" x14ac:dyDescent="0.35">
      <c r="A17" s="221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6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/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60">
        <v>45864</v>
      </c>
      <c r="O17" s="3">
        <v>2</v>
      </c>
    </row>
    <row r="18" spans="1:15" s="3" customFormat="1" x14ac:dyDescent="0.35">
      <c r="A18" s="221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6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/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60">
        <v>45865</v>
      </c>
      <c r="O18" s="3">
        <v>1</v>
      </c>
    </row>
    <row r="19" spans="1:15" s="3" customFormat="1" ht="16" x14ac:dyDescent="0.35">
      <c r="A19" s="68" t="s">
        <v>834</v>
      </c>
      <c r="B19" s="8">
        <f>'Construction Status'!K11</f>
        <v>180</v>
      </c>
      <c r="C19" s="8" t="s">
        <v>11</v>
      </c>
      <c r="D19" s="6">
        <f>'Construction Status'!Q11</f>
        <v>132</v>
      </c>
      <c r="E19" s="6">
        <f t="shared" si="0"/>
        <v>48</v>
      </c>
      <c r="F19" s="166">
        <v>2E-3</v>
      </c>
      <c r="G19" s="113">
        <f t="shared" si="1"/>
        <v>1.4666666666666667E-3</v>
      </c>
      <c r="H19" s="18">
        <f t="shared" si="2"/>
        <v>0.73333333333333328</v>
      </c>
      <c r="I19" s="7">
        <f>SUMIF('Construction Status'!$U$2:$DF$2,'Construction DASHBOARD'!$B$6,'Construction Status'!U11:DF11)</f>
        <v>0</v>
      </c>
      <c r="J19" s="7">
        <v>6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60">
        <v>45866</v>
      </c>
      <c r="O19" s="3">
        <v>1</v>
      </c>
    </row>
    <row r="20" spans="1:15" s="3" customFormat="1" x14ac:dyDescent="0.35">
      <c r="A20" s="220" t="s">
        <v>6</v>
      </c>
      <c r="B20" s="8"/>
      <c r="C20" s="8"/>
      <c r="D20" s="6"/>
      <c r="E20" s="6"/>
      <c r="F20" s="165"/>
      <c r="G20" s="113"/>
      <c r="H20" s="18"/>
      <c r="I20" s="7"/>
      <c r="J20" s="7"/>
      <c r="K20" s="7"/>
      <c r="L20" s="7"/>
      <c r="N20" s="160">
        <v>45867</v>
      </c>
    </row>
    <row r="21" spans="1:15" s="3" customFormat="1" x14ac:dyDescent="0.35">
      <c r="A21" s="221" t="s">
        <v>20</v>
      </c>
      <c r="B21" s="8">
        <v>116500</v>
      </c>
      <c r="C21" s="8" t="s">
        <v>315</v>
      </c>
      <c r="D21" s="6">
        <f>'Construction Status'!Q14</f>
        <v>35</v>
      </c>
      <c r="E21" s="6">
        <f t="shared" si="0"/>
        <v>116465</v>
      </c>
      <c r="F21" s="166">
        <v>0.21</v>
      </c>
      <c r="G21" s="113">
        <f t="shared" si="1"/>
        <v>6.3090128755364803E-5</v>
      </c>
      <c r="H21" s="18">
        <f t="shared" si="2"/>
        <v>3.0042918454935622E-4</v>
      </c>
      <c r="I21" s="7"/>
      <c r="J21" s="7">
        <v>200</v>
      </c>
      <c r="K21" s="7"/>
      <c r="L21" s="7"/>
      <c r="N21" s="160">
        <v>45868</v>
      </c>
    </row>
    <row r="22" spans="1:15" x14ac:dyDescent="0.35">
      <c r="A22" s="221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6">
        <v>0.05</v>
      </c>
      <c r="G22" s="113">
        <f t="shared" si="1"/>
        <v>0</v>
      </c>
      <c r="H22" s="18">
        <f t="shared" si="2"/>
        <v>0</v>
      </c>
      <c r="I22" s="8"/>
      <c r="J22" s="8"/>
      <c r="K22" s="8"/>
      <c r="L22" s="8"/>
      <c r="N22" s="160">
        <v>45869</v>
      </c>
      <c r="O22" s="3">
        <v>4</v>
      </c>
    </row>
    <row r="23" spans="1:15" x14ac:dyDescent="0.35">
      <c r="A23" s="221" t="s">
        <v>22</v>
      </c>
      <c r="B23" s="8">
        <v>24</v>
      </c>
      <c r="C23" s="8" t="s">
        <v>2</v>
      </c>
      <c r="D23" s="6">
        <f>'Construction Status'!Q15</f>
        <v>0</v>
      </c>
      <c r="E23" s="6">
        <f t="shared" si="0"/>
        <v>24</v>
      </c>
      <c r="F23" s="166">
        <v>0.05</v>
      </c>
      <c r="G23" s="113">
        <f t="shared" si="1"/>
        <v>0</v>
      </c>
      <c r="H23" s="18">
        <f t="shared" si="2"/>
        <v>0</v>
      </c>
      <c r="I23" s="8"/>
      <c r="J23" s="8"/>
      <c r="K23" s="8"/>
      <c r="L23" s="8"/>
      <c r="N23" s="160"/>
      <c r="O23" s="3">
        <v>4</v>
      </c>
    </row>
    <row r="24" spans="1:15" x14ac:dyDescent="0.35">
      <c r="A24" s="221" t="s">
        <v>133</v>
      </c>
      <c r="B24" s="8">
        <v>1</v>
      </c>
      <c r="C24" s="8" t="s">
        <v>11</v>
      </c>
      <c r="D24" s="6">
        <f>'Construction Status'!Q16</f>
        <v>0</v>
      </c>
      <c r="E24" s="6">
        <f t="shared" si="0"/>
        <v>1</v>
      </c>
      <c r="F24" s="166">
        <v>0.06</v>
      </c>
      <c r="G24" s="113">
        <f t="shared" si="1"/>
        <v>0</v>
      </c>
      <c r="H24" s="18">
        <f t="shared" si="2"/>
        <v>0</v>
      </c>
      <c r="I24" s="8"/>
      <c r="J24" s="8"/>
      <c r="K24" s="8"/>
      <c r="L24" s="8"/>
      <c r="N24" s="160"/>
      <c r="O24" s="3">
        <v>4</v>
      </c>
    </row>
    <row r="25" spans="1:15" ht="17.149999999999999" customHeight="1" x14ac:dyDescent="0.35">
      <c r="A25" s="221" t="s">
        <v>23</v>
      </c>
      <c r="B25" s="8"/>
      <c r="C25" s="8" t="s">
        <v>204</v>
      </c>
      <c r="D25" s="6">
        <f>'Construction Status'!Q17</f>
        <v>0</v>
      </c>
      <c r="E25" s="9"/>
      <c r="F25" s="166">
        <v>0.02</v>
      </c>
      <c r="G25" s="113"/>
      <c r="H25" s="18"/>
      <c r="I25" s="8"/>
      <c r="J25" s="8"/>
      <c r="K25" s="8"/>
      <c r="L25" s="8"/>
      <c r="N25" s="160"/>
      <c r="O25" s="3">
        <v>4</v>
      </c>
    </row>
    <row r="26" spans="1:15" ht="17.149999999999999" customHeight="1" x14ac:dyDescent="0.35">
      <c r="A26" s="221" t="s">
        <v>392</v>
      </c>
      <c r="B26" s="8">
        <v>21000</v>
      </c>
      <c r="C26" s="8" t="s">
        <v>851</v>
      </c>
      <c r="D26" s="6">
        <f>'Construction Status'!Q18</f>
        <v>0</v>
      </c>
      <c r="E26" s="9"/>
      <c r="F26" s="166">
        <v>0.02</v>
      </c>
      <c r="G26" s="113">
        <f t="shared" si="1"/>
        <v>0</v>
      </c>
      <c r="H26" s="18">
        <f t="shared" si="2"/>
        <v>0</v>
      </c>
      <c r="I26" s="8"/>
      <c r="J26" s="8">
        <v>250</v>
      </c>
      <c r="K26" s="8"/>
      <c r="L26" s="8"/>
      <c r="N26" s="160"/>
      <c r="O26">
        <v>4</v>
      </c>
    </row>
    <row r="27" spans="1:15" x14ac:dyDescent="0.35">
      <c r="A27" s="220" t="s">
        <v>24</v>
      </c>
      <c r="B27" s="8"/>
      <c r="C27" s="8"/>
      <c r="D27" s="9"/>
      <c r="E27" s="9"/>
      <c r="F27" s="165"/>
      <c r="G27" s="19"/>
      <c r="H27" s="19"/>
      <c r="I27" s="9"/>
      <c r="J27" s="9"/>
      <c r="K27" s="9"/>
      <c r="L27" s="9"/>
      <c r="N27" s="160"/>
      <c r="O27">
        <v>6</v>
      </c>
    </row>
    <row r="28" spans="1:15" x14ac:dyDescent="0.35">
      <c r="A28" s="221" t="s">
        <v>25</v>
      </c>
      <c r="B28" s="8">
        <v>24</v>
      </c>
      <c r="C28" s="8" t="s">
        <v>2</v>
      </c>
      <c r="D28" s="9"/>
      <c r="E28" s="9"/>
      <c r="F28" s="166">
        <v>0.08</v>
      </c>
      <c r="G28" s="19"/>
      <c r="H28" s="19"/>
      <c r="I28" s="9"/>
      <c r="J28" s="9"/>
      <c r="K28" s="9"/>
      <c r="L28" s="9"/>
      <c r="N28" s="160"/>
      <c r="O28">
        <v>6</v>
      </c>
    </row>
    <row r="29" spans="1:15" x14ac:dyDescent="0.35">
      <c r="A29" s="221" t="s">
        <v>26</v>
      </c>
      <c r="B29" s="8">
        <v>24</v>
      </c>
      <c r="C29" s="8" t="s">
        <v>2</v>
      </c>
      <c r="D29" s="9"/>
      <c r="E29" s="9"/>
      <c r="F29" s="166">
        <v>0.06</v>
      </c>
      <c r="G29" s="19"/>
      <c r="H29" s="19"/>
      <c r="I29" s="9"/>
      <c r="J29" s="9"/>
      <c r="K29" s="9"/>
      <c r="L29" s="9"/>
      <c r="N29" s="160"/>
      <c r="O29">
        <v>6</v>
      </c>
    </row>
    <row r="30" spans="1:15" x14ac:dyDescent="0.35">
      <c r="A30" s="220" t="s">
        <v>14</v>
      </c>
      <c r="B30" s="9"/>
      <c r="C30" s="8"/>
      <c r="D30" s="9"/>
      <c r="E30" s="9"/>
      <c r="F30" s="165"/>
      <c r="G30" s="19"/>
      <c r="H30" s="19"/>
      <c r="I30" s="9"/>
      <c r="J30" s="9"/>
      <c r="K30" s="9"/>
      <c r="L30" s="9"/>
      <c r="N30" s="160"/>
      <c r="O30">
        <v>6</v>
      </c>
    </row>
    <row r="31" spans="1:15" x14ac:dyDescent="0.35">
      <c r="A31" s="221" t="s">
        <v>27</v>
      </c>
      <c r="B31" s="8">
        <v>1360</v>
      </c>
      <c r="C31" s="8" t="s">
        <v>17</v>
      </c>
      <c r="D31" s="9"/>
      <c r="E31" s="9"/>
      <c r="F31" s="166">
        <v>0.02</v>
      </c>
      <c r="G31" s="19"/>
      <c r="H31" s="19"/>
      <c r="I31" s="9"/>
      <c r="J31" s="9"/>
      <c r="K31" s="9"/>
      <c r="L31" s="9"/>
      <c r="N31" s="160"/>
      <c r="O31">
        <v>4</v>
      </c>
    </row>
    <row r="32" spans="1:15" x14ac:dyDescent="0.35">
      <c r="A32" s="221" t="s">
        <v>28</v>
      </c>
      <c r="B32" s="8">
        <v>1360</v>
      </c>
      <c r="C32" s="8" t="s">
        <v>17</v>
      </c>
      <c r="D32" s="9"/>
      <c r="E32" s="9"/>
      <c r="F32" s="166">
        <v>0.02</v>
      </c>
      <c r="G32" s="19"/>
      <c r="H32" s="19"/>
      <c r="I32" s="9"/>
      <c r="J32" s="9"/>
      <c r="K32" s="9"/>
      <c r="L32" s="9"/>
      <c r="N32" s="160"/>
    </row>
    <row r="33" spans="1:12" x14ac:dyDescent="0.35">
      <c r="A33" s="221" t="s">
        <v>46</v>
      </c>
      <c r="B33" s="8">
        <v>1360</v>
      </c>
      <c r="C33" s="8" t="s">
        <v>17</v>
      </c>
      <c r="D33" s="9"/>
      <c r="E33" s="9"/>
      <c r="F33" s="166">
        <v>0.03</v>
      </c>
      <c r="G33" s="19"/>
      <c r="H33" s="19"/>
      <c r="I33" s="9"/>
      <c r="J33" s="9"/>
      <c r="K33" s="9"/>
      <c r="L33" s="9"/>
    </row>
    <row r="34" spans="1:12" x14ac:dyDescent="0.35">
      <c r="A34" s="221" t="s">
        <v>29</v>
      </c>
      <c r="B34" s="8">
        <v>1360</v>
      </c>
      <c r="C34" s="8" t="s">
        <v>17</v>
      </c>
      <c r="D34" s="9"/>
      <c r="E34" s="9"/>
      <c r="F34" s="166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21" t="s">
        <v>55</v>
      </c>
      <c r="B35" s="8">
        <v>1360</v>
      </c>
      <c r="C35" s="8" t="s">
        <v>17</v>
      </c>
      <c r="D35" s="9"/>
      <c r="E35" s="9"/>
      <c r="F35" s="166">
        <v>0.04</v>
      </c>
      <c r="G35" s="19"/>
      <c r="H35" s="19"/>
      <c r="I35" s="9"/>
      <c r="J35" s="9"/>
      <c r="K35" s="9"/>
      <c r="L35" s="9"/>
    </row>
    <row r="36" spans="1:12" x14ac:dyDescent="0.35">
      <c r="A36" s="221" t="s">
        <v>56</v>
      </c>
      <c r="B36" s="8">
        <v>1360</v>
      </c>
      <c r="C36" s="8" t="s">
        <v>17</v>
      </c>
      <c r="D36" s="9"/>
      <c r="E36" s="9"/>
      <c r="F36" s="166">
        <v>0.02</v>
      </c>
      <c r="G36" s="19"/>
      <c r="H36" s="19"/>
      <c r="I36" s="9"/>
      <c r="J36" s="9"/>
      <c r="K36" s="9"/>
      <c r="L36" s="9"/>
    </row>
    <row r="37" spans="1:12" x14ac:dyDescent="0.35">
      <c r="A37" s="221" t="s">
        <v>47</v>
      </c>
      <c r="B37" s="8">
        <v>1360</v>
      </c>
      <c r="C37" s="8" t="s">
        <v>17</v>
      </c>
      <c r="D37" s="9"/>
      <c r="E37" s="9"/>
      <c r="F37" s="166">
        <v>0.02</v>
      </c>
      <c r="G37" s="19"/>
      <c r="H37" s="19"/>
      <c r="I37" s="9"/>
      <c r="J37" s="9"/>
      <c r="K37" s="9"/>
      <c r="L37" s="9"/>
    </row>
    <row r="38" spans="1:12" x14ac:dyDescent="0.35">
      <c r="A38" s="220" t="s">
        <v>15</v>
      </c>
      <c r="B38" s="9"/>
      <c r="C38" s="8"/>
      <c r="D38" s="9"/>
      <c r="E38" s="9"/>
      <c r="F38" s="165"/>
      <c r="G38" s="19"/>
      <c r="H38" s="19"/>
      <c r="I38" s="9"/>
      <c r="J38" s="9"/>
      <c r="K38" s="9"/>
      <c r="L38" s="9"/>
    </row>
    <row r="39" spans="1:12" x14ac:dyDescent="0.35">
      <c r="A39" s="221" t="s">
        <v>30</v>
      </c>
      <c r="B39" s="8">
        <v>24</v>
      </c>
      <c r="C39" s="8" t="s">
        <v>2</v>
      </c>
      <c r="D39" s="9"/>
      <c r="E39" s="9"/>
      <c r="F39" s="166">
        <v>0.02</v>
      </c>
      <c r="G39" s="19"/>
      <c r="H39" s="19"/>
      <c r="I39" s="9"/>
      <c r="J39" s="9"/>
      <c r="K39" s="9"/>
      <c r="L39" s="9"/>
    </row>
    <row r="40" spans="1:12" x14ac:dyDescent="0.35">
      <c r="A40" s="221" t="s">
        <v>31</v>
      </c>
      <c r="B40" s="8">
        <v>24</v>
      </c>
      <c r="C40" s="8" t="s">
        <v>2</v>
      </c>
      <c r="D40" s="9"/>
      <c r="E40" s="9"/>
      <c r="F40" s="166">
        <v>0.02</v>
      </c>
      <c r="G40" s="19"/>
      <c r="H40" s="19"/>
      <c r="I40" s="9"/>
      <c r="J40" s="9"/>
      <c r="K40" s="9"/>
      <c r="L40" s="9"/>
    </row>
    <row r="41" spans="1:12" x14ac:dyDescent="0.35">
      <c r="A41" s="221" t="s">
        <v>32</v>
      </c>
      <c r="B41" s="8">
        <v>24</v>
      </c>
      <c r="C41" s="8" t="s">
        <v>2</v>
      </c>
      <c r="D41" s="9"/>
      <c r="E41" s="9"/>
      <c r="F41" s="166">
        <v>0.04</v>
      </c>
      <c r="G41" s="19"/>
      <c r="H41" s="19"/>
      <c r="I41" s="9"/>
      <c r="J41" s="9"/>
      <c r="K41" s="9"/>
      <c r="L41" s="9"/>
    </row>
    <row r="42" spans="1:12" x14ac:dyDescent="0.35">
      <c r="A42" s="221" t="s">
        <v>33</v>
      </c>
      <c r="B42" s="8">
        <v>24</v>
      </c>
      <c r="C42" s="8" t="s">
        <v>2</v>
      </c>
      <c r="D42" s="9"/>
      <c r="E42" s="9"/>
      <c r="F42" s="166">
        <v>0.01</v>
      </c>
      <c r="G42" s="19"/>
      <c r="H42" s="19"/>
      <c r="I42" s="9"/>
      <c r="J42" s="9"/>
      <c r="K42" s="9"/>
      <c r="L42" s="9"/>
    </row>
    <row r="43" spans="1:12" x14ac:dyDescent="0.35">
      <c r="A43" s="221" t="s">
        <v>34</v>
      </c>
      <c r="B43" s="8">
        <v>24</v>
      </c>
      <c r="C43" s="8" t="s">
        <v>2</v>
      </c>
      <c r="D43" s="9"/>
      <c r="E43" s="9"/>
      <c r="F43" s="166">
        <v>0.01</v>
      </c>
      <c r="G43" s="19"/>
      <c r="H43" s="19"/>
      <c r="I43" s="9"/>
      <c r="J43" s="9"/>
      <c r="K43" s="9"/>
      <c r="L43" s="9"/>
    </row>
    <row r="44" spans="1:12" x14ac:dyDescent="0.35">
      <c r="A44" s="221" t="s">
        <v>16</v>
      </c>
      <c r="B44" s="8">
        <v>24</v>
      </c>
      <c r="C44" s="8" t="s">
        <v>2</v>
      </c>
      <c r="D44" s="9"/>
      <c r="E44" s="9"/>
      <c r="F44" s="166">
        <v>0.02</v>
      </c>
      <c r="G44" s="19"/>
      <c r="H44" s="19"/>
      <c r="I44" s="9"/>
      <c r="J44" s="9"/>
      <c r="K44" s="9"/>
      <c r="L44" s="9"/>
    </row>
    <row r="45" spans="1:12" x14ac:dyDescent="0.35">
      <c r="A45" s="221" t="s">
        <v>35</v>
      </c>
      <c r="B45" s="8">
        <v>24</v>
      </c>
      <c r="C45" s="8" t="s">
        <v>2</v>
      </c>
      <c r="D45" s="9"/>
      <c r="E45" s="9"/>
      <c r="F45" s="166">
        <v>0.01</v>
      </c>
      <c r="G45" s="19"/>
      <c r="H45" s="19"/>
      <c r="I45" s="9"/>
      <c r="J45" s="9"/>
      <c r="K45" s="9"/>
      <c r="L45" s="9"/>
    </row>
    <row r="46" spans="1:12" x14ac:dyDescent="0.35">
      <c r="A46" s="220" t="s">
        <v>36</v>
      </c>
      <c r="B46" s="9"/>
      <c r="C46" s="8"/>
      <c r="D46" s="9"/>
      <c r="E46" s="9"/>
      <c r="F46" s="165"/>
      <c r="G46" s="19"/>
      <c r="H46" s="19"/>
      <c r="I46" s="9"/>
      <c r="J46" s="9"/>
      <c r="K46" s="9"/>
      <c r="L46" s="9"/>
    </row>
    <row r="47" spans="1:12" x14ac:dyDescent="0.35">
      <c r="A47" s="221" t="s">
        <v>37</v>
      </c>
      <c r="B47" s="8">
        <v>1173</v>
      </c>
      <c r="C47" s="8" t="s">
        <v>13</v>
      </c>
      <c r="D47" s="9"/>
      <c r="E47" s="9"/>
      <c r="F47" s="166">
        <v>0.02</v>
      </c>
      <c r="G47" s="19"/>
      <c r="H47" s="19"/>
      <c r="I47" s="9"/>
      <c r="J47" s="9"/>
      <c r="K47" s="9"/>
      <c r="L47" s="9"/>
    </row>
    <row r="48" spans="1:12" x14ac:dyDescent="0.35">
      <c r="A48" s="221" t="s">
        <v>38</v>
      </c>
      <c r="B48" s="8">
        <v>24</v>
      </c>
      <c r="C48" s="8" t="s">
        <v>2</v>
      </c>
      <c r="D48" s="9"/>
      <c r="E48" s="9"/>
      <c r="F48" s="166">
        <v>0.02</v>
      </c>
      <c r="G48" s="19"/>
      <c r="H48" s="19"/>
      <c r="I48" s="9"/>
      <c r="J48" s="9"/>
      <c r="K48" s="9"/>
      <c r="L48" s="9"/>
    </row>
    <row r="49" spans="1:12" x14ac:dyDescent="0.35">
      <c r="A49" s="220" t="s">
        <v>39</v>
      </c>
      <c r="B49" s="9"/>
      <c r="C49" s="8"/>
      <c r="D49" s="9"/>
      <c r="E49" s="9"/>
      <c r="F49" s="166"/>
      <c r="G49" s="19"/>
      <c r="H49" s="19"/>
      <c r="I49" s="9"/>
      <c r="J49" s="9"/>
      <c r="K49" s="9"/>
      <c r="L49" s="9"/>
    </row>
    <row r="50" spans="1:12" x14ac:dyDescent="0.35">
      <c r="A50" s="221" t="s">
        <v>40</v>
      </c>
      <c r="B50" s="8">
        <v>1</v>
      </c>
      <c r="C50" s="8" t="s">
        <v>11</v>
      </c>
      <c r="D50" s="9"/>
      <c r="E50" s="9"/>
      <c r="F50" s="166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21" t="s">
        <v>41</v>
      </c>
      <c r="B51" s="8">
        <v>1</v>
      </c>
      <c r="C51" s="8" t="s">
        <v>11</v>
      </c>
      <c r="D51" s="9"/>
      <c r="E51" s="9"/>
      <c r="F51" s="166">
        <v>0.01</v>
      </c>
      <c r="G51" s="19"/>
      <c r="H51" s="19"/>
      <c r="I51" s="9"/>
      <c r="J51" s="9"/>
      <c r="K51" s="9"/>
      <c r="L51" s="9"/>
    </row>
    <row r="52" spans="1:12" x14ac:dyDescent="0.35">
      <c r="A52" s="221" t="s">
        <v>296</v>
      </c>
      <c r="B52" s="8">
        <v>1</v>
      </c>
      <c r="C52" s="8" t="s">
        <v>11</v>
      </c>
      <c r="D52" s="9"/>
      <c r="E52" s="9"/>
      <c r="F52" s="166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21" t="s">
        <v>42</v>
      </c>
      <c r="B53" s="8">
        <v>1</v>
      </c>
      <c r="C53" s="8" t="s">
        <v>11</v>
      </c>
      <c r="D53" s="9"/>
      <c r="E53" s="9"/>
      <c r="F53" s="166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20" t="s">
        <v>53</v>
      </c>
      <c r="B54" s="9"/>
      <c r="C54" s="8"/>
      <c r="D54" s="9"/>
      <c r="E54" s="9"/>
      <c r="F54" s="166"/>
      <c r="G54" s="19"/>
      <c r="H54" s="19"/>
      <c r="I54" s="9"/>
      <c r="J54" s="9"/>
      <c r="K54" s="9"/>
      <c r="L54" s="9"/>
    </row>
    <row r="55" spans="1:12" x14ac:dyDescent="0.35">
      <c r="A55" s="221" t="s">
        <v>43</v>
      </c>
      <c r="B55" s="8">
        <v>100</v>
      </c>
      <c r="C55" s="8" t="s">
        <v>12</v>
      </c>
      <c r="D55" s="9"/>
      <c r="E55" s="9"/>
      <c r="F55" s="166">
        <v>0.01</v>
      </c>
      <c r="G55" s="19"/>
      <c r="H55" s="19"/>
      <c r="I55" s="9"/>
      <c r="J55" s="9"/>
      <c r="K55" s="9"/>
      <c r="L55" s="9"/>
    </row>
    <row r="56" spans="1:12" x14ac:dyDescent="0.35">
      <c r="A56" s="221" t="s">
        <v>44</v>
      </c>
      <c r="B56" s="8">
        <v>100</v>
      </c>
      <c r="C56" s="8" t="s">
        <v>12</v>
      </c>
      <c r="D56" s="9"/>
      <c r="E56" s="9"/>
      <c r="F56" s="166">
        <v>0.01</v>
      </c>
      <c r="G56" s="19"/>
      <c r="H56" s="19"/>
      <c r="I56" s="9"/>
      <c r="J56" s="9"/>
      <c r="K56" s="9"/>
      <c r="L56" s="9"/>
    </row>
    <row r="57" spans="1:12" x14ac:dyDescent="0.35">
      <c r="A57" s="221" t="s">
        <v>45</v>
      </c>
      <c r="B57" s="8">
        <v>100</v>
      </c>
      <c r="C57" s="8" t="s">
        <v>12</v>
      </c>
      <c r="D57" s="9"/>
      <c r="E57" s="9"/>
      <c r="F57" s="166">
        <v>0.01</v>
      </c>
      <c r="G57" s="19"/>
      <c r="H57" s="19"/>
      <c r="I57" s="9"/>
      <c r="J57" s="9"/>
      <c r="K57" s="9"/>
      <c r="L57" s="9"/>
    </row>
    <row r="58" spans="1:12" x14ac:dyDescent="0.35">
      <c r="A58" s="221" t="s">
        <v>54</v>
      </c>
      <c r="B58" s="8">
        <v>100</v>
      </c>
      <c r="C58" s="8" t="s">
        <v>12</v>
      </c>
      <c r="D58" s="9"/>
      <c r="E58" s="9"/>
      <c r="F58" s="166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2">
        <f>SUM(F11:F58)</f>
        <v>1.0000000000000002</v>
      </c>
      <c r="G59" s="222">
        <f>SUM(G11:G58)</f>
        <v>4.1412622235886695E-2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4.1412622235886695E-2</v>
      </c>
    </row>
    <row r="73" spans="2:3" x14ac:dyDescent="0.35">
      <c r="B73" s="20" t="s">
        <v>8</v>
      </c>
      <c r="C73" s="21">
        <f>C71-C72</f>
        <v>0.95858737776411351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1" t="s">
        <v>10</v>
      </c>
      <c r="B2" s="172">
        <v>45754</v>
      </c>
      <c r="C2" s="172">
        <v>45755</v>
      </c>
      <c r="D2" s="172">
        <v>45756</v>
      </c>
      <c r="E2" s="172">
        <v>45757</v>
      </c>
      <c r="F2" s="172">
        <v>45758</v>
      </c>
      <c r="G2" s="172">
        <v>45759</v>
      </c>
      <c r="H2" s="172">
        <v>45760</v>
      </c>
      <c r="I2" s="172">
        <v>45761</v>
      </c>
      <c r="J2" s="172">
        <v>45762</v>
      </c>
      <c r="K2" s="172">
        <v>45763</v>
      </c>
      <c r="L2" s="172">
        <v>45764</v>
      </c>
      <c r="M2" s="172">
        <v>45765</v>
      </c>
      <c r="N2" s="172">
        <v>45766</v>
      </c>
      <c r="O2" s="172">
        <v>45767</v>
      </c>
      <c r="P2" s="172">
        <v>45768</v>
      </c>
      <c r="Q2" s="172">
        <v>45769</v>
      </c>
      <c r="R2" s="172">
        <v>45770</v>
      </c>
      <c r="S2" s="172">
        <v>45771</v>
      </c>
      <c r="T2" s="172">
        <v>45772</v>
      </c>
      <c r="U2" s="172">
        <v>45773</v>
      </c>
      <c r="V2" s="172">
        <v>45774</v>
      </c>
      <c r="W2" s="172">
        <v>45775</v>
      </c>
      <c r="X2" s="172">
        <v>45776</v>
      </c>
      <c r="Y2" s="172">
        <v>45777</v>
      </c>
      <c r="Z2" s="172">
        <v>45778</v>
      </c>
      <c r="AA2" s="172">
        <v>45779</v>
      </c>
      <c r="AB2" s="172">
        <v>45780</v>
      </c>
      <c r="AC2" s="172">
        <v>45781</v>
      </c>
      <c r="AD2" s="172">
        <v>45782</v>
      </c>
      <c r="AE2" s="172">
        <v>45783</v>
      </c>
      <c r="AF2" s="172">
        <v>45784</v>
      </c>
      <c r="AG2" s="172">
        <v>45785</v>
      </c>
      <c r="AH2" s="172">
        <v>45786</v>
      </c>
      <c r="AI2" s="172">
        <v>45787</v>
      </c>
      <c r="AJ2" s="172">
        <v>45788</v>
      </c>
      <c r="AK2" s="172">
        <v>45789</v>
      </c>
      <c r="AL2" s="172">
        <v>45790</v>
      </c>
      <c r="AM2" s="172">
        <v>45791</v>
      </c>
    </row>
    <row r="3" spans="1:43" s="10" customFormat="1" x14ac:dyDescent="0.35">
      <c r="A3" s="171" t="s">
        <v>410</v>
      </c>
      <c r="B3" s="173">
        <v>1</v>
      </c>
      <c r="C3" s="173">
        <v>1</v>
      </c>
      <c r="D3" s="173">
        <v>1</v>
      </c>
      <c r="E3" s="173">
        <v>1</v>
      </c>
      <c r="F3" s="173">
        <v>2</v>
      </c>
      <c r="G3" s="174">
        <v>2</v>
      </c>
      <c r="H3" s="174">
        <v>1</v>
      </c>
      <c r="I3" s="174">
        <v>1</v>
      </c>
      <c r="J3" s="175"/>
      <c r="K3" s="175"/>
      <c r="L3" s="174">
        <v>4</v>
      </c>
      <c r="M3" s="174">
        <v>4</v>
      </c>
      <c r="N3" s="174">
        <v>4</v>
      </c>
      <c r="O3" s="174">
        <v>4</v>
      </c>
      <c r="P3" s="174">
        <v>4</v>
      </c>
      <c r="Q3" s="174">
        <v>6</v>
      </c>
      <c r="R3" s="174">
        <v>6</v>
      </c>
      <c r="S3" s="174">
        <v>6</v>
      </c>
      <c r="T3" s="174">
        <v>6</v>
      </c>
      <c r="U3" s="174">
        <v>4</v>
      </c>
      <c r="V3" s="174">
        <v>4</v>
      </c>
      <c r="W3" s="176">
        <v>4</v>
      </c>
      <c r="X3" s="176">
        <v>6</v>
      </c>
      <c r="Y3" s="176">
        <v>6</v>
      </c>
      <c r="Z3" s="176">
        <v>4</v>
      </c>
      <c r="AA3" s="176">
        <v>4</v>
      </c>
      <c r="AB3" s="176">
        <v>6</v>
      </c>
      <c r="AC3" s="176">
        <v>6</v>
      </c>
      <c r="AD3" s="176">
        <v>6</v>
      </c>
      <c r="AE3" s="174">
        <v>5</v>
      </c>
      <c r="AF3" s="176">
        <v>4</v>
      </c>
      <c r="AG3" s="176">
        <v>3</v>
      </c>
      <c r="AH3" s="176">
        <v>5</v>
      </c>
      <c r="AI3" s="176">
        <v>5</v>
      </c>
      <c r="AJ3" s="176">
        <v>5</v>
      </c>
      <c r="AK3" s="176">
        <v>4</v>
      </c>
      <c r="AL3" s="176">
        <v>6</v>
      </c>
      <c r="AM3" s="176"/>
      <c r="AP3" s="177">
        <f>SUM(B3:AK3)</f>
        <v>135</v>
      </c>
    </row>
    <row r="4" spans="1:43" s="10" customFormat="1" x14ac:dyDescent="0.35">
      <c r="A4" s="171" t="s">
        <v>411</v>
      </c>
      <c r="B4" s="176">
        <f>'Construction Status'!Z4</f>
        <v>1.5</v>
      </c>
      <c r="C4" s="176">
        <f>'Construction Status'!AA4</f>
        <v>3.5</v>
      </c>
      <c r="D4" s="176">
        <f>'Construction Status'!AB4</f>
        <v>4</v>
      </c>
      <c r="E4" s="176">
        <f>'Construction Status'!AC4</f>
        <v>4</v>
      </c>
      <c r="F4" s="176">
        <f>'Construction Status'!AD4</f>
        <v>4</v>
      </c>
      <c r="G4" s="176">
        <f>'Construction Status'!AE4</f>
        <v>4</v>
      </c>
      <c r="H4" s="176">
        <f>'Construction Status'!AF4</f>
        <v>3</v>
      </c>
      <c r="I4" s="176">
        <f>'Construction Status'!AG4</f>
        <v>2</v>
      </c>
      <c r="J4" s="176">
        <f>'Construction Status'!AH4</f>
        <v>0</v>
      </c>
      <c r="K4" s="176">
        <f>'Construction Status'!AI4-10</f>
        <v>0</v>
      </c>
      <c r="L4" s="176">
        <f>'Construction Status'!AJ4</f>
        <v>20</v>
      </c>
      <c r="M4" s="176">
        <f>'Construction Status'!AK4</f>
        <v>20</v>
      </c>
      <c r="N4" s="176">
        <f>'Construction Status'!AL4+5</f>
        <v>25</v>
      </c>
      <c r="O4" s="176">
        <f>'Construction Status'!AM4+5</f>
        <v>26</v>
      </c>
      <c r="P4" s="176">
        <f>'Construction Status'!AN4</f>
        <v>40</v>
      </c>
      <c r="Q4" s="176">
        <f>'Construction Status'!AO4</f>
        <v>40</v>
      </c>
      <c r="R4" s="176">
        <f>'Construction Status'!AP4</f>
        <v>40</v>
      </c>
      <c r="S4" s="176">
        <f>'Construction Status'!AQ4</f>
        <v>38</v>
      </c>
      <c r="T4" s="176">
        <f>'Construction Status'!AR4</f>
        <v>0</v>
      </c>
      <c r="U4" s="176">
        <f>'Construction Status'!AS4</f>
        <v>0</v>
      </c>
      <c r="V4" s="176">
        <f>'Construction Status'!AT4</f>
        <v>0</v>
      </c>
      <c r="W4" s="176">
        <f>'Construction Status'!AU4</f>
        <v>0</v>
      </c>
      <c r="X4" s="176">
        <f>'Construction Status'!AV4</f>
        <v>0</v>
      </c>
      <c r="Y4" s="176">
        <f>'Construction Status'!AW4</f>
        <v>0</v>
      </c>
      <c r="Z4" s="176">
        <f>'Construction Status'!AX4</f>
        <v>0</v>
      </c>
      <c r="AA4" s="176">
        <f>'Construction Status'!AY4</f>
        <v>0</v>
      </c>
      <c r="AB4" s="176">
        <f>'Construction Status'!AZ4</f>
        <v>0</v>
      </c>
      <c r="AC4" s="176">
        <f>'Construction Status'!BA4</f>
        <v>0</v>
      </c>
      <c r="AD4" s="176"/>
      <c r="AE4" s="176"/>
      <c r="AF4" s="176">
        <v>5</v>
      </c>
      <c r="AG4" s="176">
        <v>10</v>
      </c>
      <c r="AH4" s="176">
        <v>10</v>
      </c>
      <c r="AI4" s="176">
        <v>5</v>
      </c>
      <c r="AJ4" s="176">
        <v>7</v>
      </c>
      <c r="AK4" s="176">
        <v>5</v>
      </c>
      <c r="AL4" s="176"/>
      <c r="AM4" s="176"/>
      <c r="AP4" s="177">
        <f>SUM(B4:AK4)</f>
        <v>317</v>
      </c>
      <c r="AQ4" s="178">
        <f>AP4/AP3</f>
        <v>2.3481481481481481</v>
      </c>
    </row>
    <row r="5" spans="1:43" s="10" customFormat="1" x14ac:dyDescent="0.35">
      <c r="A5" s="171" t="s">
        <v>412</v>
      </c>
      <c r="B5" s="176">
        <f>'Construction Status'!Z5</f>
        <v>0</v>
      </c>
      <c r="C5" s="176">
        <f>'Construction Status'!AA5</f>
        <v>0</v>
      </c>
      <c r="D5" s="176">
        <f>'Construction Status'!AB5</f>
        <v>0</v>
      </c>
      <c r="E5" s="176">
        <f>'Construction Status'!AC5</f>
        <v>0</v>
      </c>
      <c r="F5" s="176">
        <f>'Construction Status'!AD5</f>
        <v>0</v>
      </c>
      <c r="G5" s="176">
        <f>'Construction Status'!AE5</f>
        <v>0</v>
      </c>
      <c r="H5" s="176">
        <f>'Construction Status'!AF5</f>
        <v>0</v>
      </c>
      <c r="I5" s="176">
        <f>'Construction Status'!AG5</f>
        <v>0</v>
      </c>
      <c r="J5" s="176">
        <f>'Construction Status'!AH5</f>
        <v>0</v>
      </c>
      <c r="K5" s="176">
        <f>'Construction Status'!AI5</f>
        <v>0</v>
      </c>
      <c r="L5" s="176">
        <f>'Construction Status'!AJ5</f>
        <v>0</v>
      </c>
      <c r="M5" s="176">
        <f>'Construction Status'!AK5</f>
        <v>0</v>
      </c>
      <c r="N5" s="176">
        <f>'Construction Status'!AL5</f>
        <v>0</v>
      </c>
      <c r="O5" s="176">
        <f>'Construction Status'!AM5</f>
        <v>0</v>
      </c>
      <c r="P5" s="176">
        <f>'Construction Status'!AN5</f>
        <v>0</v>
      </c>
      <c r="Q5" s="176">
        <f>'Construction Status'!AO5</f>
        <v>0</v>
      </c>
      <c r="R5" s="176">
        <f>'Construction Status'!AP5</f>
        <v>0</v>
      </c>
      <c r="S5" s="176">
        <f>'Construction Status'!AQ5</f>
        <v>0</v>
      </c>
      <c r="T5" s="176">
        <f>'Construction Status'!AR5</f>
        <v>10</v>
      </c>
      <c r="U5" s="176">
        <f>'Construction Status'!AS5</f>
        <v>10</v>
      </c>
      <c r="V5" s="176">
        <f>'Construction Status'!AT5</f>
        <v>10</v>
      </c>
      <c r="W5" s="176">
        <f>'Construction Status'!AU5</f>
        <v>10</v>
      </c>
      <c r="X5" s="176">
        <f>'Construction Status'!AV5</f>
        <v>12</v>
      </c>
      <c r="Y5" s="176">
        <f>'Construction Status'!AW5</f>
        <v>13</v>
      </c>
      <c r="Z5" s="176">
        <f>'Construction Status'!AX5</f>
        <v>10</v>
      </c>
      <c r="AA5" s="176">
        <f>'Construction Status'!AY5</f>
        <v>12</v>
      </c>
      <c r="AB5" s="176">
        <f>'Construction Status'!AZ5</f>
        <v>11</v>
      </c>
      <c r="AC5" s="176">
        <f>'Construction Status'!BA5</f>
        <v>20</v>
      </c>
      <c r="AD5" s="176">
        <v>14</v>
      </c>
      <c r="AE5" s="176">
        <v>16</v>
      </c>
      <c r="AF5" s="176">
        <v>16</v>
      </c>
      <c r="AG5" s="176">
        <v>10</v>
      </c>
      <c r="AH5" s="176">
        <v>10</v>
      </c>
      <c r="AI5" s="176">
        <v>5</v>
      </c>
      <c r="AJ5" s="176">
        <v>7</v>
      </c>
      <c r="AK5" s="176">
        <v>5</v>
      </c>
      <c r="AL5" s="176"/>
      <c r="AM5" s="176"/>
      <c r="AP5" s="177">
        <f>SUM(T3:AK3)</f>
        <v>87</v>
      </c>
    </row>
    <row r="6" spans="1:43" s="10" customFormat="1" x14ac:dyDescent="0.35">
      <c r="A6" s="179" t="s">
        <v>413</v>
      </c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P6" s="177">
        <f>SUM(B5:AK5)</f>
        <v>201</v>
      </c>
      <c r="AQ6" s="178">
        <f>AP6/AP5</f>
        <v>2.3103448275862069</v>
      </c>
    </row>
    <row r="7" spans="1:43" s="10" customFormat="1" x14ac:dyDescent="0.35">
      <c r="A7" s="171" t="s">
        <v>411</v>
      </c>
      <c r="B7" s="181">
        <f>B4/B3</f>
        <v>1.5</v>
      </c>
      <c r="C7" s="181">
        <f t="shared" ref="C7:S7" si="0">C4/C3</f>
        <v>3.5</v>
      </c>
      <c r="D7" s="181">
        <f t="shared" si="0"/>
        <v>4</v>
      </c>
      <c r="E7" s="181">
        <f t="shared" si="0"/>
        <v>4</v>
      </c>
      <c r="F7" s="181">
        <f t="shared" si="0"/>
        <v>2</v>
      </c>
      <c r="G7" s="181">
        <f t="shared" si="0"/>
        <v>2</v>
      </c>
      <c r="H7" s="181">
        <f t="shared" si="0"/>
        <v>3</v>
      </c>
      <c r="I7" s="181">
        <f t="shared" si="0"/>
        <v>2</v>
      </c>
      <c r="J7" s="181"/>
      <c r="K7" s="181"/>
      <c r="L7" s="181">
        <f t="shared" si="0"/>
        <v>5</v>
      </c>
      <c r="M7" s="181">
        <f t="shared" si="0"/>
        <v>5</v>
      </c>
      <c r="N7" s="181">
        <f t="shared" si="0"/>
        <v>6.25</v>
      </c>
      <c r="O7" s="181">
        <f t="shared" si="0"/>
        <v>6.5</v>
      </c>
      <c r="P7" s="181">
        <f t="shared" si="0"/>
        <v>10</v>
      </c>
      <c r="Q7" s="181">
        <f t="shared" si="0"/>
        <v>6.666666666666667</v>
      </c>
      <c r="R7" s="181">
        <f t="shared" si="0"/>
        <v>6.666666666666667</v>
      </c>
      <c r="S7" s="181">
        <f t="shared" si="0"/>
        <v>6.333333333333333</v>
      </c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</row>
    <row r="8" spans="1:43" s="10" customFormat="1" x14ac:dyDescent="0.35">
      <c r="A8" s="171" t="s">
        <v>412</v>
      </c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1">
        <f>T5/T3</f>
        <v>1.6666666666666667</v>
      </c>
      <c r="U8" s="181">
        <f t="shared" ref="U8:AD8" si="1">U5/U3</f>
        <v>2.5</v>
      </c>
      <c r="V8" s="181">
        <f t="shared" si="1"/>
        <v>2.5</v>
      </c>
      <c r="W8" s="181">
        <f t="shared" si="1"/>
        <v>2.5</v>
      </c>
      <c r="X8" s="181">
        <f t="shared" si="1"/>
        <v>2</v>
      </c>
      <c r="Y8" s="181">
        <f t="shared" si="1"/>
        <v>2.1666666666666665</v>
      </c>
      <c r="Z8" s="181">
        <f t="shared" si="1"/>
        <v>2.5</v>
      </c>
      <c r="AA8" s="181">
        <f t="shared" si="1"/>
        <v>3</v>
      </c>
      <c r="AB8" s="181">
        <f t="shared" si="1"/>
        <v>1.8333333333333333</v>
      </c>
      <c r="AC8" s="181">
        <f t="shared" si="1"/>
        <v>3.3333333333333335</v>
      </c>
      <c r="AD8" s="181">
        <f t="shared" si="1"/>
        <v>2.3333333333333335</v>
      </c>
      <c r="AE8" s="181">
        <f t="shared" ref="AE8:AM8" si="2">AE5/AE3</f>
        <v>3.2</v>
      </c>
      <c r="AF8" s="181">
        <f t="shared" si="2"/>
        <v>4</v>
      </c>
      <c r="AG8" s="181">
        <f t="shared" si="2"/>
        <v>3.3333333333333335</v>
      </c>
      <c r="AH8" s="181">
        <f t="shared" si="2"/>
        <v>2</v>
      </c>
      <c r="AI8" s="181">
        <f t="shared" si="2"/>
        <v>1</v>
      </c>
      <c r="AJ8" s="181">
        <f t="shared" si="2"/>
        <v>1.4</v>
      </c>
      <c r="AK8" s="181">
        <f t="shared" si="2"/>
        <v>1.25</v>
      </c>
      <c r="AL8" s="181">
        <f t="shared" si="2"/>
        <v>0</v>
      </c>
      <c r="AM8" s="181" t="e">
        <f t="shared" si="2"/>
        <v>#DIV/0!</v>
      </c>
    </row>
    <row r="10" spans="1:43" x14ac:dyDescent="0.35">
      <c r="A10" s="182" t="s">
        <v>414</v>
      </c>
    </row>
    <row r="11" spans="1:43" x14ac:dyDescent="0.35">
      <c r="A11" s="182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416</v>
      </c>
      <c r="AE13" t="s">
        <v>8</v>
      </c>
      <c r="AF13" t="s">
        <v>415</v>
      </c>
      <c r="AG13" t="s">
        <v>417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7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7">
        <f>AE17/AF17</f>
        <v>6.7894736842105265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zoomScale="80" zoomScaleNormal="80" workbookViewId="0">
      <selection activeCell="E10" sqref="E10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1" bestFit="1" customWidth="1"/>
    <col min="4" max="4" width="16.54296875" style="191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7">
        <v>1</v>
      </c>
      <c r="B2" s="133" t="s">
        <v>51</v>
      </c>
      <c r="C2" s="134">
        <v>45694</v>
      </c>
      <c r="D2" s="134">
        <v>45694</v>
      </c>
      <c r="E2" s="141"/>
    </row>
    <row r="3" spans="1:9" x14ac:dyDescent="0.4">
      <c r="A3" s="137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7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7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7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7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7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7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7">
        <v>9</v>
      </c>
      <c r="B10" s="139" t="s">
        <v>327</v>
      </c>
      <c r="C10" s="138">
        <v>45754</v>
      </c>
      <c r="D10" s="134">
        <v>45793</v>
      </c>
      <c r="E10" s="139" t="s">
        <v>7</v>
      </c>
    </row>
    <row r="11" spans="1:9" x14ac:dyDescent="0.4">
      <c r="A11" s="137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7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7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7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5"/>
    </row>
    <row r="15" spans="1:9" x14ac:dyDescent="0.4">
      <c r="A15" s="137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5"/>
    </row>
    <row r="16" spans="1:9" x14ac:dyDescent="0.4">
      <c r="A16" s="144">
        <v>15</v>
      </c>
      <c r="B16" s="238" t="s">
        <v>834</v>
      </c>
      <c r="C16" s="239">
        <f>C15+28</f>
        <v>45801</v>
      </c>
      <c r="D16" s="239">
        <v>45837</v>
      </c>
      <c r="E16" s="214" t="s">
        <v>833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7">
        <v>1</v>
      </c>
      <c r="B18" s="139" t="s">
        <v>397</v>
      </c>
      <c r="C18" s="138">
        <v>45760</v>
      </c>
      <c r="D18" s="134">
        <v>45752</v>
      </c>
      <c r="E18" s="223" t="s">
        <v>7</v>
      </c>
    </row>
    <row r="19" spans="1:5" s="131" customFormat="1" x14ac:dyDescent="0.4">
      <c r="A19" s="137">
        <f>+SUM(A18+1)</f>
        <v>2</v>
      </c>
      <c r="B19" s="139" t="s">
        <v>838</v>
      </c>
      <c r="C19" s="138">
        <v>45833</v>
      </c>
      <c r="D19" s="134">
        <v>45837</v>
      </c>
      <c r="E19" s="223" t="s">
        <v>7</v>
      </c>
    </row>
    <row r="20" spans="1:5" s="131" customFormat="1" ht="32" x14ac:dyDescent="0.4">
      <c r="A20" s="137">
        <f t="shared" ref="A20:A25" si="0">+SUM(A19+1)</f>
        <v>3</v>
      </c>
      <c r="B20" s="139" t="s">
        <v>331</v>
      </c>
      <c r="C20" s="138">
        <v>45783</v>
      </c>
      <c r="D20" s="134">
        <v>45838</v>
      </c>
      <c r="E20" s="223" t="s">
        <v>7</v>
      </c>
    </row>
    <row r="21" spans="1:5" s="131" customFormat="1" x14ac:dyDescent="0.4">
      <c r="A21" s="137">
        <f t="shared" si="0"/>
        <v>4</v>
      </c>
      <c r="B21" s="139" t="s">
        <v>332</v>
      </c>
      <c r="C21" s="138">
        <v>45767</v>
      </c>
      <c r="D21" s="134">
        <v>45767</v>
      </c>
      <c r="E21" s="223" t="s">
        <v>7</v>
      </c>
    </row>
    <row r="22" spans="1:5" s="131" customFormat="1" x14ac:dyDescent="0.4">
      <c r="A22" s="137">
        <f t="shared" si="0"/>
        <v>5</v>
      </c>
      <c r="B22" s="139" t="s">
        <v>333</v>
      </c>
      <c r="C22" s="138">
        <v>45767</v>
      </c>
      <c r="D22" s="134">
        <v>45752</v>
      </c>
      <c r="E22" s="223" t="s">
        <v>7</v>
      </c>
    </row>
    <row r="23" spans="1:5" s="131" customFormat="1" x14ac:dyDescent="0.4">
      <c r="A23" s="137">
        <f t="shared" si="0"/>
        <v>6</v>
      </c>
      <c r="B23" s="139" t="s">
        <v>334</v>
      </c>
      <c r="C23" s="138">
        <v>45762</v>
      </c>
      <c r="D23" s="134">
        <v>45740</v>
      </c>
      <c r="E23" s="223" t="s">
        <v>335</v>
      </c>
    </row>
    <row r="24" spans="1:5" s="131" customFormat="1" x14ac:dyDescent="0.4">
      <c r="A24" s="137">
        <f t="shared" si="0"/>
        <v>7</v>
      </c>
      <c r="B24" s="139" t="s">
        <v>336</v>
      </c>
      <c r="C24" s="138">
        <v>45774</v>
      </c>
      <c r="D24" s="134">
        <v>45844</v>
      </c>
      <c r="E24" s="223" t="s">
        <v>7</v>
      </c>
    </row>
    <row r="25" spans="1:5" s="131" customFormat="1" x14ac:dyDescent="0.4">
      <c r="A25" s="137">
        <f t="shared" si="0"/>
        <v>8</v>
      </c>
      <c r="B25" s="139" t="s">
        <v>337</v>
      </c>
      <c r="C25" s="138">
        <v>45774</v>
      </c>
      <c r="D25" s="134">
        <v>45838</v>
      </c>
      <c r="E25" s="223" t="s">
        <v>7</v>
      </c>
    </row>
    <row r="26" spans="1:5" s="131" customFormat="1" x14ac:dyDescent="0.4">
      <c r="A26" s="144">
        <f>+SUM(A25+1)</f>
        <v>9</v>
      </c>
      <c r="B26" s="145" t="s">
        <v>338</v>
      </c>
      <c r="C26" s="146">
        <v>45764</v>
      </c>
      <c r="D26" s="239">
        <v>45838</v>
      </c>
      <c r="E26" s="214" t="s">
        <v>833</v>
      </c>
    </row>
    <row r="27" spans="1:5" x14ac:dyDescent="0.4">
      <c r="A27" s="240" t="s">
        <v>316</v>
      </c>
      <c r="B27" s="241" t="s">
        <v>840</v>
      </c>
      <c r="C27" s="241" t="s">
        <v>317</v>
      </c>
      <c r="D27" s="241" t="s">
        <v>318</v>
      </c>
      <c r="E27" s="241" t="s">
        <v>319</v>
      </c>
    </row>
    <row r="28" spans="1:5" x14ac:dyDescent="0.4">
      <c r="A28" s="242">
        <v>1</v>
      </c>
      <c r="B28" s="243" t="s">
        <v>841</v>
      </c>
      <c r="C28" s="246"/>
      <c r="D28" s="245">
        <v>45836</v>
      </c>
      <c r="E28" s="244" t="s">
        <v>833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260" t="s">
        <v>94</v>
      </c>
      <c r="C1" s="261"/>
      <c r="D1" s="262"/>
      <c r="E1" s="22"/>
    </row>
    <row r="2" spans="1:351" s="23" customFormat="1" x14ac:dyDescent="0.35">
      <c r="A2" s="24" t="s">
        <v>64</v>
      </c>
      <c r="B2" s="263" t="s">
        <v>95</v>
      </c>
      <c r="C2" s="264"/>
      <c r="D2" s="265"/>
      <c r="E2" s="22"/>
    </row>
    <row r="3" spans="1:351" s="23" customFormat="1" ht="16.5" thickBot="1" x14ac:dyDescent="0.4">
      <c r="A3" s="25" t="s">
        <v>65</v>
      </c>
      <c r="B3" s="266">
        <f>'[1]Project Overview'!P1</f>
        <v>45702</v>
      </c>
      <c r="C3" s="267"/>
      <c r="D3" s="268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269" t="s">
        <v>66</v>
      </c>
      <c r="B5" s="269" t="s">
        <v>67</v>
      </c>
      <c r="C5" s="270" t="s">
        <v>68</v>
      </c>
      <c r="D5" s="269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269"/>
      <c r="B6" s="269"/>
      <c r="C6" s="271"/>
      <c r="D6" s="269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272"/>
      <c r="C8" s="272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273"/>
      <c r="C9" s="273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272"/>
      <c r="C10" s="272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273"/>
      <c r="C11" s="273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274"/>
      <c r="C13" s="274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274"/>
      <c r="C14" s="274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274"/>
      <c r="C15" s="274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274"/>
      <c r="C16" s="274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274"/>
      <c r="C17" s="274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274"/>
      <c r="C18" s="274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274"/>
      <c r="C19" s="274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274"/>
      <c r="C20" s="274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274"/>
      <c r="C21" s="274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274"/>
      <c r="C22" s="274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274"/>
      <c r="C23" s="274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274"/>
      <c r="C24" s="274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274"/>
      <c r="C25" s="274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274"/>
      <c r="C26" s="274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274"/>
      <c r="C27" s="274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274"/>
      <c r="C28" s="274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274"/>
      <c r="C29" s="274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274"/>
      <c r="C30" s="274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274"/>
      <c r="C31" s="274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274"/>
      <c r="C32" s="274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274"/>
      <c r="C33" s="274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275"/>
      <c r="C34" s="275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276"/>
      <c r="C35" s="276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276"/>
      <c r="C36" s="276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274"/>
      <c r="C37" s="274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274"/>
      <c r="C38" s="274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274"/>
      <c r="C39" s="274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275"/>
      <c r="C40" s="275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276"/>
      <c r="C41" s="276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276"/>
      <c r="C42" s="276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275"/>
      <c r="C43" s="274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276"/>
      <c r="C44" s="274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276"/>
      <c r="C45" s="274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275"/>
      <c r="C46" s="275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276"/>
      <c r="C47" s="276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277"/>
      <c r="C48" s="277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276"/>
      <c r="C49" s="276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276"/>
      <c r="C50" s="276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276"/>
      <c r="C51" s="276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275"/>
      <c r="C52" s="275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276"/>
      <c r="C53" s="276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276"/>
      <c r="C54" s="277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275"/>
      <c r="C55" s="275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276"/>
      <c r="C56" s="276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276"/>
      <c r="C57" s="276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276"/>
      <c r="C58" s="276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276"/>
      <c r="C59" s="276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277"/>
      <c r="C60" s="277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275"/>
      <c r="C61" s="275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276"/>
      <c r="C62" s="276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276"/>
      <c r="C63" s="276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276"/>
      <c r="C64" s="276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276"/>
      <c r="C65" s="276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277"/>
      <c r="C66" s="277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275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276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276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276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276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277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275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276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276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276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276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277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275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276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276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276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276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277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275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276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276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276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276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277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275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276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276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276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276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277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275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276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276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276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276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277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275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276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276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276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276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277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275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276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276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276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276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277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275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276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276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276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276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277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275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276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276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276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276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277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275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276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276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277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274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274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274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274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274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274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274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274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274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34:B136"/>
    <mergeCell ref="B137:B139"/>
    <mergeCell ref="B103:B108"/>
    <mergeCell ref="B109:B114"/>
    <mergeCell ref="B115:B120"/>
    <mergeCell ref="B121:B126"/>
    <mergeCell ref="B127:B130"/>
    <mergeCell ref="B131:B133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43:B45"/>
    <mergeCell ref="C43:C45"/>
    <mergeCell ref="B46:B48"/>
    <mergeCell ref="C46:C48"/>
    <mergeCell ref="B49:B51"/>
    <mergeCell ref="C49:C51"/>
    <mergeCell ref="B34:B36"/>
    <mergeCell ref="C34:C36"/>
    <mergeCell ref="B37:B39"/>
    <mergeCell ref="C37:C39"/>
    <mergeCell ref="B40:B42"/>
    <mergeCell ref="C40:C42"/>
    <mergeCell ref="B25:B27"/>
    <mergeCell ref="C25:C27"/>
    <mergeCell ref="B28:B30"/>
    <mergeCell ref="C28:C30"/>
    <mergeCell ref="B31:B33"/>
    <mergeCell ref="C31:C33"/>
    <mergeCell ref="B16:B18"/>
    <mergeCell ref="C16:C18"/>
    <mergeCell ref="B19:B21"/>
    <mergeCell ref="C19:C21"/>
    <mergeCell ref="B22:B24"/>
    <mergeCell ref="C22:C24"/>
    <mergeCell ref="B8:B9"/>
    <mergeCell ref="C8:C9"/>
    <mergeCell ref="B10:B11"/>
    <mergeCell ref="C10:C11"/>
    <mergeCell ref="B13:B15"/>
    <mergeCell ref="C13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278" t="s">
        <v>94</v>
      </c>
      <c r="C1" s="279"/>
      <c r="D1" s="280"/>
      <c r="E1" s="22"/>
    </row>
    <row r="2" spans="1:326" s="23" customFormat="1" x14ac:dyDescent="0.35">
      <c r="A2" s="71" t="s">
        <v>64</v>
      </c>
      <c r="B2" s="281" t="s">
        <v>95</v>
      </c>
      <c r="C2" s="282"/>
      <c r="D2" s="283"/>
      <c r="E2" s="22"/>
    </row>
    <row r="3" spans="1:326" s="23" customFormat="1" ht="20.149999999999999" customHeight="1" thickBot="1" x14ac:dyDescent="0.4">
      <c r="A3" s="73" t="s">
        <v>65</v>
      </c>
      <c r="B3" s="284">
        <v>45703</v>
      </c>
      <c r="C3" s="285"/>
      <c r="D3" s="286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287" t="s">
        <v>66</v>
      </c>
      <c r="B5" s="287" t="s">
        <v>67</v>
      </c>
      <c r="C5" s="287" t="s">
        <v>68</v>
      </c>
      <c r="D5" s="287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1">
        <f t="shared" si="1"/>
        <v>45754</v>
      </c>
      <c r="BG5" s="161">
        <f t="shared" si="1"/>
        <v>45755</v>
      </c>
      <c r="BH5" s="161">
        <f t="shared" si="1"/>
        <v>45756</v>
      </c>
      <c r="BI5" s="161">
        <f t="shared" si="1"/>
        <v>45757</v>
      </c>
      <c r="BJ5" s="161">
        <f t="shared" si="1"/>
        <v>45758</v>
      </c>
      <c r="BK5" s="161">
        <f t="shared" si="1"/>
        <v>45759</v>
      </c>
      <c r="BL5" s="161">
        <f t="shared" si="1"/>
        <v>45760</v>
      </c>
      <c r="BM5" s="161">
        <f t="shared" si="1"/>
        <v>45761</v>
      </c>
      <c r="BN5" s="161">
        <f t="shared" si="1"/>
        <v>45762</v>
      </c>
      <c r="BO5" s="161">
        <f t="shared" si="1"/>
        <v>45763</v>
      </c>
      <c r="BP5" s="161">
        <f t="shared" si="1"/>
        <v>45764</v>
      </c>
      <c r="BQ5" s="161">
        <f t="shared" si="1"/>
        <v>45765</v>
      </c>
      <c r="BR5" s="161">
        <f t="shared" si="1"/>
        <v>45766</v>
      </c>
      <c r="BS5" s="161">
        <f t="shared" si="1"/>
        <v>45767</v>
      </c>
      <c r="BT5" s="161">
        <f t="shared" si="1"/>
        <v>45768</v>
      </c>
      <c r="BU5" s="161">
        <f t="shared" si="1"/>
        <v>45769</v>
      </c>
      <c r="BV5" s="161">
        <f t="shared" si="1"/>
        <v>45770</v>
      </c>
      <c r="BW5" s="161">
        <f t="shared" si="1"/>
        <v>45771</v>
      </c>
      <c r="BX5" s="161">
        <f t="shared" si="1"/>
        <v>45772</v>
      </c>
      <c r="BY5" s="161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287"/>
      <c r="B6" s="287"/>
      <c r="C6" s="287"/>
      <c r="D6" s="287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290" t="s">
        <v>401</v>
      </c>
      <c r="C7" s="290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290"/>
      <c r="C8" s="290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290"/>
      <c r="C9" s="290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290"/>
      <c r="C10" s="290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288" t="s">
        <v>274</v>
      </c>
      <c r="C11" s="291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288"/>
      <c r="C12" s="291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288"/>
      <c r="C13" s="291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288"/>
      <c r="C14" s="291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288"/>
      <c r="C15" s="291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288" t="s">
        <v>280</v>
      </c>
      <c r="C16" s="289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288"/>
      <c r="C17" s="289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288" t="s">
        <v>282</v>
      </c>
      <c r="C18" s="291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288"/>
      <c r="C19" s="291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288"/>
      <c r="C20" s="291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288"/>
      <c r="C21" s="291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288"/>
      <c r="C22" s="291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288" t="s">
        <v>286</v>
      </c>
      <c r="C23" s="291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288"/>
      <c r="C24" s="291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288"/>
      <c r="C25" s="291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288"/>
      <c r="C26" s="291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288"/>
      <c r="C27" s="291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292" t="s">
        <v>288</v>
      </c>
      <c r="C28" s="293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292"/>
      <c r="C29" s="293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292"/>
      <c r="C30" s="293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292"/>
      <c r="C31" s="293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292"/>
      <c r="C32" s="293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292"/>
      <c r="C33" s="293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292" t="s">
        <v>292</v>
      </c>
      <c r="C34" s="293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292"/>
      <c r="C35" s="293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292"/>
      <c r="C36" s="293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292"/>
      <c r="C37" s="293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292" t="s">
        <v>294</v>
      </c>
      <c r="C38" s="293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292"/>
      <c r="C39" s="293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292"/>
      <c r="C40" s="293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292"/>
      <c r="C41" s="293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292"/>
      <c r="C42" s="293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292" t="s">
        <v>86</v>
      </c>
      <c r="C43" s="293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292"/>
      <c r="C44" s="293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292"/>
      <c r="C45" s="293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292"/>
      <c r="C46" s="293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292"/>
      <c r="C47" s="293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43:B47"/>
    <mergeCell ref="C43:C47"/>
    <mergeCell ref="B34:B37"/>
    <mergeCell ref="C34:C37"/>
    <mergeCell ref="B38:B42"/>
    <mergeCell ref="C38:C42"/>
    <mergeCell ref="B23:B27"/>
    <mergeCell ref="C23:C27"/>
    <mergeCell ref="B28:B33"/>
    <mergeCell ref="C28:C33"/>
    <mergeCell ref="B18:B22"/>
    <mergeCell ref="C18:C22"/>
    <mergeCell ref="B16:B17"/>
    <mergeCell ref="C16:C17"/>
    <mergeCell ref="B7:B10"/>
    <mergeCell ref="C7:C10"/>
    <mergeCell ref="B11:B15"/>
    <mergeCell ref="C11:C15"/>
    <mergeCell ref="B1:D1"/>
    <mergeCell ref="B2:D2"/>
    <mergeCell ref="B3:D3"/>
    <mergeCell ref="A5:A6"/>
    <mergeCell ref="B5:B6"/>
    <mergeCell ref="C5:C6"/>
    <mergeCell ref="D5:D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2"/>
  <sheetViews>
    <sheetView zoomScale="80" zoomScaleNormal="80" workbookViewId="0">
      <selection activeCell="H13" sqref="H13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4">
      <c r="A1" s="132" t="s">
        <v>316</v>
      </c>
      <c r="B1" s="132" t="s">
        <v>388</v>
      </c>
      <c r="C1" s="122" t="s">
        <v>341</v>
      </c>
      <c r="D1" s="132" t="s">
        <v>317</v>
      </c>
      <c r="E1" s="132" t="s">
        <v>318</v>
      </c>
      <c r="F1" s="132" t="s">
        <v>301</v>
      </c>
    </row>
    <row r="2" spans="1:6" x14ac:dyDescent="0.4">
      <c r="A2" s="127"/>
      <c r="B2" s="136"/>
      <c r="C2" s="226"/>
      <c r="D2" s="127"/>
      <c r="E2" s="127"/>
      <c r="F2" s="127"/>
    </row>
    <row r="3" spans="1:6" x14ac:dyDescent="0.4">
      <c r="A3" s="135">
        <v>1</v>
      </c>
      <c r="B3" s="133" t="s">
        <v>342</v>
      </c>
      <c r="C3" s="135" t="s">
        <v>399</v>
      </c>
      <c r="D3" s="134">
        <v>45757</v>
      </c>
      <c r="E3" s="138">
        <v>45759</v>
      </c>
      <c r="F3" s="137" t="s">
        <v>7</v>
      </c>
    </row>
    <row r="4" spans="1:6" x14ac:dyDescent="0.4">
      <c r="A4" s="135">
        <v>2</v>
      </c>
      <c r="B4" s="133" t="s">
        <v>343</v>
      </c>
      <c r="C4" s="135" t="s">
        <v>363</v>
      </c>
      <c r="D4" s="134">
        <v>45757</v>
      </c>
      <c r="E4" s="138">
        <v>45747</v>
      </c>
      <c r="F4" s="137" t="s">
        <v>7</v>
      </c>
    </row>
    <row r="5" spans="1:6" x14ac:dyDescent="0.4">
      <c r="A5" s="124">
        <v>3</v>
      </c>
      <c r="B5" s="224" t="s">
        <v>344</v>
      </c>
      <c r="C5" s="227"/>
      <c r="D5" s="225">
        <v>45780</v>
      </c>
      <c r="E5" s="126">
        <v>45838</v>
      </c>
      <c r="F5" s="127"/>
    </row>
    <row r="6" spans="1:6" x14ac:dyDescent="0.4">
      <c r="A6" s="135">
        <v>4</v>
      </c>
      <c r="B6" s="133" t="s">
        <v>345</v>
      </c>
      <c r="C6" s="135" t="s">
        <v>424</v>
      </c>
      <c r="D6" s="134">
        <v>45768</v>
      </c>
      <c r="E6" s="134">
        <v>45797</v>
      </c>
      <c r="F6" s="137" t="s">
        <v>7</v>
      </c>
    </row>
    <row r="7" spans="1:6" x14ac:dyDescent="0.4">
      <c r="A7" s="135">
        <v>5</v>
      </c>
      <c r="B7" s="133" t="s">
        <v>346</v>
      </c>
      <c r="C7" s="135" t="s">
        <v>424</v>
      </c>
      <c r="D7" s="134">
        <v>45768</v>
      </c>
      <c r="E7" s="134">
        <v>45797</v>
      </c>
      <c r="F7" s="137" t="s">
        <v>7</v>
      </c>
    </row>
    <row r="8" spans="1:6" x14ac:dyDescent="0.4">
      <c r="A8" s="135">
        <v>6</v>
      </c>
      <c r="B8" s="133" t="s">
        <v>347</v>
      </c>
      <c r="C8" s="247" t="s">
        <v>850</v>
      </c>
      <c r="D8" s="134">
        <v>45784</v>
      </c>
      <c r="E8" s="134">
        <v>45848</v>
      </c>
      <c r="F8" s="137" t="s">
        <v>7</v>
      </c>
    </row>
    <row r="9" spans="1:6" x14ac:dyDescent="0.4">
      <c r="A9" s="124">
        <v>7</v>
      </c>
      <c r="B9" s="125" t="s">
        <v>348</v>
      </c>
      <c r="C9" s="227"/>
      <c r="D9" s="126">
        <v>45784</v>
      </c>
      <c r="E9" s="126">
        <v>45835</v>
      </c>
      <c r="F9" s="127"/>
    </row>
    <row r="10" spans="1:6" s="131" customFormat="1" x14ac:dyDescent="0.4">
      <c r="A10" s="137">
        <v>8</v>
      </c>
      <c r="B10" s="139" t="s">
        <v>349</v>
      </c>
      <c r="C10" s="135" t="s">
        <v>350</v>
      </c>
      <c r="D10" s="138">
        <v>45760</v>
      </c>
      <c r="E10" s="138">
        <v>45747</v>
      </c>
      <c r="F10" s="137" t="s">
        <v>7</v>
      </c>
    </row>
    <row r="11" spans="1:6" x14ac:dyDescent="0.4">
      <c r="A11" s="135">
        <v>9</v>
      </c>
      <c r="B11" s="133" t="s">
        <v>351</v>
      </c>
      <c r="C11" s="135" t="s">
        <v>839</v>
      </c>
      <c r="D11" s="134">
        <v>45757</v>
      </c>
      <c r="E11" s="134">
        <v>45838</v>
      </c>
      <c r="F11" s="137" t="s">
        <v>7</v>
      </c>
    </row>
    <row r="12" spans="1:6" x14ac:dyDescent="0.4">
      <c r="A12" s="124">
        <v>10</v>
      </c>
      <c r="B12" s="125" t="s">
        <v>352</v>
      </c>
      <c r="C12" s="226"/>
      <c r="D12" s="126">
        <v>45783</v>
      </c>
      <c r="E12" s="126">
        <v>45845</v>
      </c>
      <c r="F12" s="127"/>
    </row>
    <row r="13" spans="1:6" x14ac:dyDescent="0.4">
      <c r="A13" s="124">
        <v>11</v>
      </c>
      <c r="B13" s="125" t="s">
        <v>353</v>
      </c>
      <c r="C13" s="226"/>
      <c r="D13" s="126">
        <v>45768</v>
      </c>
      <c r="E13" s="126">
        <v>45845</v>
      </c>
      <c r="F13" s="127"/>
    </row>
    <row r="14" spans="1:6" x14ac:dyDescent="0.4">
      <c r="A14" s="124">
        <v>12</v>
      </c>
      <c r="B14" s="125" t="s">
        <v>354</v>
      </c>
      <c r="C14" s="226"/>
      <c r="D14" s="126">
        <v>45768</v>
      </c>
      <c r="E14" s="126">
        <v>45845</v>
      </c>
      <c r="F14" s="127"/>
    </row>
    <row r="15" spans="1:6" x14ac:dyDescent="0.4">
      <c r="A15" s="124">
        <v>13</v>
      </c>
      <c r="B15" s="125" t="s">
        <v>355</v>
      </c>
      <c r="C15" s="226"/>
      <c r="D15" s="126">
        <v>45783</v>
      </c>
      <c r="E15" s="126">
        <v>45845</v>
      </c>
      <c r="F15" s="127"/>
    </row>
    <row r="16" spans="1:6" x14ac:dyDescent="0.4">
      <c r="A16" s="124">
        <v>14</v>
      </c>
      <c r="B16" s="125" t="s">
        <v>356</v>
      </c>
      <c r="C16" s="226"/>
      <c r="D16" s="126">
        <v>45783</v>
      </c>
      <c r="E16" s="126">
        <v>45845</v>
      </c>
      <c r="F16" s="127"/>
    </row>
    <row r="17" spans="1:6" x14ac:dyDescent="0.4">
      <c r="A17" s="124">
        <v>15</v>
      </c>
      <c r="B17" s="125" t="s">
        <v>357</v>
      </c>
      <c r="C17" s="226"/>
      <c r="D17" s="126">
        <v>45783</v>
      </c>
      <c r="E17" s="126">
        <v>45845</v>
      </c>
      <c r="F17" s="127"/>
    </row>
    <row r="18" spans="1:6" x14ac:dyDescent="0.4">
      <c r="A18" s="135">
        <v>16</v>
      </c>
      <c r="B18" s="133" t="s">
        <v>358</v>
      </c>
      <c r="C18" s="135" t="s">
        <v>836</v>
      </c>
      <c r="D18" s="134">
        <v>45768</v>
      </c>
      <c r="E18" s="134">
        <v>45815</v>
      </c>
      <c r="F18" s="137" t="s">
        <v>7</v>
      </c>
    </row>
    <row r="19" spans="1:6" x14ac:dyDescent="0.4">
      <c r="A19" s="135">
        <v>17</v>
      </c>
      <c r="B19" s="133" t="s">
        <v>359</v>
      </c>
      <c r="C19" s="135" t="s">
        <v>848</v>
      </c>
      <c r="D19" s="134">
        <v>45783</v>
      </c>
      <c r="E19" s="134">
        <v>45857</v>
      </c>
      <c r="F19" s="137" t="s">
        <v>7</v>
      </c>
    </row>
    <row r="20" spans="1:6" ht="32" x14ac:dyDescent="0.4">
      <c r="A20" s="135">
        <v>18</v>
      </c>
      <c r="B20" s="133" t="s">
        <v>360</v>
      </c>
      <c r="C20" s="135" t="s">
        <v>849</v>
      </c>
      <c r="D20" s="134">
        <v>45784</v>
      </c>
      <c r="E20" s="134">
        <v>45849</v>
      </c>
      <c r="F20" s="137" t="s">
        <v>7</v>
      </c>
    </row>
    <row r="21" spans="1:6" s="131" customFormat="1" x14ac:dyDescent="0.35">
      <c r="A21" s="128">
        <v>19</v>
      </c>
      <c r="B21" s="129" t="s">
        <v>361</v>
      </c>
      <c r="C21" s="226"/>
      <c r="D21" s="130">
        <v>45803</v>
      </c>
      <c r="E21" s="130">
        <v>45853</v>
      </c>
      <c r="F21" s="127"/>
    </row>
    <row r="22" spans="1:6" s="131" customFormat="1" ht="32" x14ac:dyDescent="0.35">
      <c r="A22" s="128">
        <v>20</v>
      </c>
      <c r="B22" s="129" t="s">
        <v>362</v>
      </c>
      <c r="C22" s="226"/>
      <c r="D22" s="130">
        <v>45839</v>
      </c>
      <c r="E22" s="130">
        <v>45839</v>
      </c>
      <c r="F22" s="12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A9608-91CB-4060-9A02-1EB5B16DD927}">
  <dimension ref="A1:U242"/>
  <sheetViews>
    <sheetView topLeftCell="A51" workbookViewId="0">
      <selection activeCell="I12" sqref="I12"/>
    </sheetView>
  </sheetViews>
  <sheetFormatPr defaultRowHeight="14.5" x14ac:dyDescent="0.35"/>
  <sheetData>
    <row r="1" spans="1:21" x14ac:dyDescent="0.35">
      <c r="A1" s="318" t="s">
        <v>444</v>
      </c>
      <c r="B1" s="318"/>
      <c r="C1" s="318"/>
      <c r="D1" s="318"/>
      <c r="E1" s="318"/>
      <c r="F1" s="318"/>
      <c r="G1" s="318"/>
      <c r="H1" s="319"/>
      <c r="I1" s="320"/>
      <c r="J1" s="321"/>
      <c r="K1" s="322"/>
      <c r="L1" s="322"/>
      <c r="M1" s="322"/>
      <c r="N1" s="317"/>
      <c r="O1" s="317">
        <f ca="1">TODAY()</f>
        <v>45862</v>
      </c>
      <c r="P1" s="322"/>
      <c r="Q1" s="322"/>
      <c r="R1" s="322"/>
      <c r="S1" s="322"/>
      <c r="T1" s="322"/>
      <c r="U1" s="323">
        <f ca="1">TODAY()</f>
        <v>45862</v>
      </c>
    </row>
    <row r="2" spans="1:21" ht="63" x14ac:dyDescent="0.35">
      <c r="A2" s="324" t="s">
        <v>445</v>
      </c>
      <c r="B2" s="324" t="s">
        <v>446</v>
      </c>
      <c r="C2" s="325" t="s">
        <v>446</v>
      </c>
      <c r="D2" s="324" t="s">
        <v>447</v>
      </c>
      <c r="E2" s="326" t="s">
        <v>448</v>
      </c>
      <c r="F2" s="326" t="s">
        <v>449</v>
      </c>
      <c r="G2" s="326" t="s">
        <v>450</v>
      </c>
      <c r="H2" s="326" t="s">
        <v>831</v>
      </c>
      <c r="I2" s="326" t="s">
        <v>451</v>
      </c>
      <c r="J2" s="326" t="s">
        <v>452</v>
      </c>
      <c r="K2" s="326" t="s">
        <v>453</v>
      </c>
      <c r="L2" s="326" t="s">
        <v>454</v>
      </c>
      <c r="M2" s="326" t="s">
        <v>455</v>
      </c>
      <c r="N2" s="326" t="s">
        <v>456</v>
      </c>
      <c r="O2" s="326" t="s">
        <v>457</v>
      </c>
      <c r="P2" s="326" t="s">
        <v>458</v>
      </c>
      <c r="Q2" s="326" t="s">
        <v>459</v>
      </c>
      <c r="R2" s="326" t="s">
        <v>460</v>
      </c>
      <c r="S2" s="326" t="s">
        <v>461</v>
      </c>
      <c r="T2" s="326" t="s">
        <v>319</v>
      </c>
      <c r="U2" s="326" t="s">
        <v>462</v>
      </c>
    </row>
    <row r="3" spans="1:21" x14ac:dyDescent="0.35">
      <c r="A3" s="327">
        <v>1</v>
      </c>
      <c r="B3" s="327" t="s">
        <v>463</v>
      </c>
      <c r="C3" s="328" t="s">
        <v>464</v>
      </c>
      <c r="D3" s="329" t="s">
        <v>465</v>
      </c>
      <c r="E3" s="327" t="s">
        <v>466</v>
      </c>
      <c r="F3" s="327" t="s">
        <v>467</v>
      </c>
      <c r="G3" s="330">
        <v>45698</v>
      </c>
      <c r="H3" s="330">
        <v>45698</v>
      </c>
      <c r="I3" s="327"/>
      <c r="J3" s="327"/>
      <c r="K3" s="320" t="s">
        <v>468</v>
      </c>
      <c r="L3" s="331">
        <v>45698</v>
      </c>
      <c r="M3" s="331"/>
      <c r="N3" s="320"/>
      <c r="O3" s="320"/>
      <c r="P3" s="320"/>
      <c r="Q3" s="327"/>
      <c r="R3" s="327" t="s">
        <v>398</v>
      </c>
      <c r="S3" s="327" t="s">
        <v>469</v>
      </c>
      <c r="T3" s="327" t="s">
        <v>471</v>
      </c>
      <c r="U3" s="327"/>
    </row>
    <row r="4" spans="1:21" x14ac:dyDescent="0.35">
      <c r="A4" s="327"/>
      <c r="B4" s="327"/>
      <c r="C4" s="328"/>
      <c r="D4" s="332"/>
      <c r="E4" s="327"/>
      <c r="F4" s="327"/>
      <c r="G4" s="330"/>
      <c r="H4" s="330"/>
      <c r="I4" s="327"/>
      <c r="J4" s="327"/>
      <c r="K4" s="320" t="s">
        <v>470</v>
      </c>
      <c r="L4" s="331">
        <v>45700</v>
      </c>
      <c r="M4" s="331">
        <v>45700</v>
      </c>
      <c r="N4" s="320"/>
      <c r="O4" s="320">
        <f>M4-L4</f>
        <v>0</v>
      </c>
      <c r="P4" s="320">
        <f>L5-M4</f>
        <v>2</v>
      </c>
      <c r="Q4" s="327"/>
      <c r="R4" s="327"/>
      <c r="S4" s="327"/>
      <c r="T4" s="327"/>
      <c r="U4" s="327"/>
    </row>
    <row r="5" spans="1:21" x14ac:dyDescent="0.35">
      <c r="A5" s="327"/>
      <c r="B5" s="327"/>
      <c r="C5" s="328"/>
      <c r="D5" s="332"/>
      <c r="E5" s="327"/>
      <c r="F5" s="327"/>
      <c r="G5" s="330"/>
      <c r="H5" s="330"/>
      <c r="I5" s="327"/>
      <c r="J5" s="327"/>
      <c r="K5" s="320" t="s">
        <v>472</v>
      </c>
      <c r="L5" s="331">
        <v>45702</v>
      </c>
      <c r="M5" s="331">
        <v>45705</v>
      </c>
      <c r="N5" s="320"/>
      <c r="O5" s="320">
        <f>M5-L5</f>
        <v>3</v>
      </c>
      <c r="P5" s="320">
        <f>L6-M5</f>
        <v>2</v>
      </c>
      <c r="Q5" s="327"/>
      <c r="R5" s="327"/>
      <c r="S5" s="327"/>
      <c r="T5" s="327"/>
      <c r="U5" s="327"/>
    </row>
    <row r="6" spans="1:21" x14ac:dyDescent="0.35">
      <c r="A6" s="327"/>
      <c r="B6" s="327"/>
      <c r="C6" s="328"/>
      <c r="D6" s="332"/>
      <c r="E6" s="327"/>
      <c r="F6" s="327"/>
      <c r="G6" s="330"/>
      <c r="H6" s="330"/>
      <c r="I6" s="327"/>
      <c r="J6" s="327"/>
      <c r="K6" s="320" t="s">
        <v>473</v>
      </c>
      <c r="L6" s="331">
        <v>45707</v>
      </c>
      <c r="M6" s="331"/>
      <c r="N6" s="320"/>
      <c r="O6" s="320"/>
      <c r="P6" s="320"/>
      <c r="Q6" s="327"/>
      <c r="R6" s="327"/>
      <c r="S6" s="327"/>
      <c r="T6" s="327"/>
      <c r="U6" s="327"/>
    </row>
    <row r="7" spans="1:21" x14ac:dyDescent="0.35">
      <c r="A7" s="333">
        <v>2</v>
      </c>
      <c r="B7" s="333" t="s">
        <v>463</v>
      </c>
      <c r="C7" s="334" t="s">
        <v>464</v>
      </c>
      <c r="D7" s="335" t="s">
        <v>475</v>
      </c>
      <c r="E7" s="333" t="s">
        <v>476</v>
      </c>
      <c r="F7" s="333" t="s">
        <v>477</v>
      </c>
      <c r="G7" s="336">
        <v>45740</v>
      </c>
      <c r="H7" s="336">
        <v>45740</v>
      </c>
      <c r="I7" s="333"/>
      <c r="J7" s="333"/>
      <c r="K7" s="337" t="s">
        <v>468</v>
      </c>
      <c r="L7" s="338">
        <v>45740</v>
      </c>
      <c r="M7" s="338">
        <v>45743</v>
      </c>
      <c r="N7" s="337" t="s">
        <v>478</v>
      </c>
      <c r="O7" s="337">
        <f>M7-L7</f>
        <v>3</v>
      </c>
      <c r="P7" s="337">
        <f>L8-M7</f>
        <v>6</v>
      </c>
      <c r="Q7" s="339">
        <f>M8</f>
        <v>45755</v>
      </c>
      <c r="R7" s="333" t="str">
        <f>T7</f>
        <v>Approved</v>
      </c>
      <c r="S7" s="333" t="str">
        <f>N8</f>
        <v>CAT -IV</v>
      </c>
      <c r="T7" s="333" t="s">
        <v>398</v>
      </c>
      <c r="U7" s="333">
        <f>M8-L8</f>
        <v>6</v>
      </c>
    </row>
    <row r="8" spans="1:21" x14ac:dyDescent="0.35">
      <c r="A8" s="333"/>
      <c r="B8" s="333"/>
      <c r="C8" s="334"/>
      <c r="D8" s="335"/>
      <c r="E8" s="333"/>
      <c r="F8" s="333"/>
      <c r="G8" s="336"/>
      <c r="H8" s="336"/>
      <c r="I8" s="333"/>
      <c r="J8" s="333"/>
      <c r="K8" s="337" t="s">
        <v>470</v>
      </c>
      <c r="L8" s="338">
        <v>45749</v>
      </c>
      <c r="M8" s="338">
        <v>45755</v>
      </c>
      <c r="N8" s="337" t="s">
        <v>479</v>
      </c>
      <c r="O8" s="337">
        <f>M8-L8</f>
        <v>6</v>
      </c>
      <c r="P8" s="337"/>
      <c r="Q8" s="339"/>
      <c r="R8" s="333"/>
      <c r="S8" s="333"/>
      <c r="T8" s="333"/>
      <c r="U8" s="333"/>
    </row>
    <row r="9" spans="1:21" ht="52.5" x14ac:dyDescent="0.35">
      <c r="A9" s="337">
        <v>3</v>
      </c>
      <c r="B9" s="337" t="s">
        <v>463</v>
      </c>
      <c r="C9" s="340" t="s">
        <v>464</v>
      </c>
      <c r="D9" s="341" t="s">
        <v>480</v>
      </c>
      <c r="E9" s="337" t="s">
        <v>481</v>
      </c>
      <c r="F9" s="337" t="s">
        <v>467</v>
      </c>
      <c r="G9" s="338">
        <v>45740</v>
      </c>
      <c r="H9" s="338"/>
      <c r="I9" s="337"/>
      <c r="J9" s="337"/>
      <c r="K9" s="337" t="s">
        <v>468</v>
      </c>
      <c r="L9" s="338"/>
      <c r="M9" s="338"/>
      <c r="N9" s="337"/>
      <c r="O9" s="337"/>
      <c r="P9" s="337"/>
      <c r="Q9" s="337"/>
      <c r="R9" s="337"/>
      <c r="S9" s="337"/>
      <c r="T9" s="337" t="s">
        <v>398</v>
      </c>
      <c r="U9" s="337"/>
    </row>
    <row r="10" spans="1:21" x14ac:dyDescent="0.35">
      <c r="A10" s="342">
        <v>4</v>
      </c>
      <c r="B10" s="342" t="s">
        <v>463</v>
      </c>
      <c r="C10" s="343" t="s">
        <v>464</v>
      </c>
      <c r="D10" s="344" t="s">
        <v>483</v>
      </c>
      <c r="E10" s="342" t="s">
        <v>484</v>
      </c>
      <c r="F10" s="342" t="s">
        <v>477</v>
      </c>
      <c r="G10" s="345">
        <v>45768</v>
      </c>
      <c r="H10" s="345">
        <v>45768</v>
      </c>
      <c r="I10" s="342"/>
      <c r="J10" s="342"/>
      <c r="K10" s="337" t="s">
        <v>468</v>
      </c>
      <c r="L10" s="338">
        <v>45768</v>
      </c>
      <c r="M10" s="338">
        <v>45776</v>
      </c>
      <c r="N10" s="337" t="s">
        <v>478</v>
      </c>
      <c r="O10" s="337">
        <f>M10-L10</f>
        <v>8</v>
      </c>
      <c r="P10" s="337"/>
      <c r="Q10" s="346">
        <f>M10</f>
        <v>45776</v>
      </c>
      <c r="R10" s="342" t="s">
        <v>492</v>
      </c>
      <c r="S10" s="342" t="str">
        <f>N10</f>
        <v>CAT -IV R</v>
      </c>
      <c r="T10" s="342" t="s">
        <v>471</v>
      </c>
      <c r="U10" s="342"/>
    </row>
    <row r="11" spans="1:21" x14ac:dyDescent="0.35">
      <c r="A11" s="342"/>
      <c r="B11" s="342"/>
      <c r="C11" s="343"/>
      <c r="D11" s="347"/>
      <c r="E11" s="342"/>
      <c r="F11" s="342"/>
      <c r="G11" s="345"/>
      <c r="H11" s="345"/>
      <c r="I11" s="342"/>
      <c r="J11" s="342"/>
      <c r="K11" s="337" t="s">
        <v>470</v>
      </c>
      <c r="L11" s="338">
        <v>45827</v>
      </c>
      <c r="M11" s="338"/>
      <c r="N11" s="337"/>
      <c r="O11" s="337">
        <f ca="1">O1-L11</f>
        <v>35</v>
      </c>
      <c r="P11" s="337"/>
      <c r="Q11" s="346"/>
      <c r="R11" s="342"/>
      <c r="S11" s="342"/>
      <c r="T11" s="342"/>
      <c r="U11" s="342"/>
    </row>
    <row r="12" spans="1:21" ht="52.5" x14ac:dyDescent="0.35">
      <c r="A12" s="348">
        <v>5</v>
      </c>
      <c r="B12" s="348" t="s">
        <v>463</v>
      </c>
      <c r="C12" s="349" t="s">
        <v>464</v>
      </c>
      <c r="D12" s="350" t="s">
        <v>485</v>
      </c>
      <c r="E12" s="322" t="s">
        <v>486</v>
      </c>
      <c r="F12" s="320" t="s">
        <v>477</v>
      </c>
      <c r="G12" s="331">
        <v>45814</v>
      </c>
      <c r="H12" s="331">
        <v>45820</v>
      </c>
      <c r="I12" s="320"/>
      <c r="J12" s="320"/>
      <c r="K12" s="322"/>
      <c r="L12" s="351"/>
      <c r="M12" s="351"/>
      <c r="N12" s="322"/>
      <c r="O12" s="322"/>
      <c r="P12" s="322"/>
      <c r="Q12" s="322"/>
      <c r="R12" s="322"/>
      <c r="S12" s="322"/>
      <c r="T12" s="322"/>
      <c r="U12" s="322"/>
    </row>
    <row r="13" spans="1:21" x14ac:dyDescent="0.35">
      <c r="A13" s="342">
        <v>6</v>
      </c>
      <c r="B13" s="342" t="s">
        <v>463</v>
      </c>
      <c r="C13" s="343" t="s">
        <v>464</v>
      </c>
      <c r="D13" s="347" t="s">
        <v>487</v>
      </c>
      <c r="E13" s="342" t="s">
        <v>488</v>
      </c>
      <c r="F13" s="342" t="s">
        <v>477</v>
      </c>
      <c r="G13" s="345">
        <v>45814</v>
      </c>
      <c r="H13" s="345">
        <v>45815</v>
      </c>
      <c r="I13" s="342"/>
      <c r="J13" s="342"/>
      <c r="K13" s="337" t="s">
        <v>468</v>
      </c>
      <c r="L13" s="338">
        <v>45815</v>
      </c>
      <c r="M13" s="338">
        <v>45828</v>
      </c>
      <c r="N13" s="337" t="s">
        <v>478</v>
      </c>
      <c r="O13" s="337">
        <f>M13-L13</f>
        <v>13</v>
      </c>
      <c r="P13" s="337"/>
      <c r="Q13" s="337"/>
      <c r="R13" s="342" t="s">
        <v>398</v>
      </c>
      <c r="S13" s="342" t="s">
        <v>479</v>
      </c>
      <c r="T13" s="342" t="s">
        <v>398</v>
      </c>
      <c r="U13" s="342">
        <f>M14-L14</f>
        <v>12</v>
      </c>
    </row>
    <row r="14" spans="1:21" x14ac:dyDescent="0.35">
      <c r="A14" s="342"/>
      <c r="B14" s="342"/>
      <c r="C14" s="343"/>
      <c r="D14" s="347"/>
      <c r="E14" s="342"/>
      <c r="F14" s="342"/>
      <c r="G14" s="345"/>
      <c r="H14" s="345"/>
      <c r="I14" s="342"/>
      <c r="J14" s="342"/>
      <c r="K14" s="337" t="s">
        <v>470</v>
      </c>
      <c r="L14" s="338">
        <v>45834</v>
      </c>
      <c r="M14" s="338">
        <v>45846</v>
      </c>
      <c r="N14" s="337" t="s">
        <v>479</v>
      </c>
      <c r="O14" s="337">
        <f ca="1">O1-L14</f>
        <v>28</v>
      </c>
      <c r="P14" s="337"/>
      <c r="Q14" s="337"/>
      <c r="R14" s="342"/>
      <c r="S14" s="342"/>
      <c r="T14" s="342"/>
      <c r="U14" s="342"/>
    </row>
    <row r="15" spans="1:21" x14ac:dyDescent="0.35">
      <c r="A15" s="333">
        <v>7</v>
      </c>
      <c r="B15" s="333" t="s">
        <v>463</v>
      </c>
      <c r="C15" s="334" t="s">
        <v>464</v>
      </c>
      <c r="D15" s="335" t="s">
        <v>489</v>
      </c>
      <c r="E15" s="333" t="s">
        <v>490</v>
      </c>
      <c r="F15" s="333" t="s">
        <v>467</v>
      </c>
      <c r="G15" s="336">
        <v>45742</v>
      </c>
      <c r="H15" s="336">
        <v>45742</v>
      </c>
      <c r="I15" s="333"/>
      <c r="J15" s="333"/>
      <c r="K15" s="337" t="s">
        <v>468</v>
      </c>
      <c r="L15" s="338">
        <v>45742</v>
      </c>
      <c r="M15" s="338">
        <v>45751</v>
      </c>
      <c r="N15" s="337" t="s">
        <v>491</v>
      </c>
      <c r="O15" s="337">
        <f>M15-L15</f>
        <v>9</v>
      </c>
      <c r="P15" s="337">
        <f>L16-M15</f>
        <v>0</v>
      </c>
      <c r="Q15" s="337"/>
      <c r="R15" s="333" t="s">
        <v>398</v>
      </c>
      <c r="S15" s="333" t="str">
        <f>N16</f>
        <v>CAT - I</v>
      </c>
      <c r="T15" s="333" t="s">
        <v>398</v>
      </c>
      <c r="U15" s="333">
        <f ca="1">U1-L16</f>
        <v>111</v>
      </c>
    </row>
    <row r="16" spans="1:21" x14ac:dyDescent="0.35">
      <c r="A16" s="333"/>
      <c r="B16" s="333"/>
      <c r="C16" s="334"/>
      <c r="D16" s="335"/>
      <c r="E16" s="333"/>
      <c r="F16" s="333"/>
      <c r="G16" s="336"/>
      <c r="H16" s="336"/>
      <c r="I16" s="333"/>
      <c r="J16" s="333"/>
      <c r="K16" s="337" t="s">
        <v>470</v>
      </c>
      <c r="L16" s="338">
        <v>45751</v>
      </c>
      <c r="M16" s="338">
        <v>45833</v>
      </c>
      <c r="N16" s="337" t="s">
        <v>482</v>
      </c>
      <c r="O16" s="337">
        <f>M16-L16</f>
        <v>82</v>
      </c>
      <c r="P16" s="337"/>
      <c r="Q16" s="337"/>
      <c r="R16" s="333"/>
      <c r="S16" s="333"/>
      <c r="T16" s="333"/>
      <c r="U16" s="333"/>
    </row>
    <row r="17" spans="1:21" ht="31.5" x14ac:dyDescent="0.35">
      <c r="A17" s="348">
        <v>8</v>
      </c>
      <c r="B17" s="348" t="s">
        <v>463</v>
      </c>
      <c r="C17" s="349" t="s">
        <v>464</v>
      </c>
      <c r="D17" s="350" t="s">
        <v>493</v>
      </c>
      <c r="E17" s="322" t="s">
        <v>494</v>
      </c>
      <c r="F17" s="322" t="s">
        <v>477</v>
      </c>
      <c r="G17" s="351">
        <v>45771</v>
      </c>
      <c r="H17" s="351">
        <v>45771</v>
      </c>
      <c r="I17" s="322"/>
      <c r="J17" s="322"/>
      <c r="K17" s="322" t="s">
        <v>468</v>
      </c>
      <c r="L17" s="351">
        <v>45772</v>
      </c>
      <c r="M17" s="351">
        <v>45833</v>
      </c>
      <c r="N17" s="322" t="s">
        <v>478</v>
      </c>
      <c r="O17" s="322">
        <f>M17-L17</f>
        <v>61</v>
      </c>
      <c r="P17" s="322">
        <f ca="1">O1-M17</f>
        <v>29</v>
      </c>
      <c r="Q17" s="322"/>
      <c r="R17" s="322" t="s">
        <v>499</v>
      </c>
      <c r="S17" s="322" t="str">
        <f>N17</f>
        <v>CAT -IV R</v>
      </c>
      <c r="T17" s="322" t="s">
        <v>474</v>
      </c>
      <c r="U17" s="322">
        <f ca="1">U1-L17</f>
        <v>90</v>
      </c>
    </row>
    <row r="18" spans="1:21" ht="21" x14ac:dyDescent="0.35">
      <c r="A18" s="320">
        <v>9</v>
      </c>
      <c r="B18" s="320" t="s">
        <v>463</v>
      </c>
      <c r="C18" s="352" t="s">
        <v>464</v>
      </c>
      <c r="D18" s="353" t="s">
        <v>495</v>
      </c>
      <c r="E18" s="320" t="s">
        <v>496</v>
      </c>
      <c r="F18" s="320" t="s">
        <v>477</v>
      </c>
      <c r="G18" s="331"/>
      <c r="H18" s="331"/>
      <c r="I18" s="320"/>
      <c r="J18" s="320"/>
      <c r="K18" s="320"/>
      <c r="L18" s="331"/>
      <c r="M18" s="331"/>
      <c r="N18" s="320"/>
      <c r="O18" s="320"/>
      <c r="P18" s="320"/>
      <c r="Q18" s="320"/>
      <c r="R18" s="320"/>
      <c r="S18" s="320"/>
      <c r="T18" s="320"/>
      <c r="U18" s="320"/>
    </row>
    <row r="19" spans="1:21" x14ac:dyDescent="0.35">
      <c r="A19" s="354">
        <v>10</v>
      </c>
      <c r="B19" s="354" t="s">
        <v>463</v>
      </c>
      <c r="C19" s="355" t="s">
        <v>464</v>
      </c>
      <c r="D19" s="356" t="s">
        <v>497</v>
      </c>
      <c r="E19" s="357" t="s">
        <v>498</v>
      </c>
      <c r="F19" s="358" t="s">
        <v>477</v>
      </c>
      <c r="G19" s="359">
        <v>45772</v>
      </c>
      <c r="H19" s="359">
        <v>45772</v>
      </c>
      <c r="I19" s="358"/>
      <c r="J19" s="358"/>
      <c r="K19" s="322" t="s">
        <v>468</v>
      </c>
      <c r="L19" s="351">
        <v>45772</v>
      </c>
      <c r="M19" s="351">
        <v>45778</v>
      </c>
      <c r="N19" s="322" t="s">
        <v>478</v>
      </c>
      <c r="O19" s="322">
        <f>M19-L19</f>
        <v>6</v>
      </c>
      <c r="P19" s="322">
        <f>L20-M19</f>
        <v>70</v>
      </c>
      <c r="Q19" s="357"/>
      <c r="R19" s="357" t="s">
        <v>492</v>
      </c>
      <c r="S19" s="357" t="str">
        <f>N20</f>
        <v>CAT -IV R</v>
      </c>
      <c r="T19" s="357" t="s">
        <v>474</v>
      </c>
      <c r="U19" s="357">
        <f ca="1">U1-M19</f>
        <v>84</v>
      </c>
    </row>
    <row r="20" spans="1:21" x14ac:dyDescent="0.35">
      <c r="A20" s="354"/>
      <c r="B20" s="354"/>
      <c r="C20" s="355"/>
      <c r="D20" s="356"/>
      <c r="E20" s="357"/>
      <c r="F20" s="358"/>
      <c r="G20" s="359"/>
      <c r="H20" s="359"/>
      <c r="I20" s="358"/>
      <c r="J20" s="358"/>
      <c r="K20" s="322" t="s">
        <v>470</v>
      </c>
      <c r="L20" s="351">
        <v>45848</v>
      </c>
      <c r="M20" s="351">
        <v>45850</v>
      </c>
      <c r="N20" s="322" t="s">
        <v>478</v>
      </c>
      <c r="O20" s="322">
        <f ca="1">O1-L20</f>
        <v>14</v>
      </c>
      <c r="P20" s="322"/>
      <c r="Q20" s="357"/>
      <c r="R20" s="357"/>
      <c r="S20" s="357"/>
      <c r="T20" s="357"/>
      <c r="U20" s="357"/>
    </row>
    <row r="21" spans="1:21" x14ac:dyDescent="0.35">
      <c r="A21" s="333">
        <v>11</v>
      </c>
      <c r="B21" s="333" t="s">
        <v>463</v>
      </c>
      <c r="C21" s="334" t="s">
        <v>464</v>
      </c>
      <c r="D21" s="335" t="s">
        <v>500</v>
      </c>
      <c r="E21" s="333" t="s">
        <v>501</v>
      </c>
      <c r="F21" s="333" t="s">
        <v>467</v>
      </c>
      <c r="G21" s="336">
        <v>45769</v>
      </c>
      <c r="H21" s="336">
        <f>L21</f>
        <v>45769</v>
      </c>
      <c r="I21" s="333"/>
      <c r="J21" s="333"/>
      <c r="K21" s="337" t="s">
        <v>468</v>
      </c>
      <c r="L21" s="338">
        <v>45769</v>
      </c>
      <c r="M21" s="338">
        <v>45771</v>
      </c>
      <c r="N21" s="337" t="s">
        <v>469</v>
      </c>
      <c r="O21" s="337">
        <f>M21-L21</f>
        <v>2</v>
      </c>
      <c r="P21" s="337">
        <f>L22-M21</f>
        <v>6</v>
      </c>
      <c r="Q21" s="339">
        <f>M23</f>
        <v>45793</v>
      </c>
      <c r="R21" s="333" t="s">
        <v>492</v>
      </c>
      <c r="S21" s="333" t="str">
        <f>N23</f>
        <v>CAT - I</v>
      </c>
      <c r="T21" s="333" t="s">
        <v>398</v>
      </c>
      <c r="U21" s="333">
        <f>M23-L23</f>
        <v>7</v>
      </c>
    </row>
    <row r="22" spans="1:21" x14ac:dyDescent="0.35">
      <c r="A22" s="333"/>
      <c r="B22" s="333"/>
      <c r="C22" s="334"/>
      <c r="D22" s="335"/>
      <c r="E22" s="333"/>
      <c r="F22" s="333"/>
      <c r="G22" s="336"/>
      <c r="H22" s="336"/>
      <c r="I22" s="333"/>
      <c r="J22" s="333"/>
      <c r="K22" s="337" t="s">
        <v>470</v>
      </c>
      <c r="L22" s="338">
        <v>45777</v>
      </c>
      <c r="M22" s="338">
        <v>45778</v>
      </c>
      <c r="N22" s="337" t="s">
        <v>491</v>
      </c>
      <c r="O22" s="337">
        <f>M22-L22</f>
        <v>1</v>
      </c>
      <c r="P22" s="337">
        <f>L23-M22</f>
        <v>8</v>
      </c>
      <c r="Q22" s="339"/>
      <c r="R22" s="333"/>
      <c r="S22" s="333"/>
      <c r="T22" s="333"/>
      <c r="U22" s="333"/>
    </row>
    <row r="23" spans="1:21" x14ac:dyDescent="0.35">
      <c r="A23" s="333"/>
      <c r="B23" s="333"/>
      <c r="C23" s="334"/>
      <c r="D23" s="335"/>
      <c r="E23" s="333"/>
      <c r="F23" s="333"/>
      <c r="G23" s="336"/>
      <c r="H23" s="336"/>
      <c r="I23" s="333"/>
      <c r="J23" s="333"/>
      <c r="K23" s="337" t="s">
        <v>472</v>
      </c>
      <c r="L23" s="338">
        <v>45786</v>
      </c>
      <c r="M23" s="338">
        <v>45793</v>
      </c>
      <c r="N23" s="337" t="s">
        <v>482</v>
      </c>
      <c r="O23" s="337">
        <f>M23-L23</f>
        <v>7</v>
      </c>
      <c r="P23" s="337"/>
      <c r="Q23" s="339"/>
      <c r="R23" s="333"/>
      <c r="S23" s="333"/>
      <c r="T23" s="333"/>
      <c r="U23" s="333"/>
    </row>
    <row r="24" spans="1:21" ht="31.5" x14ac:dyDescent="0.35">
      <c r="A24" s="337">
        <v>12</v>
      </c>
      <c r="B24" s="337" t="s">
        <v>463</v>
      </c>
      <c r="C24" s="340" t="s">
        <v>464</v>
      </c>
      <c r="D24" s="341" t="s">
        <v>502</v>
      </c>
      <c r="E24" s="337" t="s">
        <v>503</v>
      </c>
      <c r="F24" s="337" t="s">
        <v>477</v>
      </c>
      <c r="G24" s="338">
        <v>45801</v>
      </c>
      <c r="H24" s="338">
        <v>45843</v>
      </c>
      <c r="I24" s="337"/>
      <c r="J24" s="337"/>
      <c r="K24" s="337" t="s">
        <v>468</v>
      </c>
      <c r="L24" s="338">
        <v>45843</v>
      </c>
      <c r="M24" s="338">
        <v>45845</v>
      </c>
      <c r="N24" s="337" t="s">
        <v>479</v>
      </c>
      <c r="O24" s="337">
        <f>M24-L24</f>
        <v>2</v>
      </c>
      <c r="P24" s="337"/>
      <c r="Q24" s="337"/>
      <c r="R24" s="337" t="s">
        <v>492</v>
      </c>
      <c r="S24" s="337" t="str">
        <f>S21</f>
        <v>CAT - I</v>
      </c>
      <c r="T24" s="337" t="s">
        <v>398</v>
      </c>
      <c r="U24" s="337"/>
    </row>
    <row r="25" spans="1:21" ht="31.5" x14ac:dyDescent="0.35">
      <c r="A25" s="348">
        <v>13</v>
      </c>
      <c r="B25" s="348" t="s">
        <v>463</v>
      </c>
      <c r="C25" s="349" t="s">
        <v>464</v>
      </c>
      <c r="D25" s="350" t="s">
        <v>504</v>
      </c>
      <c r="E25" s="322" t="s">
        <v>505</v>
      </c>
      <c r="F25" s="320" t="s">
        <v>477</v>
      </c>
      <c r="G25" s="331">
        <v>45741</v>
      </c>
      <c r="H25" s="331"/>
      <c r="I25" s="320"/>
      <c r="J25" s="320"/>
      <c r="K25" s="322"/>
      <c r="L25" s="351"/>
      <c r="M25" s="351"/>
      <c r="N25" s="322"/>
      <c r="O25" s="322"/>
      <c r="P25" s="322"/>
      <c r="Q25" s="322"/>
      <c r="R25" s="322"/>
      <c r="S25" s="322"/>
      <c r="T25" s="322"/>
      <c r="U25" s="322"/>
    </row>
    <row r="26" spans="1:21" ht="42" x14ac:dyDescent="0.35">
      <c r="A26" s="348">
        <v>14</v>
      </c>
      <c r="B26" s="348" t="s">
        <v>463</v>
      </c>
      <c r="C26" s="349" t="s">
        <v>464</v>
      </c>
      <c r="D26" s="350" t="s">
        <v>506</v>
      </c>
      <c r="E26" s="322" t="s">
        <v>507</v>
      </c>
      <c r="F26" s="320" t="s">
        <v>467</v>
      </c>
      <c r="G26" s="331">
        <v>45741</v>
      </c>
      <c r="H26" s="331"/>
      <c r="I26" s="320"/>
      <c r="J26" s="320"/>
      <c r="K26" s="322"/>
      <c r="L26" s="351"/>
      <c r="M26" s="351"/>
      <c r="N26" s="322"/>
      <c r="O26" s="322"/>
      <c r="P26" s="322"/>
      <c r="Q26" s="322"/>
      <c r="R26" s="322"/>
      <c r="S26" s="322"/>
      <c r="T26" s="322"/>
      <c r="U26" s="322"/>
    </row>
    <row r="27" spans="1:21" x14ac:dyDescent="0.35">
      <c r="A27" s="342">
        <v>1</v>
      </c>
      <c r="B27" s="342" t="s">
        <v>6</v>
      </c>
      <c r="C27" s="343" t="s">
        <v>508</v>
      </c>
      <c r="D27" s="347" t="s">
        <v>509</v>
      </c>
      <c r="E27" s="342" t="s">
        <v>510</v>
      </c>
      <c r="F27" s="342" t="s">
        <v>467</v>
      </c>
      <c r="G27" s="345">
        <v>45727</v>
      </c>
      <c r="H27" s="345">
        <f>L27</f>
        <v>45727</v>
      </c>
      <c r="I27" s="342"/>
      <c r="J27" s="342"/>
      <c r="K27" s="337" t="s">
        <v>468</v>
      </c>
      <c r="L27" s="338">
        <v>45727</v>
      </c>
      <c r="M27" s="338">
        <v>45736</v>
      </c>
      <c r="N27" s="337" t="s">
        <v>469</v>
      </c>
      <c r="O27" s="337">
        <f>M27-L27</f>
        <v>9</v>
      </c>
      <c r="P27" s="337">
        <f>L28-M27</f>
        <v>19</v>
      </c>
      <c r="Q27" s="342"/>
      <c r="R27" s="342" t="s">
        <v>398</v>
      </c>
      <c r="S27" s="342" t="str">
        <f>N29</f>
        <v>CAT - I</v>
      </c>
      <c r="T27" s="342" t="s">
        <v>398</v>
      </c>
      <c r="U27" s="342">
        <f ca="1">U1-L29</f>
        <v>57</v>
      </c>
    </row>
    <row r="28" spans="1:21" x14ac:dyDescent="0.35">
      <c r="A28" s="342"/>
      <c r="B28" s="342"/>
      <c r="C28" s="343"/>
      <c r="D28" s="347"/>
      <c r="E28" s="342"/>
      <c r="F28" s="342"/>
      <c r="G28" s="345"/>
      <c r="H28" s="345"/>
      <c r="I28" s="342"/>
      <c r="J28" s="342"/>
      <c r="K28" s="337" t="s">
        <v>470</v>
      </c>
      <c r="L28" s="338">
        <v>45755</v>
      </c>
      <c r="M28" s="338">
        <v>45758</v>
      </c>
      <c r="N28" s="337" t="s">
        <v>491</v>
      </c>
      <c r="O28" s="337">
        <f>M28-L28</f>
        <v>3</v>
      </c>
      <c r="P28" s="337">
        <f>L29-M28</f>
        <v>47</v>
      </c>
      <c r="Q28" s="342"/>
      <c r="R28" s="342"/>
      <c r="S28" s="342"/>
      <c r="T28" s="342"/>
      <c r="U28" s="342"/>
    </row>
    <row r="29" spans="1:21" x14ac:dyDescent="0.35">
      <c r="A29" s="342"/>
      <c r="B29" s="342"/>
      <c r="C29" s="343"/>
      <c r="D29" s="347"/>
      <c r="E29" s="342"/>
      <c r="F29" s="342"/>
      <c r="G29" s="345"/>
      <c r="H29" s="345"/>
      <c r="I29" s="342"/>
      <c r="J29" s="342"/>
      <c r="K29" s="337" t="s">
        <v>472</v>
      </c>
      <c r="L29" s="338">
        <v>45805</v>
      </c>
      <c r="M29" s="338">
        <v>45810</v>
      </c>
      <c r="N29" s="337" t="s">
        <v>482</v>
      </c>
      <c r="O29" s="337">
        <f>M29-L29</f>
        <v>5</v>
      </c>
      <c r="P29" s="337"/>
      <c r="Q29" s="342"/>
      <c r="R29" s="342"/>
      <c r="S29" s="342"/>
      <c r="T29" s="342"/>
      <c r="U29" s="342"/>
    </row>
    <row r="30" spans="1:21" x14ac:dyDescent="0.35">
      <c r="A30" s="342">
        <v>2</v>
      </c>
      <c r="B30" s="342" t="s">
        <v>6</v>
      </c>
      <c r="C30" s="343" t="s">
        <v>508</v>
      </c>
      <c r="D30" s="347" t="s">
        <v>832</v>
      </c>
      <c r="E30" s="342" t="s">
        <v>511</v>
      </c>
      <c r="F30" s="342" t="s">
        <v>467</v>
      </c>
      <c r="G30" s="345">
        <v>45805</v>
      </c>
      <c r="H30" s="345">
        <f>L30</f>
        <v>45811</v>
      </c>
      <c r="I30" s="342"/>
      <c r="J30" s="342"/>
      <c r="K30" s="337" t="s">
        <v>468</v>
      </c>
      <c r="L30" s="338">
        <v>45811</v>
      </c>
      <c r="M30" s="338">
        <v>45818</v>
      </c>
      <c r="N30" s="337" t="s">
        <v>469</v>
      </c>
      <c r="O30" s="337">
        <f>M30-L30</f>
        <v>7</v>
      </c>
      <c r="P30" s="337">
        <f>L31-M30</f>
        <v>15</v>
      </c>
      <c r="Q30" s="342"/>
      <c r="R30" s="342" t="s">
        <v>492</v>
      </c>
      <c r="S30" s="342" t="str">
        <f>N31</f>
        <v>CAT - I</v>
      </c>
      <c r="T30" s="342" t="s">
        <v>398</v>
      </c>
      <c r="U30" s="342">
        <f ca="1">U1-L30</f>
        <v>51</v>
      </c>
    </row>
    <row r="31" spans="1:21" x14ac:dyDescent="0.35">
      <c r="A31" s="342"/>
      <c r="B31" s="342"/>
      <c r="C31" s="343"/>
      <c r="D31" s="347"/>
      <c r="E31" s="342"/>
      <c r="F31" s="342"/>
      <c r="G31" s="345"/>
      <c r="H31" s="345"/>
      <c r="I31" s="342"/>
      <c r="J31" s="342"/>
      <c r="K31" s="337" t="s">
        <v>470</v>
      </c>
      <c r="L31" s="338">
        <v>45833</v>
      </c>
      <c r="M31" s="338">
        <v>45846</v>
      </c>
      <c r="N31" s="337" t="s">
        <v>482</v>
      </c>
      <c r="O31" s="337">
        <f ca="1">O1-L31</f>
        <v>29</v>
      </c>
      <c r="P31" s="337"/>
      <c r="Q31" s="342"/>
      <c r="R31" s="342"/>
      <c r="S31" s="342"/>
      <c r="T31" s="342"/>
      <c r="U31" s="342"/>
    </row>
    <row r="32" spans="1:21" x14ac:dyDescent="0.35">
      <c r="A32" s="354">
        <v>3</v>
      </c>
      <c r="B32" s="354" t="s">
        <v>6</v>
      </c>
      <c r="C32" s="355" t="s">
        <v>508</v>
      </c>
      <c r="D32" s="356" t="s">
        <v>512</v>
      </c>
      <c r="E32" s="357" t="s">
        <v>513</v>
      </c>
      <c r="F32" s="358" t="s">
        <v>467</v>
      </c>
      <c r="G32" s="359">
        <v>45795</v>
      </c>
      <c r="H32" s="359">
        <f>L32</f>
        <v>45813</v>
      </c>
      <c r="I32" s="320"/>
      <c r="J32" s="320"/>
      <c r="K32" s="322" t="s">
        <v>468</v>
      </c>
      <c r="L32" s="351">
        <v>45813</v>
      </c>
      <c r="M32" s="351">
        <v>45828</v>
      </c>
      <c r="N32" s="322" t="s">
        <v>469</v>
      </c>
      <c r="O32" s="322">
        <f t="shared" ref="O32:O38" si="0">M32-L32</f>
        <v>15</v>
      </c>
      <c r="P32" s="322">
        <f>L33-M32</f>
        <v>21</v>
      </c>
      <c r="Q32" s="357"/>
      <c r="R32" s="357" t="s">
        <v>492</v>
      </c>
      <c r="S32" s="357" t="str">
        <f>N32</f>
        <v>CAT - III</v>
      </c>
      <c r="T32" s="357" t="s">
        <v>471</v>
      </c>
      <c r="U32" s="357">
        <f ca="1">U1-L32</f>
        <v>49</v>
      </c>
    </row>
    <row r="33" spans="1:21" x14ac:dyDescent="0.35">
      <c r="A33" s="354"/>
      <c r="B33" s="354"/>
      <c r="C33" s="355"/>
      <c r="D33" s="356"/>
      <c r="E33" s="357"/>
      <c r="F33" s="358"/>
      <c r="G33" s="359"/>
      <c r="H33" s="359"/>
      <c r="I33" s="360"/>
      <c r="J33" s="360"/>
      <c r="K33" s="322" t="s">
        <v>470</v>
      </c>
      <c r="L33" s="351">
        <v>45849</v>
      </c>
      <c r="M33" s="351"/>
      <c r="N33" s="322"/>
      <c r="O33" s="322">
        <f ca="1">O1-L33</f>
        <v>13</v>
      </c>
      <c r="P33" s="322"/>
      <c r="Q33" s="357"/>
      <c r="R33" s="357"/>
      <c r="S33" s="357"/>
      <c r="T33" s="357"/>
      <c r="U33" s="357"/>
    </row>
    <row r="34" spans="1:21" x14ac:dyDescent="0.35">
      <c r="A34" s="342">
        <v>4</v>
      </c>
      <c r="B34" s="342" t="s">
        <v>6</v>
      </c>
      <c r="C34" s="343" t="s">
        <v>508</v>
      </c>
      <c r="D34" s="344" t="s">
        <v>514</v>
      </c>
      <c r="E34" s="342" t="s">
        <v>515</v>
      </c>
      <c r="F34" s="342" t="s">
        <v>467</v>
      </c>
      <c r="G34" s="345">
        <v>45751</v>
      </c>
      <c r="H34" s="345">
        <f>L34</f>
        <v>45727</v>
      </c>
      <c r="I34" s="342"/>
      <c r="J34" s="342"/>
      <c r="K34" s="337" t="s">
        <v>468</v>
      </c>
      <c r="L34" s="338">
        <v>45727</v>
      </c>
      <c r="M34" s="338">
        <v>45736</v>
      </c>
      <c r="N34" s="337" t="s">
        <v>491</v>
      </c>
      <c r="O34" s="337">
        <f t="shared" si="0"/>
        <v>9</v>
      </c>
      <c r="P34" s="337">
        <f>L35-M34</f>
        <v>19</v>
      </c>
      <c r="Q34" s="361">
        <f>M38</f>
        <v>45825</v>
      </c>
      <c r="R34" s="342" t="s">
        <v>492</v>
      </c>
      <c r="S34" s="342" t="str">
        <f>N39</f>
        <v>CAT - I</v>
      </c>
      <c r="T34" s="342" t="s">
        <v>398</v>
      </c>
      <c r="U34" s="342">
        <f>M36-L36</f>
        <v>1</v>
      </c>
    </row>
    <row r="35" spans="1:21" x14ac:dyDescent="0.35">
      <c r="A35" s="342"/>
      <c r="B35" s="342"/>
      <c r="C35" s="343"/>
      <c r="D35" s="347"/>
      <c r="E35" s="342"/>
      <c r="F35" s="342"/>
      <c r="G35" s="345"/>
      <c r="H35" s="345"/>
      <c r="I35" s="342"/>
      <c r="J35" s="342"/>
      <c r="K35" s="337" t="s">
        <v>470</v>
      </c>
      <c r="L35" s="338">
        <v>45755</v>
      </c>
      <c r="M35" s="338">
        <v>45758</v>
      </c>
      <c r="N35" s="337" t="s">
        <v>482</v>
      </c>
      <c r="O35" s="337">
        <f t="shared" si="0"/>
        <v>3</v>
      </c>
      <c r="P35" s="337">
        <f>L36-M35</f>
        <v>25</v>
      </c>
      <c r="Q35" s="361"/>
      <c r="R35" s="342"/>
      <c r="S35" s="342"/>
      <c r="T35" s="342"/>
      <c r="U35" s="342"/>
    </row>
    <row r="36" spans="1:21" x14ac:dyDescent="0.35">
      <c r="A36" s="342"/>
      <c r="B36" s="342"/>
      <c r="C36" s="343"/>
      <c r="D36" s="347"/>
      <c r="E36" s="342"/>
      <c r="F36" s="342"/>
      <c r="G36" s="345"/>
      <c r="H36" s="345"/>
      <c r="I36" s="342"/>
      <c r="J36" s="342"/>
      <c r="K36" s="337" t="s">
        <v>472</v>
      </c>
      <c r="L36" s="338">
        <v>45783</v>
      </c>
      <c r="M36" s="338">
        <v>45784</v>
      </c>
      <c r="N36" s="337" t="s">
        <v>482</v>
      </c>
      <c r="O36" s="337">
        <f t="shared" si="0"/>
        <v>1</v>
      </c>
      <c r="P36" s="337">
        <f>L37-M36</f>
        <v>21</v>
      </c>
      <c r="Q36" s="361"/>
      <c r="R36" s="342"/>
      <c r="S36" s="342"/>
      <c r="T36" s="342"/>
      <c r="U36" s="342"/>
    </row>
    <row r="37" spans="1:21" x14ac:dyDescent="0.35">
      <c r="A37" s="342"/>
      <c r="B37" s="342"/>
      <c r="C37" s="343"/>
      <c r="D37" s="347"/>
      <c r="E37" s="342"/>
      <c r="F37" s="342"/>
      <c r="G37" s="345"/>
      <c r="H37" s="345"/>
      <c r="I37" s="342"/>
      <c r="J37" s="342"/>
      <c r="K37" s="337" t="s">
        <v>473</v>
      </c>
      <c r="L37" s="338">
        <v>45805</v>
      </c>
      <c r="M37" s="338">
        <v>45807</v>
      </c>
      <c r="N37" s="337" t="s">
        <v>491</v>
      </c>
      <c r="O37" s="337">
        <f t="shared" si="0"/>
        <v>2</v>
      </c>
      <c r="P37" s="337"/>
      <c r="Q37" s="361"/>
      <c r="R37" s="342"/>
      <c r="S37" s="342"/>
      <c r="T37" s="342"/>
      <c r="U37" s="342"/>
    </row>
    <row r="38" spans="1:21" x14ac:dyDescent="0.35">
      <c r="A38" s="342"/>
      <c r="B38" s="342"/>
      <c r="C38" s="343"/>
      <c r="D38" s="347"/>
      <c r="E38" s="342"/>
      <c r="F38" s="342"/>
      <c r="G38" s="345"/>
      <c r="H38" s="345"/>
      <c r="I38" s="342"/>
      <c r="J38" s="342"/>
      <c r="K38" s="337" t="s">
        <v>835</v>
      </c>
      <c r="L38" s="338">
        <v>45825</v>
      </c>
      <c r="M38" s="338">
        <v>45825</v>
      </c>
      <c r="N38" s="337" t="s">
        <v>482</v>
      </c>
      <c r="O38" s="337">
        <f t="shared" si="0"/>
        <v>0</v>
      </c>
      <c r="P38" s="337"/>
      <c r="Q38" s="361"/>
      <c r="R38" s="342"/>
      <c r="S38" s="342"/>
      <c r="T38" s="342"/>
      <c r="U38" s="342"/>
    </row>
    <row r="39" spans="1:21" x14ac:dyDescent="0.35">
      <c r="A39" s="342"/>
      <c r="B39" s="342"/>
      <c r="C39" s="343"/>
      <c r="D39" s="347"/>
      <c r="E39" s="342"/>
      <c r="F39" s="342"/>
      <c r="G39" s="345"/>
      <c r="H39" s="345"/>
      <c r="I39" s="362"/>
      <c r="J39" s="362"/>
      <c r="K39" s="337" t="s">
        <v>842</v>
      </c>
      <c r="L39" s="338">
        <v>45855</v>
      </c>
      <c r="M39" s="338">
        <v>45859</v>
      </c>
      <c r="N39" s="337" t="s">
        <v>482</v>
      </c>
      <c r="O39" s="337">
        <f>M39-L39</f>
        <v>4</v>
      </c>
      <c r="P39" s="337"/>
      <c r="Q39" s="361"/>
      <c r="R39" s="342"/>
      <c r="S39" s="342"/>
      <c r="T39" s="342"/>
      <c r="U39" s="342"/>
    </row>
    <row r="40" spans="1:21" x14ac:dyDescent="0.35">
      <c r="A40" s="342">
        <v>5</v>
      </c>
      <c r="B40" s="342" t="s">
        <v>6</v>
      </c>
      <c r="C40" s="343" t="s">
        <v>508</v>
      </c>
      <c r="D40" s="347" t="s">
        <v>516</v>
      </c>
      <c r="E40" s="342" t="s">
        <v>518</v>
      </c>
      <c r="F40" s="342" t="s">
        <v>467</v>
      </c>
      <c r="G40" s="345">
        <v>45811</v>
      </c>
      <c r="H40" s="345">
        <f>L40</f>
        <v>45811</v>
      </c>
      <c r="I40" s="342"/>
      <c r="J40" s="342"/>
      <c r="K40" s="337" t="s">
        <v>468</v>
      </c>
      <c r="L40" s="338">
        <v>45811</v>
      </c>
      <c r="M40" s="338">
        <v>45818</v>
      </c>
      <c r="N40" s="337" t="s">
        <v>469</v>
      </c>
      <c r="O40" s="337">
        <f>M40-L40</f>
        <v>7</v>
      </c>
      <c r="P40" s="337">
        <f>L41-M40</f>
        <v>15</v>
      </c>
      <c r="Q40" s="342"/>
      <c r="R40" s="342" t="s">
        <v>492</v>
      </c>
      <c r="S40" s="342" t="str">
        <f>N41</f>
        <v>CAT - I</v>
      </c>
      <c r="T40" s="342" t="s">
        <v>398</v>
      </c>
      <c r="U40" s="337">
        <f ca="1">U1-L40</f>
        <v>51</v>
      </c>
    </row>
    <row r="41" spans="1:21" x14ac:dyDescent="0.35">
      <c r="A41" s="342"/>
      <c r="B41" s="342"/>
      <c r="C41" s="343"/>
      <c r="D41" s="347"/>
      <c r="E41" s="342"/>
      <c r="F41" s="342"/>
      <c r="G41" s="345"/>
      <c r="H41" s="345"/>
      <c r="I41" s="342"/>
      <c r="J41" s="342"/>
      <c r="K41" s="337" t="s">
        <v>470</v>
      </c>
      <c r="L41" s="338">
        <v>45833</v>
      </c>
      <c r="M41" s="338">
        <v>45846</v>
      </c>
      <c r="N41" s="337" t="s">
        <v>482</v>
      </c>
      <c r="O41" s="337">
        <f>M41-L41</f>
        <v>13</v>
      </c>
      <c r="P41" s="337"/>
      <c r="Q41" s="342"/>
      <c r="R41" s="342"/>
      <c r="S41" s="342"/>
      <c r="T41" s="342"/>
      <c r="U41" s="337"/>
    </row>
    <row r="42" spans="1:21" x14ac:dyDescent="0.35">
      <c r="A42" s="333">
        <v>6</v>
      </c>
      <c r="B42" s="333" t="s">
        <v>6</v>
      </c>
      <c r="C42" s="334" t="s">
        <v>508</v>
      </c>
      <c r="D42" s="335" t="s">
        <v>517</v>
      </c>
      <c r="E42" s="333" t="s">
        <v>518</v>
      </c>
      <c r="F42" s="333" t="s">
        <v>467</v>
      </c>
      <c r="G42" s="336">
        <v>45751</v>
      </c>
      <c r="H42" s="336">
        <f>L42</f>
        <v>45727</v>
      </c>
      <c r="I42" s="333"/>
      <c r="J42" s="333"/>
      <c r="K42" s="337" t="s">
        <v>468</v>
      </c>
      <c r="L42" s="338">
        <v>45727</v>
      </c>
      <c r="M42" s="338">
        <v>45736</v>
      </c>
      <c r="N42" s="337" t="s">
        <v>469</v>
      </c>
      <c r="O42" s="337">
        <f t="shared" ref="O42:O58" si="1">M42-L42</f>
        <v>9</v>
      </c>
      <c r="P42" s="337">
        <f>L43-M42</f>
        <v>19</v>
      </c>
      <c r="Q42" s="363">
        <v>45758</v>
      </c>
      <c r="R42" s="333" t="s">
        <v>499</v>
      </c>
      <c r="S42" s="333" t="str">
        <f>N43</f>
        <v>CAT - I</v>
      </c>
      <c r="T42" s="333" t="s">
        <v>398</v>
      </c>
      <c r="U42" s="333"/>
    </row>
    <row r="43" spans="1:21" x14ac:dyDescent="0.35">
      <c r="A43" s="333"/>
      <c r="B43" s="333"/>
      <c r="C43" s="334"/>
      <c r="D43" s="335"/>
      <c r="E43" s="333"/>
      <c r="F43" s="333"/>
      <c r="G43" s="336"/>
      <c r="H43" s="336"/>
      <c r="I43" s="333"/>
      <c r="J43" s="333"/>
      <c r="K43" s="337" t="s">
        <v>470</v>
      </c>
      <c r="L43" s="338">
        <v>45755</v>
      </c>
      <c r="M43" s="338">
        <v>45758</v>
      </c>
      <c r="N43" s="337" t="s">
        <v>482</v>
      </c>
      <c r="O43" s="337">
        <f t="shared" si="1"/>
        <v>3</v>
      </c>
      <c r="P43" s="337"/>
      <c r="Q43" s="363"/>
      <c r="R43" s="333"/>
      <c r="S43" s="333"/>
      <c r="T43" s="333"/>
      <c r="U43" s="333"/>
    </row>
    <row r="44" spans="1:21" x14ac:dyDescent="0.35">
      <c r="A44" s="342">
        <v>7</v>
      </c>
      <c r="B44" s="342" t="s">
        <v>6</v>
      </c>
      <c r="C44" s="343" t="s">
        <v>508</v>
      </c>
      <c r="D44" s="347" t="s">
        <v>519</v>
      </c>
      <c r="E44" s="342" t="s">
        <v>520</v>
      </c>
      <c r="F44" s="342" t="s">
        <v>477</v>
      </c>
      <c r="G44" s="345">
        <v>45769</v>
      </c>
      <c r="H44" s="345">
        <f>L44</f>
        <v>45769</v>
      </c>
      <c r="I44" s="342"/>
      <c r="J44" s="342"/>
      <c r="K44" s="337" t="s">
        <v>468</v>
      </c>
      <c r="L44" s="338">
        <v>45769</v>
      </c>
      <c r="M44" s="338">
        <v>45779</v>
      </c>
      <c r="N44" s="337" t="s">
        <v>521</v>
      </c>
      <c r="O44" s="337">
        <f t="shared" si="1"/>
        <v>10</v>
      </c>
      <c r="P44" s="337">
        <f>L45-M44</f>
        <v>3</v>
      </c>
      <c r="Q44" s="346">
        <f>M44</f>
        <v>45779</v>
      </c>
      <c r="R44" s="342" t="s">
        <v>492</v>
      </c>
      <c r="S44" s="342" t="str">
        <f>N45</f>
        <v xml:space="preserve">CAT -IV </v>
      </c>
      <c r="T44" s="342" t="s">
        <v>398</v>
      </c>
      <c r="U44" s="342"/>
    </row>
    <row r="45" spans="1:21" x14ac:dyDescent="0.35">
      <c r="A45" s="342"/>
      <c r="B45" s="342"/>
      <c r="C45" s="343"/>
      <c r="D45" s="347"/>
      <c r="E45" s="342"/>
      <c r="F45" s="342"/>
      <c r="G45" s="345"/>
      <c r="H45" s="345"/>
      <c r="I45" s="342"/>
      <c r="J45" s="342"/>
      <c r="K45" s="337" t="s">
        <v>470</v>
      </c>
      <c r="L45" s="338">
        <v>45782</v>
      </c>
      <c r="M45" s="338">
        <v>45784</v>
      </c>
      <c r="N45" s="337" t="s">
        <v>521</v>
      </c>
      <c r="O45" s="337">
        <f t="shared" si="1"/>
        <v>2</v>
      </c>
      <c r="P45" s="337">
        <f>L47-M45</f>
        <v>41</v>
      </c>
      <c r="Q45" s="346"/>
      <c r="R45" s="342"/>
      <c r="S45" s="342"/>
      <c r="T45" s="342"/>
      <c r="U45" s="342"/>
    </row>
    <row r="46" spans="1:21" x14ac:dyDescent="0.35">
      <c r="A46" s="342"/>
      <c r="B46" s="342"/>
      <c r="C46" s="343"/>
      <c r="D46" s="347"/>
      <c r="E46" s="342"/>
      <c r="F46" s="342"/>
      <c r="G46" s="345"/>
      <c r="H46" s="345"/>
      <c r="I46" s="342"/>
      <c r="J46" s="342"/>
      <c r="K46" s="337" t="s">
        <v>472</v>
      </c>
      <c r="L46" s="338">
        <v>45805</v>
      </c>
      <c r="M46" s="338">
        <v>45807</v>
      </c>
      <c r="N46" s="337" t="s">
        <v>521</v>
      </c>
      <c r="O46" s="337">
        <f t="shared" si="1"/>
        <v>2</v>
      </c>
      <c r="P46" s="337">
        <f>L47-M46</f>
        <v>18</v>
      </c>
      <c r="Q46" s="346"/>
      <c r="R46" s="342"/>
      <c r="S46" s="342"/>
      <c r="T46" s="342"/>
      <c r="U46" s="342"/>
    </row>
    <row r="47" spans="1:21" x14ac:dyDescent="0.35">
      <c r="A47" s="342"/>
      <c r="B47" s="342"/>
      <c r="C47" s="343"/>
      <c r="D47" s="347"/>
      <c r="E47" s="342"/>
      <c r="F47" s="342"/>
      <c r="G47" s="345"/>
      <c r="H47" s="345"/>
      <c r="I47" s="342"/>
      <c r="J47" s="342"/>
      <c r="K47" s="337" t="s">
        <v>473</v>
      </c>
      <c r="L47" s="338">
        <v>45825</v>
      </c>
      <c r="M47" s="338">
        <v>45825</v>
      </c>
      <c r="N47" s="337" t="s">
        <v>521</v>
      </c>
      <c r="O47" s="337">
        <f t="shared" si="1"/>
        <v>0</v>
      </c>
      <c r="P47" s="337"/>
      <c r="Q47" s="346"/>
      <c r="R47" s="342"/>
      <c r="S47" s="342"/>
      <c r="T47" s="342"/>
      <c r="U47" s="342"/>
    </row>
    <row r="48" spans="1:21" x14ac:dyDescent="0.35">
      <c r="A48" s="342"/>
      <c r="B48" s="342"/>
      <c r="C48" s="343"/>
      <c r="D48" s="347"/>
      <c r="E48" s="342"/>
      <c r="F48" s="342"/>
      <c r="G48" s="345"/>
      <c r="H48" s="345"/>
      <c r="I48" s="342"/>
      <c r="J48" s="342"/>
      <c r="K48" s="364" t="s">
        <v>835</v>
      </c>
      <c r="L48" s="365">
        <v>45838</v>
      </c>
      <c r="M48" s="365">
        <v>45838</v>
      </c>
      <c r="N48" s="364" t="s">
        <v>521</v>
      </c>
      <c r="O48" s="364">
        <f t="shared" si="1"/>
        <v>0</v>
      </c>
      <c r="P48" s="364"/>
      <c r="Q48" s="346"/>
      <c r="R48" s="342"/>
      <c r="S48" s="342"/>
      <c r="T48" s="342"/>
      <c r="U48" s="366"/>
    </row>
    <row r="49" spans="1:21" x14ac:dyDescent="0.35">
      <c r="A49" s="342">
        <v>8</v>
      </c>
      <c r="B49" s="342" t="s">
        <v>6</v>
      </c>
      <c r="C49" s="343" t="s">
        <v>508</v>
      </c>
      <c r="D49" s="347" t="s">
        <v>522</v>
      </c>
      <c r="E49" s="342" t="s">
        <v>523</v>
      </c>
      <c r="F49" s="342" t="s">
        <v>477</v>
      </c>
      <c r="G49" s="345">
        <v>45811</v>
      </c>
      <c r="H49" s="345">
        <f>L49</f>
        <v>45811</v>
      </c>
      <c r="I49" s="342"/>
      <c r="J49" s="342"/>
      <c r="K49" s="367" t="s">
        <v>468</v>
      </c>
      <c r="L49" s="368">
        <v>45811</v>
      </c>
      <c r="M49" s="368">
        <v>45818</v>
      </c>
      <c r="N49" s="367" t="s">
        <v>478</v>
      </c>
      <c r="O49" s="367">
        <f t="shared" si="1"/>
        <v>7</v>
      </c>
      <c r="P49" s="367">
        <f>L50-M49</f>
        <v>15</v>
      </c>
      <c r="Q49" s="369"/>
      <c r="R49" s="342" t="s">
        <v>492</v>
      </c>
      <c r="S49" s="342" t="str">
        <f>N50</f>
        <v xml:space="preserve">CAT -IV </v>
      </c>
      <c r="T49" s="342" t="s">
        <v>398</v>
      </c>
      <c r="U49" s="337"/>
    </row>
    <row r="50" spans="1:21" x14ac:dyDescent="0.35">
      <c r="A50" s="342"/>
      <c r="B50" s="342"/>
      <c r="C50" s="343"/>
      <c r="D50" s="347"/>
      <c r="E50" s="342"/>
      <c r="F50" s="342"/>
      <c r="G50" s="345"/>
      <c r="H50" s="345"/>
      <c r="I50" s="342"/>
      <c r="J50" s="342"/>
      <c r="K50" s="367" t="s">
        <v>470</v>
      </c>
      <c r="L50" s="368">
        <v>45833</v>
      </c>
      <c r="M50" s="368">
        <v>45846</v>
      </c>
      <c r="N50" s="367" t="s">
        <v>521</v>
      </c>
      <c r="O50" s="367">
        <f t="shared" si="1"/>
        <v>13</v>
      </c>
      <c r="P50" s="367"/>
      <c r="Q50" s="369"/>
      <c r="R50" s="342"/>
      <c r="S50" s="342"/>
      <c r="T50" s="342"/>
      <c r="U50" s="337"/>
    </row>
    <row r="51" spans="1:21" ht="42" x14ac:dyDescent="0.35">
      <c r="A51" s="337">
        <v>9</v>
      </c>
      <c r="B51" s="337" t="s">
        <v>6</v>
      </c>
      <c r="C51" s="340" t="s">
        <v>508</v>
      </c>
      <c r="D51" s="341" t="s">
        <v>524</v>
      </c>
      <c r="E51" s="337" t="s">
        <v>525</v>
      </c>
      <c r="F51" s="337" t="s">
        <v>477</v>
      </c>
      <c r="G51" s="338">
        <v>45824</v>
      </c>
      <c r="H51" s="338">
        <v>45842</v>
      </c>
      <c r="I51" s="337"/>
      <c r="J51" s="337"/>
      <c r="K51" s="366" t="s">
        <v>468</v>
      </c>
      <c r="L51" s="370">
        <v>45842</v>
      </c>
      <c r="M51" s="370">
        <v>45845</v>
      </c>
      <c r="N51" s="366" t="s">
        <v>521</v>
      </c>
      <c r="O51" s="366">
        <f t="shared" si="1"/>
        <v>3</v>
      </c>
      <c r="P51" s="366"/>
      <c r="Q51" s="371">
        <v>45845</v>
      </c>
      <c r="R51" s="337" t="s">
        <v>492</v>
      </c>
      <c r="S51" s="337" t="s">
        <v>521</v>
      </c>
      <c r="T51" s="337" t="s">
        <v>398</v>
      </c>
      <c r="U51" s="337"/>
    </row>
    <row r="52" spans="1:21" ht="42" x14ac:dyDescent="0.35">
      <c r="A52" s="372">
        <v>10</v>
      </c>
      <c r="B52" s="322" t="s">
        <v>6</v>
      </c>
      <c r="C52" s="373" t="s">
        <v>508</v>
      </c>
      <c r="D52" s="374" t="s">
        <v>843</v>
      </c>
      <c r="E52" s="322" t="s">
        <v>844</v>
      </c>
      <c r="F52" s="322" t="s">
        <v>477</v>
      </c>
      <c r="G52" s="351">
        <v>45824</v>
      </c>
      <c r="H52" s="351">
        <f>L52</f>
        <v>45848</v>
      </c>
      <c r="I52" s="322"/>
      <c r="J52" s="322"/>
      <c r="K52" s="375" t="s">
        <v>468</v>
      </c>
      <c r="L52" s="376">
        <v>45848</v>
      </c>
      <c r="M52" s="376">
        <v>45850</v>
      </c>
      <c r="N52" s="375" t="s">
        <v>478</v>
      </c>
      <c r="O52" s="375">
        <f t="shared" si="1"/>
        <v>2</v>
      </c>
      <c r="P52" s="375"/>
      <c r="Q52" s="377"/>
      <c r="R52" s="322" t="s">
        <v>492</v>
      </c>
      <c r="S52" s="322" t="str">
        <f>N52</f>
        <v>CAT -IV R</v>
      </c>
      <c r="T52" s="322" t="s">
        <v>474</v>
      </c>
      <c r="U52" s="372"/>
    </row>
    <row r="53" spans="1:21" ht="42" x14ac:dyDescent="0.35">
      <c r="A53" s="364">
        <v>11</v>
      </c>
      <c r="B53" s="337" t="s">
        <v>6</v>
      </c>
      <c r="C53" s="340" t="s">
        <v>508</v>
      </c>
      <c r="D53" s="341" t="s">
        <v>845</v>
      </c>
      <c r="E53" s="337" t="s">
        <v>846</v>
      </c>
      <c r="F53" s="337" t="s">
        <v>477</v>
      </c>
      <c r="G53" s="338">
        <v>45824</v>
      </c>
      <c r="H53" s="338">
        <f>L53</f>
        <v>45848</v>
      </c>
      <c r="I53" s="337"/>
      <c r="J53" s="337"/>
      <c r="K53" s="366" t="s">
        <v>468</v>
      </c>
      <c r="L53" s="370">
        <v>45848</v>
      </c>
      <c r="M53" s="370">
        <v>45850</v>
      </c>
      <c r="N53" s="364" t="s">
        <v>521</v>
      </c>
      <c r="O53" s="366">
        <f t="shared" si="1"/>
        <v>2</v>
      </c>
      <c r="P53" s="366"/>
      <c r="Q53" s="371"/>
      <c r="R53" s="337" t="s">
        <v>492</v>
      </c>
      <c r="S53" s="337" t="s">
        <v>521</v>
      </c>
      <c r="T53" s="337" t="s">
        <v>398</v>
      </c>
      <c r="U53" s="364"/>
    </row>
    <row r="54" spans="1:21" x14ac:dyDescent="0.35">
      <c r="A54" s="354">
        <v>1</v>
      </c>
      <c r="B54" s="378" t="s">
        <v>6</v>
      </c>
      <c r="C54" s="379" t="s">
        <v>526</v>
      </c>
      <c r="D54" s="380" t="s">
        <v>527</v>
      </c>
      <c r="E54" s="381" t="s">
        <v>528</v>
      </c>
      <c r="F54" s="381" t="s">
        <v>467</v>
      </c>
      <c r="G54" s="382">
        <v>45763</v>
      </c>
      <c r="H54" s="382">
        <f>L54</f>
        <v>45763</v>
      </c>
      <c r="I54" s="381"/>
      <c r="J54" s="381"/>
      <c r="K54" s="322" t="s">
        <v>468</v>
      </c>
      <c r="L54" s="351">
        <v>45763</v>
      </c>
      <c r="M54" s="351">
        <v>45784</v>
      </c>
      <c r="N54" s="322" t="s">
        <v>469</v>
      </c>
      <c r="O54" s="322">
        <f t="shared" si="1"/>
        <v>21</v>
      </c>
      <c r="P54" s="322">
        <f>L58-M54</f>
        <v>69</v>
      </c>
      <c r="Q54" s="322"/>
      <c r="R54" s="357" t="s">
        <v>499</v>
      </c>
      <c r="S54" s="357" t="str">
        <f>N58</f>
        <v>CAT - II</v>
      </c>
      <c r="T54" s="357" t="s">
        <v>471</v>
      </c>
      <c r="U54" s="357"/>
    </row>
    <row r="55" spans="1:21" x14ac:dyDescent="0.35">
      <c r="A55" s="354"/>
      <c r="B55" s="378"/>
      <c r="C55" s="379"/>
      <c r="D55" s="380"/>
      <c r="E55" s="381"/>
      <c r="F55" s="381"/>
      <c r="G55" s="382"/>
      <c r="H55" s="382"/>
      <c r="I55" s="381"/>
      <c r="J55" s="381"/>
      <c r="K55" s="322" t="s">
        <v>470</v>
      </c>
      <c r="L55" s="351">
        <v>45791</v>
      </c>
      <c r="M55" s="351">
        <v>45800</v>
      </c>
      <c r="N55" s="322" t="s">
        <v>469</v>
      </c>
      <c r="O55" s="322">
        <f t="shared" si="1"/>
        <v>9</v>
      </c>
      <c r="P55" s="322">
        <f>L56-M55</f>
        <v>16</v>
      </c>
      <c r="Q55" s="322"/>
      <c r="R55" s="357"/>
      <c r="S55" s="357"/>
      <c r="T55" s="357"/>
      <c r="U55" s="357"/>
    </row>
    <row r="56" spans="1:21" x14ac:dyDescent="0.35">
      <c r="A56" s="354"/>
      <c r="B56" s="378"/>
      <c r="C56" s="379"/>
      <c r="D56" s="380"/>
      <c r="E56" s="381"/>
      <c r="F56" s="381"/>
      <c r="G56" s="382"/>
      <c r="H56" s="382"/>
      <c r="I56" s="381"/>
      <c r="J56" s="381"/>
      <c r="K56" s="322" t="s">
        <v>472</v>
      </c>
      <c r="L56" s="351">
        <v>45816</v>
      </c>
      <c r="M56" s="351">
        <v>45821</v>
      </c>
      <c r="N56" s="322" t="s">
        <v>469</v>
      </c>
      <c r="O56" s="322">
        <f t="shared" si="1"/>
        <v>5</v>
      </c>
      <c r="P56" s="322">
        <f>L58-M56</f>
        <v>32</v>
      </c>
      <c r="Q56" s="322"/>
      <c r="R56" s="357"/>
      <c r="S56" s="357"/>
      <c r="T56" s="357"/>
      <c r="U56" s="357"/>
    </row>
    <row r="57" spans="1:21" x14ac:dyDescent="0.35">
      <c r="A57" s="354"/>
      <c r="B57" s="378"/>
      <c r="C57" s="379"/>
      <c r="D57" s="380"/>
      <c r="E57" s="381"/>
      <c r="F57" s="381"/>
      <c r="G57" s="382"/>
      <c r="H57" s="382"/>
      <c r="I57" s="381"/>
      <c r="J57" s="381"/>
      <c r="K57" s="322" t="s">
        <v>473</v>
      </c>
      <c r="L57" s="351">
        <v>45825</v>
      </c>
      <c r="M57" s="351">
        <v>45827</v>
      </c>
      <c r="N57" s="322" t="s">
        <v>491</v>
      </c>
      <c r="O57" s="322">
        <f>M57-L57</f>
        <v>2</v>
      </c>
      <c r="P57" s="322"/>
      <c r="Q57" s="322"/>
      <c r="R57" s="357"/>
      <c r="S57" s="357"/>
      <c r="T57" s="357"/>
      <c r="U57" s="357"/>
    </row>
    <row r="58" spans="1:21" x14ac:dyDescent="0.35">
      <c r="A58" s="354"/>
      <c r="B58" s="378"/>
      <c r="C58" s="379"/>
      <c r="D58" s="380"/>
      <c r="E58" s="381"/>
      <c r="F58" s="381"/>
      <c r="G58" s="382"/>
      <c r="H58" s="382"/>
      <c r="I58" s="381"/>
      <c r="J58" s="381"/>
      <c r="K58" s="322" t="s">
        <v>835</v>
      </c>
      <c r="L58" s="351">
        <v>45853</v>
      </c>
      <c r="M58" s="351"/>
      <c r="N58" s="322" t="s">
        <v>491</v>
      </c>
      <c r="O58" s="322">
        <f t="shared" si="1"/>
        <v>-45853</v>
      </c>
      <c r="P58" s="322"/>
      <c r="Q58" s="322"/>
      <c r="R58" s="357"/>
      <c r="S58" s="357"/>
      <c r="T58" s="357"/>
      <c r="U58" s="357"/>
    </row>
    <row r="59" spans="1:21" ht="52.5" x14ac:dyDescent="0.35">
      <c r="A59" s="348">
        <v>2</v>
      </c>
      <c r="B59" s="348" t="s">
        <v>6</v>
      </c>
      <c r="C59" s="349" t="s">
        <v>526</v>
      </c>
      <c r="D59" s="350" t="s">
        <v>529</v>
      </c>
      <c r="E59" s="322" t="s">
        <v>530</v>
      </c>
      <c r="F59" s="320" t="s">
        <v>467</v>
      </c>
      <c r="G59" s="331">
        <v>45868</v>
      </c>
      <c r="H59" s="331">
        <v>45868</v>
      </c>
      <c r="I59" s="320"/>
      <c r="J59" s="320"/>
      <c r="K59" s="322"/>
      <c r="L59" s="351"/>
      <c r="M59" s="351"/>
      <c r="N59" s="322"/>
      <c r="O59" s="322"/>
      <c r="P59" s="322"/>
      <c r="Q59" s="322"/>
      <c r="R59" s="322"/>
      <c r="S59" s="322"/>
      <c r="T59" s="322"/>
      <c r="U59" s="322"/>
    </row>
    <row r="60" spans="1:21" ht="63" x14ac:dyDescent="0.35">
      <c r="A60" s="348">
        <v>3</v>
      </c>
      <c r="B60" s="348" t="s">
        <v>6</v>
      </c>
      <c r="C60" s="349" t="s">
        <v>526</v>
      </c>
      <c r="D60" s="350" t="s">
        <v>531</v>
      </c>
      <c r="E60" s="322" t="s">
        <v>532</v>
      </c>
      <c r="F60" s="322" t="s">
        <v>467</v>
      </c>
      <c r="G60" s="351">
        <v>45843</v>
      </c>
      <c r="H60" s="351">
        <v>45856</v>
      </c>
      <c r="I60" s="322"/>
      <c r="J60" s="322"/>
      <c r="K60" s="322"/>
      <c r="L60" s="351"/>
      <c r="M60" s="351"/>
      <c r="N60" s="322"/>
      <c r="O60" s="322"/>
      <c r="P60" s="322"/>
      <c r="Q60" s="322"/>
      <c r="R60" s="322"/>
      <c r="S60" s="322"/>
      <c r="T60" s="322"/>
      <c r="U60" s="322"/>
    </row>
    <row r="61" spans="1:21" ht="52.5" x14ac:dyDescent="0.35">
      <c r="A61" s="348">
        <v>4</v>
      </c>
      <c r="B61" s="348" t="s">
        <v>6</v>
      </c>
      <c r="C61" s="349" t="s">
        <v>526</v>
      </c>
      <c r="D61" s="350" t="s">
        <v>533</v>
      </c>
      <c r="E61" s="322" t="s">
        <v>534</v>
      </c>
      <c r="F61" s="322" t="s">
        <v>467</v>
      </c>
      <c r="G61" s="351">
        <v>45838</v>
      </c>
      <c r="H61" s="351">
        <v>45856</v>
      </c>
      <c r="I61" s="322"/>
      <c r="J61" s="322"/>
      <c r="K61" s="322"/>
      <c r="L61" s="351"/>
      <c r="M61" s="351"/>
      <c r="N61" s="322"/>
      <c r="O61" s="322"/>
      <c r="P61" s="322"/>
      <c r="Q61" s="322"/>
      <c r="R61" s="322"/>
      <c r="S61" s="322"/>
      <c r="T61" s="322"/>
      <c r="U61" s="322"/>
    </row>
    <row r="62" spans="1:21" ht="73.5" x14ac:dyDescent="0.35">
      <c r="A62" s="348">
        <v>5</v>
      </c>
      <c r="B62" s="348" t="s">
        <v>6</v>
      </c>
      <c r="C62" s="349" t="s">
        <v>526</v>
      </c>
      <c r="D62" s="350" t="s">
        <v>535</v>
      </c>
      <c r="E62" s="322" t="s">
        <v>536</v>
      </c>
      <c r="F62" s="322" t="s">
        <v>467</v>
      </c>
      <c r="G62" s="351">
        <v>45874</v>
      </c>
      <c r="H62" s="351">
        <v>45874</v>
      </c>
      <c r="I62" s="322"/>
      <c r="J62" s="322"/>
      <c r="K62" s="322"/>
      <c r="L62" s="351"/>
      <c r="M62" s="351"/>
      <c r="N62" s="322"/>
      <c r="O62" s="322"/>
      <c r="P62" s="322"/>
      <c r="Q62" s="322"/>
      <c r="R62" s="322"/>
      <c r="S62" s="322"/>
      <c r="T62" s="322"/>
      <c r="U62" s="322"/>
    </row>
    <row r="63" spans="1:21" ht="31.5" x14ac:dyDescent="0.35">
      <c r="A63" s="348">
        <v>6</v>
      </c>
      <c r="B63" s="348" t="s">
        <v>6</v>
      </c>
      <c r="C63" s="349" t="s">
        <v>526</v>
      </c>
      <c r="D63" s="350" t="s">
        <v>537</v>
      </c>
      <c r="E63" s="322" t="s">
        <v>538</v>
      </c>
      <c r="F63" s="322" t="s">
        <v>467</v>
      </c>
      <c r="G63" s="351">
        <v>45905</v>
      </c>
      <c r="H63" s="351">
        <v>45905</v>
      </c>
      <c r="I63" s="322"/>
      <c r="J63" s="322"/>
      <c r="K63" s="322"/>
      <c r="L63" s="351"/>
      <c r="M63" s="351"/>
      <c r="N63" s="322"/>
      <c r="O63" s="322"/>
      <c r="P63" s="322"/>
      <c r="Q63" s="322"/>
      <c r="R63" s="322"/>
      <c r="S63" s="322"/>
      <c r="T63" s="322"/>
      <c r="U63" s="322"/>
    </row>
    <row r="64" spans="1:21" ht="31.5" x14ac:dyDescent="0.35">
      <c r="A64" s="348">
        <v>7</v>
      </c>
      <c r="B64" s="348" t="s">
        <v>6</v>
      </c>
      <c r="C64" s="349" t="s">
        <v>526</v>
      </c>
      <c r="D64" s="350" t="s">
        <v>539</v>
      </c>
      <c r="E64" s="322" t="s">
        <v>540</v>
      </c>
      <c r="F64" s="322" t="s">
        <v>467</v>
      </c>
      <c r="G64" s="351">
        <v>45908</v>
      </c>
      <c r="H64" s="351">
        <v>45908</v>
      </c>
      <c r="I64" s="322"/>
      <c r="J64" s="322"/>
      <c r="K64" s="322"/>
      <c r="L64" s="351"/>
      <c r="M64" s="351"/>
      <c r="N64" s="322"/>
      <c r="O64" s="322"/>
      <c r="P64" s="322"/>
      <c r="Q64" s="322"/>
      <c r="R64" s="322"/>
      <c r="S64" s="322"/>
      <c r="T64" s="322"/>
      <c r="U64" s="322"/>
    </row>
    <row r="65" spans="1:21" ht="42" x14ac:dyDescent="0.35">
      <c r="A65" s="348">
        <v>8</v>
      </c>
      <c r="B65" s="348" t="s">
        <v>6</v>
      </c>
      <c r="C65" s="349" t="s">
        <v>526</v>
      </c>
      <c r="D65" s="350" t="s">
        <v>541</v>
      </c>
      <c r="E65" s="322" t="s">
        <v>542</v>
      </c>
      <c r="F65" s="322" t="s">
        <v>467</v>
      </c>
      <c r="G65" s="351">
        <v>45858</v>
      </c>
      <c r="H65" s="351">
        <v>45858</v>
      </c>
      <c r="I65" s="322"/>
      <c r="J65" s="322"/>
      <c r="K65" s="322"/>
      <c r="L65" s="351"/>
      <c r="M65" s="351"/>
      <c r="N65" s="322"/>
      <c r="O65" s="322"/>
      <c r="P65" s="322"/>
      <c r="Q65" s="322"/>
      <c r="R65" s="322"/>
      <c r="S65" s="322"/>
      <c r="T65" s="322"/>
      <c r="U65" s="322"/>
    </row>
    <row r="66" spans="1:21" ht="42" x14ac:dyDescent="0.35">
      <c r="A66" s="348">
        <v>9</v>
      </c>
      <c r="B66" s="348" t="s">
        <v>6</v>
      </c>
      <c r="C66" s="349" t="s">
        <v>526</v>
      </c>
      <c r="D66" s="350" t="s">
        <v>543</v>
      </c>
      <c r="E66" s="322" t="s">
        <v>544</v>
      </c>
      <c r="F66" s="322" t="s">
        <v>467</v>
      </c>
      <c r="G66" s="351">
        <v>45868</v>
      </c>
      <c r="H66" s="351">
        <v>45868</v>
      </c>
      <c r="I66" s="322"/>
      <c r="J66" s="322"/>
      <c r="K66" s="322"/>
      <c r="L66" s="351"/>
      <c r="M66" s="351"/>
      <c r="N66" s="322"/>
      <c r="O66" s="322"/>
      <c r="P66" s="322"/>
      <c r="Q66" s="322"/>
      <c r="R66" s="322"/>
      <c r="S66" s="322"/>
      <c r="T66" s="322"/>
      <c r="U66" s="322"/>
    </row>
    <row r="67" spans="1:21" x14ac:dyDescent="0.35">
      <c r="A67" s="354">
        <v>1</v>
      </c>
      <c r="B67" s="354" t="s">
        <v>6</v>
      </c>
      <c r="C67" s="355" t="s">
        <v>545</v>
      </c>
      <c r="D67" s="356" t="s">
        <v>546</v>
      </c>
      <c r="E67" s="357" t="s">
        <v>547</v>
      </c>
      <c r="F67" s="357" t="s">
        <v>467</v>
      </c>
      <c r="G67" s="382">
        <v>45825</v>
      </c>
      <c r="H67" s="382">
        <f>L67</f>
        <v>45835</v>
      </c>
      <c r="I67" s="322"/>
      <c r="J67" s="322"/>
      <c r="K67" s="322" t="s">
        <v>468</v>
      </c>
      <c r="L67" s="351">
        <v>45835</v>
      </c>
      <c r="M67" s="351">
        <v>45845</v>
      </c>
      <c r="N67" s="322" t="s">
        <v>469</v>
      </c>
      <c r="O67" s="322">
        <f>M67-L67</f>
        <v>10</v>
      </c>
      <c r="P67" s="322">
        <f ca="1">O1-M67</f>
        <v>17</v>
      </c>
      <c r="Q67" s="357"/>
      <c r="R67" s="357" t="s">
        <v>499</v>
      </c>
      <c r="S67" s="357" t="str">
        <f>N67</f>
        <v>CAT - III</v>
      </c>
      <c r="T67" s="357" t="s">
        <v>471</v>
      </c>
      <c r="U67" s="322"/>
    </row>
    <row r="68" spans="1:21" x14ac:dyDescent="0.35">
      <c r="A68" s="383"/>
      <c r="B68" s="383"/>
      <c r="C68" s="384"/>
      <c r="D68" s="385"/>
      <c r="E68" s="386"/>
      <c r="F68" s="386"/>
      <c r="G68" s="387"/>
      <c r="H68" s="387"/>
      <c r="I68" s="322"/>
      <c r="J68" s="322"/>
      <c r="K68" s="322" t="s">
        <v>470</v>
      </c>
      <c r="L68" s="351">
        <v>45856</v>
      </c>
      <c r="M68" s="351"/>
      <c r="N68" s="322"/>
      <c r="O68" s="322"/>
      <c r="P68" s="322"/>
      <c r="Q68" s="386"/>
      <c r="R68" s="386"/>
      <c r="S68" s="386"/>
      <c r="T68" s="386"/>
      <c r="U68" s="322"/>
    </row>
    <row r="69" spans="1:21" x14ac:dyDescent="0.35">
      <c r="A69" s="354">
        <v>2</v>
      </c>
      <c r="B69" s="354" t="s">
        <v>6</v>
      </c>
      <c r="C69" s="355" t="s">
        <v>545</v>
      </c>
      <c r="D69" s="356" t="s">
        <v>548</v>
      </c>
      <c r="E69" s="357" t="s">
        <v>549</v>
      </c>
      <c r="F69" s="357" t="s">
        <v>467</v>
      </c>
      <c r="G69" s="382">
        <v>45825</v>
      </c>
      <c r="H69" s="382">
        <f>L69</f>
        <v>45835</v>
      </c>
      <c r="I69" s="322"/>
      <c r="J69" s="322"/>
      <c r="K69" s="322" t="s">
        <v>468</v>
      </c>
      <c r="L69" s="351">
        <v>45835</v>
      </c>
      <c r="M69" s="351"/>
      <c r="N69" s="322"/>
      <c r="O69" s="322">
        <f ca="1">O1-L69</f>
        <v>27</v>
      </c>
      <c r="P69" s="322"/>
      <c r="Q69" s="322"/>
      <c r="R69" s="357" t="s">
        <v>492</v>
      </c>
      <c r="S69" s="357" t="s">
        <v>469</v>
      </c>
      <c r="T69" s="357" t="s">
        <v>471</v>
      </c>
      <c r="U69" s="322"/>
    </row>
    <row r="70" spans="1:21" x14ac:dyDescent="0.35">
      <c r="A70" s="383"/>
      <c r="B70" s="383"/>
      <c r="C70" s="384"/>
      <c r="D70" s="385"/>
      <c r="E70" s="386"/>
      <c r="F70" s="386"/>
      <c r="G70" s="387"/>
      <c r="H70" s="387"/>
      <c r="I70" s="322"/>
      <c r="J70" s="322"/>
      <c r="K70" s="322" t="s">
        <v>470</v>
      </c>
      <c r="L70" s="351">
        <v>45856</v>
      </c>
      <c r="M70" s="351"/>
      <c r="N70" s="322"/>
      <c r="O70" s="322"/>
      <c r="P70" s="322"/>
      <c r="Q70" s="322"/>
      <c r="R70" s="386"/>
      <c r="S70" s="386"/>
      <c r="T70" s="386"/>
      <c r="U70" s="322"/>
    </row>
    <row r="71" spans="1:21" ht="63" x14ac:dyDescent="0.35">
      <c r="A71" s="348">
        <v>3</v>
      </c>
      <c r="B71" s="348" t="s">
        <v>6</v>
      </c>
      <c r="C71" s="349" t="s">
        <v>545</v>
      </c>
      <c r="D71" s="350" t="s">
        <v>550</v>
      </c>
      <c r="E71" s="322" t="s">
        <v>551</v>
      </c>
      <c r="F71" s="322" t="s">
        <v>467</v>
      </c>
      <c r="G71" s="351">
        <v>45828</v>
      </c>
      <c r="H71" s="351">
        <v>45843</v>
      </c>
      <c r="I71" s="322"/>
      <c r="J71" s="322"/>
      <c r="K71" s="322" t="s">
        <v>468</v>
      </c>
      <c r="L71" s="351">
        <v>45860</v>
      </c>
      <c r="M71" s="351"/>
      <c r="N71" s="322"/>
      <c r="O71" s="322"/>
      <c r="P71" s="322"/>
      <c r="Q71" s="322"/>
      <c r="R71" s="322" t="s">
        <v>492</v>
      </c>
      <c r="S71" s="322"/>
      <c r="T71" s="322" t="s">
        <v>471</v>
      </c>
      <c r="U71" s="322"/>
    </row>
    <row r="72" spans="1:21" ht="52.5" x14ac:dyDescent="0.35">
      <c r="A72" s="348">
        <v>4</v>
      </c>
      <c r="B72" s="348" t="s">
        <v>6</v>
      </c>
      <c r="C72" s="349" t="s">
        <v>545</v>
      </c>
      <c r="D72" s="350" t="s">
        <v>552</v>
      </c>
      <c r="E72" s="322" t="s">
        <v>553</v>
      </c>
      <c r="F72" s="322" t="s">
        <v>467</v>
      </c>
      <c r="G72" s="351">
        <v>45823</v>
      </c>
      <c r="H72" s="351">
        <v>45853</v>
      </c>
      <c r="I72" s="322"/>
      <c r="J72" s="322"/>
      <c r="K72" s="322" t="s">
        <v>468</v>
      </c>
      <c r="L72" s="351">
        <v>45860</v>
      </c>
      <c r="M72" s="351"/>
      <c r="N72" s="322"/>
      <c r="O72" s="322"/>
      <c r="P72" s="322"/>
      <c r="Q72" s="322"/>
      <c r="R72" s="322" t="s">
        <v>492</v>
      </c>
      <c r="S72" s="322"/>
      <c r="T72" s="322" t="s">
        <v>471</v>
      </c>
      <c r="U72" s="322"/>
    </row>
    <row r="73" spans="1:21" ht="42" x14ac:dyDescent="0.35">
      <c r="A73" s="348">
        <v>5</v>
      </c>
      <c r="B73" s="348" t="s">
        <v>6</v>
      </c>
      <c r="C73" s="349" t="s">
        <v>545</v>
      </c>
      <c r="D73" s="350" t="s">
        <v>554</v>
      </c>
      <c r="E73" s="322" t="s">
        <v>555</v>
      </c>
      <c r="F73" s="322" t="s">
        <v>467</v>
      </c>
      <c r="G73" s="351">
        <v>45833</v>
      </c>
      <c r="H73" s="351">
        <v>45853</v>
      </c>
      <c r="I73" s="322"/>
      <c r="J73" s="322"/>
      <c r="K73" s="322"/>
      <c r="L73" s="351"/>
      <c r="M73" s="351"/>
      <c r="N73" s="322"/>
      <c r="O73" s="322"/>
      <c r="P73" s="322"/>
      <c r="Q73" s="322"/>
      <c r="R73" s="322"/>
      <c r="S73" s="322"/>
      <c r="T73" s="322"/>
      <c r="U73" s="322"/>
    </row>
    <row r="74" spans="1:21" ht="42" x14ac:dyDescent="0.35">
      <c r="A74" s="348">
        <v>6</v>
      </c>
      <c r="B74" s="348" t="s">
        <v>6</v>
      </c>
      <c r="C74" s="349" t="s">
        <v>545</v>
      </c>
      <c r="D74" s="350" t="s">
        <v>556</v>
      </c>
      <c r="E74" s="322" t="s">
        <v>557</v>
      </c>
      <c r="F74" s="322" t="s">
        <v>467</v>
      </c>
      <c r="G74" s="351">
        <v>45840</v>
      </c>
      <c r="H74" s="388">
        <v>45843</v>
      </c>
      <c r="I74" s="322"/>
      <c r="J74" s="322"/>
      <c r="K74" s="322"/>
      <c r="L74" s="351"/>
      <c r="M74" s="351"/>
      <c r="N74" s="322"/>
      <c r="O74" s="322"/>
      <c r="P74" s="322"/>
      <c r="Q74" s="322"/>
      <c r="R74" s="322"/>
      <c r="S74" s="322"/>
      <c r="T74" s="322"/>
      <c r="U74" s="322"/>
    </row>
    <row r="75" spans="1:21" ht="52.5" x14ac:dyDescent="0.35">
      <c r="A75" s="348">
        <v>7</v>
      </c>
      <c r="B75" s="348" t="s">
        <v>6</v>
      </c>
      <c r="C75" s="349" t="s">
        <v>545</v>
      </c>
      <c r="D75" s="350" t="s">
        <v>558</v>
      </c>
      <c r="E75" s="322" t="s">
        <v>559</v>
      </c>
      <c r="F75" s="320" t="s">
        <v>467</v>
      </c>
      <c r="G75" s="331">
        <v>45836</v>
      </c>
      <c r="H75" s="388">
        <v>45850</v>
      </c>
      <c r="I75" s="320"/>
      <c r="J75" s="320"/>
      <c r="K75" s="322"/>
      <c r="L75" s="351"/>
      <c r="M75" s="351"/>
      <c r="N75" s="322"/>
      <c r="O75" s="322"/>
      <c r="P75" s="322"/>
      <c r="Q75" s="322"/>
      <c r="R75" s="322"/>
      <c r="S75" s="322"/>
      <c r="T75" s="322"/>
      <c r="U75" s="322"/>
    </row>
    <row r="76" spans="1:21" ht="52.5" x14ac:dyDescent="0.35">
      <c r="A76" s="348">
        <v>8</v>
      </c>
      <c r="B76" s="348" t="s">
        <v>6</v>
      </c>
      <c r="C76" s="349" t="s">
        <v>545</v>
      </c>
      <c r="D76" s="350" t="s">
        <v>560</v>
      </c>
      <c r="E76" s="322" t="s">
        <v>561</v>
      </c>
      <c r="F76" s="320" t="s">
        <v>467</v>
      </c>
      <c r="G76" s="331">
        <v>45840</v>
      </c>
      <c r="H76" s="331">
        <v>45852</v>
      </c>
      <c r="I76" s="320"/>
      <c r="J76" s="320"/>
      <c r="K76" s="322"/>
      <c r="L76" s="351"/>
      <c r="M76" s="351"/>
      <c r="N76" s="322"/>
      <c r="O76" s="322"/>
      <c r="P76" s="322"/>
      <c r="Q76" s="322"/>
      <c r="R76" s="322"/>
      <c r="S76" s="322"/>
      <c r="T76" s="322"/>
      <c r="U76" s="322"/>
    </row>
    <row r="77" spans="1:21" ht="42" x14ac:dyDescent="0.35">
      <c r="A77" s="348">
        <v>9</v>
      </c>
      <c r="B77" s="348" t="s">
        <v>6</v>
      </c>
      <c r="C77" s="349" t="s">
        <v>545</v>
      </c>
      <c r="D77" s="350" t="s">
        <v>562</v>
      </c>
      <c r="E77" s="322" t="s">
        <v>563</v>
      </c>
      <c r="F77" s="320" t="s">
        <v>467</v>
      </c>
      <c r="G77" s="331">
        <v>45843</v>
      </c>
      <c r="H77" s="331">
        <v>45843</v>
      </c>
      <c r="I77" s="320"/>
      <c r="J77" s="320"/>
      <c r="K77" s="322"/>
      <c r="L77" s="351"/>
      <c r="M77" s="351"/>
      <c r="N77" s="322"/>
      <c r="O77" s="322"/>
      <c r="P77" s="322"/>
      <c r="Q77" s="322"/>
      <c r="R77" s="322"/>
      <c r="S77" s="322"/>
      <c r="T77" s="322"/>
      <c r="U77" s="322"/>
    </row>
    <row r="78" spans="1:21" ht="42" x14ac:dyDescent="0.35">
      <c r="A78" s="348">
        <v>1</v>
      </c>
      <c r="B78" s="348" t="s">
        <v>6</v>
      </c>
      <c r="C78" s="349" t="s">
        <v>564</v>
      </c>
      <c r="D78" s="350" t="s">
        <v>565</v>
      </c>
      <c r="E78" s="322" t="s">
        <v>566</v>
      </c>
      <c r="F78" s="320" t="s">
        <v>477</v>
      </c>
      <c r="G78" s="331">
        <v>45828</v>
      </c>
      <c r="H78" s="331">
        <v>45846</v>
      </c>
      <c r="I78" s="320"/>
      <c r="J78" s="320"/>
      <c r="K78" s="322"/>
      <c r="L78" s="351"/>
      <c r="M78" s="351"/>
      <c r="N78" s="322"/>
      <c r="O78" s="322"/>
      <c r="P78" s="322"/>
      <c r="Q78" s="322"/>
      <c r="R78" s="322"/>
      <c r="S78" s="322"/>
      <c r="T78" s="322"/>
      <c r="U78" s="322"/>
    </row>
    <row r="79" spans="1:21" ht="42" x14ac:dyDescent="0.35">
      <c r="A79" s="348">
        <v>2</v>
      </c>
      <c r="B79" s="348" t="s">
        <v>6</v>
      </c>
      <c r="C79" s="349" t="s">
        <v>564</v>
      </c>
      <c r="D79" s="350" t="s">
        <v>567</v>
      </c>
      <c r="E79" s="322" t="s">
        <v>568</v>
      </c>
      <c r="F79" s="320" t="s">
        <v>477</v>
      </c>
      <c r="G79" s="331">
        <v>45833</v>
      </c>
      <c r="H79" s="331">
        <v>45846</v>
      </c>
      <c r="I79" s="320"/>
      <c r="J79" s="320"/>
      <c r="K79" s="322"/>
      <c r="L79" s="351"/>
      <c r="M79" s="351"/>
      <c r="N79" s="322"/>
      <c r="O79" s="322"/>
      <c r="P79" s="322"/>
      <c r="Q79" s="322"/>
      <c r="R79" s="322"/>
      <c r="S79" s="322"/>
      <c r="T79" s="322"/>
      <c r="U79" s="322"/>
    </row>
    <row r="80" spans="1:21" x14ac:dyDescent="0.35">
      <c r="A80" s="354">
        <v>3</v>
      </c>
      <c r="B80" s="354" t="s">
        <v>6</v>
      </c>
      <c r="C80" s="355" t="s">
        <v>564</v>
      </c>
      <c r="D80" s="389" t="s">
        <v>569</v>
      </c>
      <c r="E80" s="357" t="s">
        <v>570</v>
      </c>
      <c r="F80" s="358" t="s">
        <v>477</v>
      </c>
      <c r="G80" s="359">
        <v>45738</v>
      </c>
      <c r="H80" s="359">
        <f>L80</f>
        <v>45799</v>
      </c>
      <c r="I80" s="358"/>
      <c r="J80" s="358"/>
      <c r="K80" s="322" t="s">
        <v>468</v>
      </c>
      <c r="L80" s="351">
        <v>45799</v>
      </c>
      <c r="M80" s="351">
        <v>45800</v>
      </c>
      <c r="N80" s="322" t="s">
        <v>478</v>
      </c>
      <c r="O80" s="322">
        <f>M80-L80</f>
        <v>1</v>
      </c>
      <c r="P80" s="322">
        <f>L81-M80</f>
        <v>15</v>
      </c>
      <c r="Q80" s="357"/>
      <c r="R80" s="357" t="s">
        <v>499</v>
      </c>
      <c r="S80" s="357" t="str">
        <f>N81</f>
        <v>CAT -IV R</v>
      </c>
      <c r="T80" s="357" t="s">
        <v>474</v>
      </c>
      <c r="U80" s="357">
        <f ca="1">U1-M80</f>
        <v>62</v>
      </c>
    </row>
    <row r="81" spans="1:21" x14ac:dyDescent="0.35">
      <c r="A81" s="354"/>
      <c r="B81" s="354"/>
      <c r="C81" s="355"/>
      <c r="D81" s="389"/>
      <c r="E81" s="357"/>
      <c r="F81" s="358"/>
      <c r="G81" s="359"/>
      <c r="H81" s="359"/>
      <c r="I81" s="358"/>
      <c r="J81" s="358"/>
      <c r="K81" s="322" t="s">
        <v>470</v>
      </c>
      <c r="L81" s="351">
        <v>45815</v>
      </c>
      <c r="M81" s="351">
        <v>45826</v>
      </c>
      <c r="N81" s="322" t="s">
        <v>478</v>
      </c>
      <c r="O81" s="322">
        <f>M81-L81</f>
        <v>11</v>
      </c>
      <c r="P81" s="322">
        <f ca="1">O1-M81</f>
        <v>36</v>
      </c>
      <c r="Q81" s="357"/>
      <c r="R81" s="357"/>
      <c r="S81" s="357"/>
      <c r="T81" s="357"/>
      <c r="U81" s="357"/>
    </row>
    <row r="82" spans="1:21" x14ac:dyDescent="0.35">
      <c r="A82" s="342">
        <v>4</v>
      </c>
      <c r="B82" s="333" t="s">
        <v>6</v>
      </c>
      <c r="C82" s="334" t="s">
        <v>564</v>
      </c>
      <c r="D82" s="335" t="s">
        <v>571</v>
      </c>
      <c r="E82" s="333" t="s">
        <v>572</v>
      </c>
      <c r="F82" s="333" t="s">
        <v>467</v>
      </c>
      <c r="G82" s="336">
        <v>45719</v>
      </c>
      <c r="H82" s="336">
        <f>L82</f>
        <v>45719</v>
      </c>
      <c r="I82" s="333"/>
      <c r="J82" s="333"/>
      <c r="K82" s="337" t="s">
        <v>468</v>
      </c>
      <c r="L82" s="338">
        <v>45719</v>
      </c>
      <c r="M82" s="338">
        <v>45721</v>
      </c>
      <c r="N82" s="337" t="s">
        <v>469</v>
      </c>
      <c r="O82" s="337">
        <f>M82-L82</f>
        <v>2</v>
      </c>
      <c r="P82" s="337">
        <f>L83-M82</f>
        <v>15</v>
      </c>
      <c r="Q82" s="339">
        <f>M84</f>
        <v>45800</v>
      </c>
      <c r="R82" s="333" t="str">
        <f>T82</f>
        <v>Approved</v>
      </c>
      <c r="S82" s="333" t="str">
        <f>N83</f>
        <v>CAT - I</v>
      </c>
      <c r="T82" s="333" t="s">
        <v>398</v>
      </c>
      <c r="U82" s="333">
        <f>M84-L84</f>
        <v>1</v>
      </c>
    </row>
    <row r="83" spans="1:21" x14ac:dyDescent="0.35">
      <c r="A83" s="342"/>
      <c r="B83" s="333"/>
      <c r="C83" s="334"/>
      <c r="D83" s="335"/>
      <c r="E83" s="333"/>
      <c r="F83" s="333"/>
      <c r="G83" s="336"/>
      <c r="H83" s="336"/>
      <c r="I83" s="333"/>
      <c r="J83" s="333"/>
      <c r="K83" s="337" t="s">
        <v>470</v>
      </c>
      <c r="L83" s="338">
        <v>45736</v>
      </c>
      <c r="M83" s="338">
        <v>45738</v>
      </c>
      <c r="N83" s="337" t="s">
        <v>482</v>
      </c>
      <c r="O83" s="337">
        <f>M83-L83</f>
        <v>2</v>
      </c>
      <c r="P83" s="337">
        <f>L84-M83</f>
        <v>61</v>
      </c>
      <c r="Q83" s="339"/>
      <c r="R83" s="333"/>
      <c r="S83" s="333"/>
      <c r="T83" s="333"/>
      <c r="U83" s="333"/>
    </row>
    <row r="84" spans="1:21" x14ac:dyDescent="0.35">
      <c r="A84" s="342"/>
      <c r="B84" s="333"/>
      <c r="C84" s="334"/>
      <c r="D84" s="335"/>
      <c r="E84" s="333"/>
      <c r="F84" s="333"/>
      <c r="G84" s="336"/>
      <c r="H84" s="336"/>
      <c r="I84" s="333"/>
      <c r="J84" s="333"/>
      <c r="K84" s="337" t="s">
        <v>472</v>
      </c>
      <c r="L84" s="338">
        <v>45799</v>
      </c>
      <c r="M84" s="338">
        <v>45800</v>
      </c>
      <c r="N84" s="337" t="s">
        <v>482</v>
      </c>
      <c r="O84" s="337">
        <f>M84-L84</f>
        <v>1</v>
      </c>
      <c r="P84" s="337"/>
      <c r="Q84" s="339"/>
      <c r="R84" s="333"/>
      <c r="S84" s="333"/>
      <c r="T84" s="333"/>
      <c r="U84" s="333"/>
    </row>
    <row r="85" spans="1:21" ht="42" x14ac:dyDescent="0.35">
      <c r="A85" s="348">
        <v>5</v>
      </c>
      <c r="B85" s="348" t="s">
        <v>6</v>
      </c>
      <c r="C85" s="349" t="s">
        <v>564</v>
      </c>
      <c r="D85" s="390" t="s">
        <v>573</v>
      </c>
      <c r="E85" s="322" t="s">
        <v>574</v>
      </c>
      <c r="F85" s="322" t="s">
        <v>467</v>
      </c>
      <c r="G85" s="351">
        <v>45853</v>
      </c>
      <c r="H85" s="351">
        <v>45853</v>
      </c>
      <c r="I85" s="322"/>
      <c r="J85" s="322"/>
      <c r="K85" s="322" t="s">
        <v>468</v>
      </c>
      <c r="L85" s="351">
        <v>45835</v>
      </c>
      <c r="M85" s="351"/>
      <c r="N85" s="322"/>
      <c r="O85" s="322"/>
      <c r="P85" s="322"/>
      <c r="Q85" s="322"/>
      <c r="R85" s="322" t="s">
        <v>492</v>
      </c>
      <c r="S85" s="322"/>
      <c r="T85" s="322" t="s">
        <v>471</v>
      </c>
      <c r="U85" s="322"/>
    </row>
    <row r="86" spans="1:21" ht="52.5" x14ac:dyDescent="0.35">
      <c r="A86" s="348">
        <v>6</v>
      </c>
      <c r="B86" s="348" t="s">
        <v>6</v>
      </c>
      <c r="C86" s="349" t="s">
        <v>564</v>
      </c>
      <c r="D86" s="390" t="s">
        <v>387</v>
      </c>
      <c r="E86" s="322" t="s">
        <v>575</v>
      </c>
      <c r="F86" s="322" t="s">
        <v>467</v>
      </c>
      <c r="G86" s="351">
        <v>45795</v>
      </c>
      <c r="H86" s="351">
        <v>45848</v>
      </c>
      <c r="I86" s="322"/>
      <c r="J86" s="322"/>
      <c r="K86" s="322" t="s">
        <v>468</v>
      </c>
      <c r="L86" s="351">
        <v>45849</v>
      </c>
      <c r="M86" s="351"/>
      <c r="N86" s="322"/>
      <c r="O86" s="322"/>
      <c r="P86" s="322"/>
      <c r="Q86" s="322"/>
      <c r="R86" s="322" t="s">
        <v>492</v>
      </c>
      <c r="S86" s="322"/>
      <c r="T86" s="322" t="s">
        <v>471</v>
      </c>
      <c r="U86" s="322"/>
    </row>
    <row r="87" spans="1:21" ht="42" x14ac:dyDescent="0.35">
      <c r="A87" s="348">
        <v>7</v>
      </c>
      <c r="B87" s="348" t="s">
        <v>6</v>
      </c>
      <c r="C87" s="349" t="s">
        <v>564</v>
      </c>
      <c r="D87" s="350" t="s">
        <v>576</v>
      </c>
      <c r="E87" s="322" t="s">
        <v>577</v>
      </c>
      <c r="F87" s="322" t="s">
        <v>467</v>
      </c>
      <c r="G87" s="351">
        <v>45858</v>
      </c>
      <c r="H87" s="351">
        <v>45848</v>
      </c>
      <c r="I87" s="322"/>
      <c r="J87" s="322"/>
      <c r="K87" s="322"/>
      <c r="L87" s="351"/>
      <c r="M87" s="351"/>
      <c r="N87" s="322"/>
      <c r="O87" s="322"/>
      <c r="P87" s="322"/>
      <c r="Q87" s="322"/>
      <c r="R87" s="322"/>
      <c r="S87" s="322"/>
      <c r="T87" s="322"/>
      <c r="U87" s="322"/>
    </row>
    <row r="88" spans="1:21" ht="42" x14ac:dyDescent="0.35">
      <c r="A88" s="348">
        <v>8</v>
      </c>
      <c r="B88" s="348" t="s">
        <v>6</v>
      </c>
      <c r="C88" s="349" t="s">
        <v>564</v>
      </c>
      <c r="D88" s="350" t="s">
        <v>578</v>
      </c>
      <c r="E88" s="322" t="s">
        <v>579</v>
      </c>
      <c r="F88" s="322" t="s">
        <v>467</v>
      </c>
      <c r="G88" s="351">
        <v>45863</v>
      </c>
      <c r="H88" s="351">
        <v>45853</v>
      </c>
      <c r="I88" s="322"/>
      <c r="J88" s="322"/>
      <c r="K88" s="322"/>
      <c r="L88" s="351"/>
      <c r="M88" s="351"/>
      <c r="N88" s="322"/>
      <c r="O88" s="322"/>
      <c r="P88" s="322"/>
      <c r="Q88" s="322"/>
      <c r="R88" s="322"/>
      <c r="S88" s="322"/>
      <c r="T88" s="322"/>
      <c r="U88" s="322"/>
    </row>
    <row r="89" spans="1:21" ht="42" x14ac:dyDescent="0.35">
      <c r="A89" s="348">
        <v>9</v>
      </c>
      <c r="B89" s="348" t="s">
        <v>6</v>
      </c>
      <c r="C89" s="349" t="s">
        <v>564</v>
      </c>
      <c r="D89" s="350" t="s">
        <v>580</v>
      </c>
      <c r="E89" s="322" t="s">
        <v>581</v>
      </c>
      <c r="F89" s="322" t="s">
        <v>467</v>
      </c>
      <c r="G89" s="351">
        <v>45874</v>
      </c>
      <c r="H89" s="351">
        <v>45853</v>
      </c>
      <c r="I89" s="322"/>
      <c r="J89" s="322"/>
      <c r="K89" s="322"/>
      <c r="L89" s="351"/>
      <c r="M89" s="351"/>
      <c r="N89" s="322"/>
      <c r="O89" s="322"/>
      <c r="P89" s="322"/>
      <c r="Q89" s="322"/>
      <c r="R89" s="322"/>
      <c r="S89" s="322"/>
      <c r="T89" s="322"/>
      <c r="U89" s="322"/>
    </row>
    <row r="90" spans="1:21" ht="52.5" x14ac:dyDescent="0.35">
      <c r="A90" s="348">
        <v>10</v>
      </c>
      <c r="B90" s="348" t="s">
        <v>6</v>
      </c>
      <c r="C90" s="349" t="s">
        <v>564</v>
      </c>
      <c r="D90" s="350" t="s">
        <v>582</v>
      </c>
      <c r="E90" s="322" t="s">
        <v>583</v>
      </c>
      <c r="F90" s="322" t="s">
        <v>467</v>
      </c>
      <c r="G90" s="351">
        <v>45877</v>
      </c>
      <c r="H90" s="351">
        <v>45853</v>
      </c>
      <c r="I90" s="322"/>
      <c r="J90" s="322"/>
      <c r="K90" s="322"/>
      <c r="L90" s="351"/>
      <c r="M90" s="351"/>
      <c r="N90" s="322"/>
      <c r="O90" s="322"/>
      <c r="P90" s="322"/>
      <c r="Q90" s="322"/>
      <c r="R90" s="322"/>
      <c r="S90" s="322"/>
      <c r="T90" s="322"/>
      <c r="U90" s="322"/>
    </row>
    <row r="91" spans="1:21" ht="42" x14ac:dyDescent="0.35">
      <c r="A91" s="348">
        <v>11</v>
      </c>
      <c r="B91" s="348" t="s">
        <v>6</v>
      </c>
      <c r="C91" s="349" t="s">
        <v>564</v>
      </c>
      <c r="D91" s="350" t="s">
        <v>584</v>
      </c>
      <c r="E91" s="322" t="s">
        <v>585</v>
      </c>
      <c r="F91" s="322" t="s">
        <v>467</v>
      </c>
      <c r="G91" s="351">
        <v>45881</v>
      </c>
      <c r="H91" s="351">
        <v>45860</v>
      </c>
      <c r="I91" s="322"/>
      <c r="J91" s="322"/>
      <c r="K91" s="322"/>
      <c r="L91" s="351"/>
      <c r="M91" s="351"/>
      <c r="N91" s="322"/>
      <c r="O91" s="322"/>
      <c r="P91" s="322"/>
      <c r="Q91" s="322"/>
      <c r="R91" s="322"/>
      <c r="S91" s="322"/>
      <c r="T91" s="322"/>
      <c r="U91" s="322"/>
    </row>
    <row r="92" spans="1:21" ht="42" x14ac:dyDescent="0.35">
      <c r="A92" s="348">
        <v>12</v>
      </c>
      <c r="B92" s="348" t="s">
        <v>6</v>
      </c>
      <c r="C92" s="349" t="s">
        <v>564</v>
      </c>
      <c r="D92" s="350" t="s">
        <v>586</v>
      </c>
      <c r="E92" s="322" t="s">
        <v>587</v>
      </c>
      <c r="F92" s="322" t="s">
        <v>467</v>
      </c>
      <c r="G92" s="351">
        <v>45843</v>
      </c>
      <c r="H92" s="351">
        <v>45860</v>
      </c>
      <c r="I92" s="322"/>
      <c r="J92" s="322"/>
      <c r="K92" s="322"/>
      <c r="L92" s="351"/>
      <c r="M92" s="351"/>
      <c r="N92" s="322"/>
      <c r="O92" s="322"/>
      <c r="P92" s="322"/>
      <c r="Q92" s="322"/>
      <c r="R92" s="322"/>
      <c r="S92" s="322"/>
      <c r="T92" s="322"/>
      <c r="U92" s="322"/>
    </row>
    <row r="93" spans="1:21" ht="42" x14ac:dyDescent="0.35">
      <c r="A93" s="348">
        <v>13</v>
      </c>
      <c r="B93" s="348" t="s">
        <v>6</v>
      </c>
      <c r="C93" s="349" t="s">
        <v>564</v>
      </c>
      <c r="D93" s="350" t="s">
        <v>588</v>
      </c>
      <c r="E93" s="322" t="s">
        <v>589</v>
      </c>
      <c r="F93" s="322" t="s">
        <v>467</v>
      </c>
      <c r="G93" s="351">
        <v>45848</v>
      </c>
      <c r="H93" s="351">
        <v>45864</v>
      </c>
      <c r="I93" s="322"/>
      <c r="J93" s="322"/>
      <c r="K93" s="322"/>
      <c r="L93" s="351"/>
      <c r="M93" s="351"/>
      <c r="N93" s="322"/>
      <c r="O93" s="322"/>
      <c r="P93" s="322"/>
      <c r="Q93" s="322"/>
      <c r="R93" s="322"/>
      <c r="S93" s="322"/>
      <c r="T93" s="322"/>
      <c r="U93" s="322"/>
    </row>
    <row r="94" spans="1:21" ht="63" x14ac:dyDescent="0.35">
      <c r="A94" s="348">
        <v>14</v>
      </c>
      <c r="B94" s="348" t="s">
        <v>6</v>
      </c>
      <c r="C94" s="349" t="s">
        <v>564</v>
      </c>
      <c r="D94" s="350" t="s">
        <v>590</v>
      </c>
      <c r="E94" s="322" t="s">
        <v>591</v>
      </c>
      <c r="F94" s="322" t="s">
        <v>467</v>
      </c>
      <c r="G94" s="351">
        <v>45833</v>
      </c>
      <c r="H94" s="351">
        <v>45870</v>
      </c>
      <c r="I94" s="322"/>
      <c r="J94" s="322"/>
      <c r="K94" s="322"/>
      <c r="L94" s="351"/>
      <c r="M94" s="351"/>
      <c r="N94" s="322"/>
      <c r="O94" s="322"/>
      <c r="P94" s="322"/>
      <c r="Q94" s="322"/>
      <c r="R94" s="322"/>
      <c r="S94" s="322"/>
      <c r="T94" s="322"/>
      <c r="U94" s="322"/>
    </row>
    <row r="95" spans="1:21" ht="63" x14ac:dyDescent="0.35">
      <c r="A95" s="348">
        <v>15</v>
      </c>
      <c r="B95" s="348" t="s">
        <v>6</v>
      </c>
      <c r="C95" s="349" t="s">
        <v>564</v>
      </c>
      <c r="D95" s="390" t="s">
        <v>592</v>
      </c>
      <c r="E95" s="322" t="s">
        <v>593</v>
      </c>
      <c r="F95" s="322" t="s">
        <v>467</v>
      </c>
      <c r="G95" s="351">
        <v>45838</v>
      </c>
      <c r="H95" s="351">
        <v>45838</v>
      </c>
      <c r="I95" s="322"/>
      <c r="J95" s="322"/>
      <c r="K95" s="322" t="s">
        <v>468</v>
      </c>
      <c r="L95" s="351">
        <v>45838</v>
      </c>
      <c r="M95" s="351"/>
      <c r="N95" s="322"/>
      <c r="O95" s="322">
        <f ca="1">O1-L95</f>
        <v>24</v>
      </c>
      <c r="P95" s="322"/>
      <c r="Q95" s="322"/>
      <c r="R95" s="322" t="s">
        <v>492</v>
      </c>
      <c r="S95" s="322"/>
      <c r="T95" s="322" t="s">
        <v>471</v>
      </c>
      <c r="U95" s="322"/>
    </row>
    <row r="96" spans="1:21" ht="42" x14ac:dyDescent="0.35">
      <c r="A96" s="348">
        <v>16</v>
      </c>
      <c r="B96" s="348" t="s">
        <v>6</v>
      </c>
      <c r="C96" s="349" t="s">
        <v>564</v>
      </c>
      <c r="D96" s="350" t="s">
        <v>594</v>
      </c>
      <c r="E96" s="322" t="s">
        <v>595</v>
      </c>
      <c r="F96" s="322" t="s">
        <v>467</v>
      </c>
      <c r="G96" s="351">
        <v>45843</v>
      </c>
      <c r="H96" s="351">
        <v>45868</v>
      </c>
      <c r="I96" s="322"/>
      <c r="J96" s="322"/>
      <c r="K96" s="322"/>
      <c r="L96" s="351"/>
      <c r="M96" s="351"/>
      <c r="N96" s="322"/>
      <c r="O96" s="322"/>
      <c r="P96" s="322"/>
      <c r="Q96" s="322"/>
      <c r="R96" s="322"/>
      <c r="S96" s="322"/>
      <c r="T96" s="322"/>
      <c r="U96" s="322"/>
    </row>
    <row r="97" spans="1:21" ht="42" x14ac:dyDescent="0.35">
      <c r="A97" s="348">
        <v>17</v>
      </c>
      <c r="B97" s="348" t="s">
        <v>6</v>
      </c>
      <c r="C97" s="349" t="s">
        <v>564</v>
      </c>
      <c r="D97" s="350" t="s">
        <v>596</v>
      </c>
      <c r="E97" s="322" t="s">
        <v>597</v>
      </c>
      <c r="F97" s="322" t="s">
        <v>467</v>
      </c>
      <c r="G97" s="351">
        <v>45846</v>
      </c>
      <c r="H97" s="331">
        <f>H94</f>
        <v>45870</v>
      </c>
      <c r="I97" s="322"/>
      <c r="J97" s="322"/>
      <c r="K97" s="322"/>
      <c r="L97" s="351"/>
      <c r="M97" s="351"/>
      <c r="N97" s="322"/>
      <c r="O97" s="322"/>
      <c r="P97" s="322"/>
      <c r="Q97" s="322"/>
      <c r="R97" s="322"/>
      <c r="S97" s="322"/>
      <c r="T97" s="322"/>
      <c r="U97" s="322"/>
    </row>
    <row r="98" spans="1:21" ht="52.5" x14ac:dyDescent="0.35">
      <c r="A98" s="348">
        <v>18</v>
      </c>
      <c r="B98" s="348" t="s">
        <v>6</v>
      </c>
      <c r="C98" s="349" t="s">
        <v>564</v>
      </c>
      <c r="D98" s="350" t="s">
        <v>598</v>
      </c>
      <c r="E98" s="322" t="s">
        <v>599</v>
      </c>
      <c r="F98" s="320" t="s">
        <v>477</v>
      </c>
      <c r="G98" s="331">
        <v>45848</v>
      </c>
      <c r="H98" s="331">
        <v>45848</v>
      </c>
      <c r="I98" s="320"/>
      <c r="J98" s="320"/>
      <c r="K98" s="322"/>
      <c r="L98" s="351"/>
      <c r="M98" s="351"/>
      <c r="N98" s="322"/>
      <c r="O98" s="322"/>
      <c r="P98" s="322"/>
      <c r="Q98" s="322"/>
      <c r="R98" s="322"/>
      <c r="S98" s="322"/>
      <c r="T98" s="322"/>
      <c r="U98" s="322"/>
    </row>
    <row r="99" spans="1:21" ht="42" x14ac:dyDescent="0.35">
      <c r="A99" s="337">
        <v>19</v>
      </c>
      <c r="B99" s="337" t="s">
        <v>6</v>
      </c>
      <c r="C99" s="340" t="s">
        <v>564</v>
      </c>
      <c r="D99" s="391" t="s">
        <v>600</v>
      </c>
      <c r="E99" s="337" t="s">
        <v>601</v>
      </c>
      <c r="F99" s="337" t="s">
        <v>477</v>
      </c>
      <c r="G99" s="338">
        <v>45853</v>
      </c>
      <c r="H99" s="338">
        <v>45876</v>
      </c>
      <c r="I99" s="337"/>
      <c r="J99" s="337"/>
      <c r="K99" s="337" t="s">
        <v>468</v>
      </c>
      <c r="L99" s="338">
        <v>45855</v>
      </c>
      <c r="M99" s="338">
        <v>45859</v>
      </c>
      <c r="N99" s="337" t="s">
        <v>521</v>
      </c>
      <c r="O99" s="337"/>
      <c r="P99" s="337"/>
      <c r="Q99" s="337"/>
      <c r="R99" s="337" t="s">
        <v>398</v>
      </c>
      <c r="S99" s="337" t="str">
        <f>N99</f>
        <v xml:space="preserve">CAT -IV </v>
      </c>
      <c r="T99" s="337" t="s">
        <v>398</v>
      </c>
      <c r="U99" s="337"/>
    </row>
    <row r="100" spans="1:21" ht="42" x14ac:dyDescent="0.35">
      <c r="A100" s="348">
        <v>20</v>
      </c>
      <c r="B100" s="348" t="s">
        <v>6</v>
      </c>
      <c r="C100" s="349" t="s">
        <v>564</v>
      </c>
      <c r="D100" s="350" t="s">
        <v>602</v>
      </c>
      <c r="E100" s="322" t="s">
        <v>603</v>
      </c>
      <c r="F100" s="320" t="s">
        <v>467</v>
      </c>
      <c r="G100" s="331">
        <v>45853</v>
      </c>
      <c r="H100" s="331">
        <v>45876</v>
      </c>
      <c r="I100" s="320"/>
      <c r="J100" s="320"/>
      <c r="K100" s="322"/>
      <c r="L100" s="351"/>
      <c r="M100" s="351"/>
      <c r="N100" s="322"/>
      <c r="O100" s="322"/>
      <c r="P100" s="322"/>
      <c r="Q100" s="322"/>
      <c r="R100" s="322"/>
      <c r="S100" s="322"/>
      <c r="T100" s="322"/>
      <c r="U100" s="322"/>
    </row>
    <row r="101" spans="1:21" ht="42" x14ac:dyDescent="0.35">
      <c r="A101" s="348">
        <v>21</v>
      </c>
      <c r="B101" s="348" t="s">
        <v>6</v>
      </c>
      <c r="C101" s="349" t="s">
        <v>564</v>
      </c>
      <c r="D101" s="350" t="s">
        <v>604</v>
      </c>
      <c r="E101" s="322" t="s">
        <v>605</v>
      </c>
      <c r="F101" s="320" t="s">
        <v>477</v>
      </c>
      <c r="G101" s="331">
        <v>45858</v>
      </c>
      <c r="H101" s="331">
        <v>45882</v>
      </c>
      <c r="I101" s="320"/>
      <c r="J101" s="320"/>
      <c r="K101" s="322"/>
      <c r="L101" s="351"/>
      <c r="M101" s="351"/>
      <c r="N101" s="322"/>
      <c r="O101" s="322"/>
      <c r="P101" s="322"/>
      <c r="Q101" s="322"/>
      <c r="R101" s="322"/>
      <c r="S101" s="322"/>
      <c r="T101" s="322"/>
      <c r="U101" s="322"/>
    </row>
    <row r="102" spans="1:21" ht="42" x14ac:dyDescent="0.35">
      <c r="A102" s="348">
        <v>22</v>
      </c>
      <c r="B102" s="348" t="s">
        <v>6</v>
      </c>
      <c r="C102" s="349" t="s">
        <v>564</v>
      </c>
      <c r="D102" s="350" t="s">
        <v>606</v>
      </c>
      <c r="E102" s="322" t="s">
        <v>607</v>
      </c>
      <c r="F102" s="320" t="s">
        <v>467</v>
      </c>
      <c r="G102" s="331">
        <v>45826</v>
      </c>
      <c r="H102" s="331">
        <f>H101</f>
        <v>45882</v>
      </c>
      <c r="I102" s="320"/>
      <c r="J102" s="320"/>
      <c r="K102" s="322"/>
      <c r="L102" s="351"/>
      <c r="M102" s="351"/>
      <c r="N102" s="322"/>
      <c r="O102" s="322"/>
      <c r="P102" s="322"/>
      <c r="Q102" s="322"/>
      <c r="R102" s="322"/>
      <c r="S102" s="322"/>
      <c r="T102" s="322"/>
      <c r="U102" s="322"/>
    </row>
    <row r="103" spans="1:21" ht="42" x14ac:dyDescent="0.35">
      <c r="A103" s="348">
        <v>23</v>
      </c>
      <c r="B103" s="348" t="s">
        <v>6</v>
      </c>
      <c r="C103" s="349" t="s">
        <v>564</v>
      </c>
      <c r="D103" s="350" t="s">
        <v>608</v>
      </c>
      <c r="E103" s="322" t="s">
        <v>609</v>
      </c>
      <c r="F103" s="320" t="s">
        <v>477</v>
      </c>
      <c r="G103" s="331">
        <v>45833</v>
      </c>
      <c r="H103" s="331">
        <v>45887</v>
      </c>
      <c r="I103" s="320"/>
      <c r="J103" s="320"/>
      <c r="K103" s="322"/>
      <c r="L103" s="351"/>
      <c r="M103" s="351"/>
      <c r="N103" s="322"/>
      <c r="O103" s="322"/>
      <c r="P103" s="322"/>
      <c r="Q103" s="322"/>
      <c r="R103" s="322"/>
      <c r="S103" s="322"/>
      <c r="T103" s="322"/>
      <c r="U103" s="322"/>
    </row>
    <row r="104" spans="1:21" ht="52.5" x14ac:dyDescent="0.35">
      <c r="A104" s="348">
        <v>24</v>
      </c>
      <c r="B104" s="348" t="s">
        <v>6</v>
      </c>
      <c r="C104" s="349" t="s">
        <v>564</v>
      </c>
      <c r="D104" s="350" t="s">
        <v>610</v>
      </c>
      <c r="E104" s="322" t="s">
        <v>611</v>
      </c>
      <c r="F104" s="320" t="s">
        <v>467</v>
      </c>
      <c r="G104" s="331">
        <v>45863</v>
      </c>
      <c r="H104" s="331">
        <v>45887</v>
      </c>
      <c r="I104" s="320"/>
      <c r="J104" s="320"/>
      <c r="K104" s="322"/>
      <c r="L104" s="351"/>
      <c r="M104" s="351"/>
      <c r="N104" s="322"/>
      <c r="O104" s="322"/>
      <c r="P104" s="322"/>
      <c r="Q104" s="322"/>
      <c r="R104" s="322"/>
      <c r="S104" s="322"/>
      <c r="T104" s="322"/>
      <c r="U104" s="322"/>
    </row>
    <row r="105" spans="1:21" ht="42" x14ac:dyDescent="0.35">
      <c r="A105" s="348">
        <v>25</v>
      </c>
      <c r="B105" s="348" t="s">
        <v>6</v>
      </c>
      <c r="C105" s="349" t="s">
        <v>564</v>
      </c>
      <c r="D105" s="390" t="s">
        <v>612</v>
      </c>
      <c r="E105" s="322" t="s">
        <v>613</v>
      </c>
      <c r="F105" s="320" t="s">
        <v>467</v>
      </c>
      <c r="G105" s="351">
        <v>45828</v>
      </c>
      <c r="H105" s="331">
        <v>45887</v>
      </c>
      <c r="I105" s="320"/>
      <c r="J105" s="320"/>
      <c r="K105" s="322" t="s">
        <v>468</v>
      </c>
      <c r="L105" s="351">
        <v>45849</v>
      </c>
      <c r="M105" s="351"/>
      <c r="N105" s="322"/>
      <c r="O105" s="322"/>
      <c r="P105" s="322"/>
      <c r="Q105" s="322"/>
      <c r="R105" s="322" t="s">
        <v>492</v>
      </c>
      <c r="S105" s="322"/>
      <c r="T105" s="322" t="s">
        <v>471</v>
      </c>
      <c r="U105" s="322"/>
    </row>
    <row r="106" spans="1:21" ht="52.5" x14ac:dyDescent="0.35">
      <c r="A106" s="348">
        <v>26</v>
      </c>
      <c r="B106" s="348" t="s">
        <v>6</v>
      </c>
      <c r="C106" s="349" t="s">
        <v>564</v>
      </c>
      <c r="D106" s="390" t="s">
        <v>614</v>
      </c>
      <c r="E106" s="322" t="s">
        <v>615</v>
      </c>
      <c r="F106" s="320" t="s">
        <v>477</v>
      </c>
      <c r="G106" s="351">
        <v>45833</v>
      </c>
      <c r="H106" s="331">
        <f>H94</f>
        <v>45870</v>
      </c>
      <c r="I106" s="320"/>
      <c r="J106" s="320"/>
      <c r="K106" s="322" t="s">
        <v>468</v>
      </c>
      <c r="L106" s="351">
        <v>45849</v>
      </c>
      <c r="M106" s="351"/>
      <c r="N106" s="322"/>
      <c r="O106" s="322"/>
      <c r="P106" s="322"/>
      <c r="Q106" s="322"/>
      <c r="R106" s="322" t="s">
        <v>492</v>
      </c>
      <c r="S106" s="322"/>
      <c r="T106" s="322" t="s">
        <v>471</v>
      </c>
      <c r="U106" s="322"/>
    </row>
    <row r="107" spans="1:21" ht="63" x14ac:dyDescent="0.35">
      <c r="A107" s="348">
        <v>27</v>
      </c>
      <c r="B107" s="348" t="s">
        <v>6</v>
      </c>
      <c r="C107" s="349" t="s">
        <v>564</v>
      </c>
      <c r="D107" s="350" t="s">
        <v>616</v>
      </c>
      <c r="E107" s="322" t="s">
        <v>617</v>
      </c>
      <c r="F107" s="320" t="s">
        <v>467</v>
      </c>
      <c r="G107" s="351">
        <v>45836</v>
      </c>
      <c r="H107" s="331">
        <v>45889</v>
      </c>
      <c r="I107" s="320"/>
      <c r="J107" s="320"/>
      <c r="K107" s="322"/>
      <c r="L107" s="351"/>
      <c r="M107" s="351"/>
      <c r="N107" s="322"/>
      <c r="O107" s="322"/>
      <c r="P107" s="322"/>
      <c r="Q107" s="322"/>
      <c r="R107" s="322"/>
      <c r="S107" s="322"/>
      <c r="T107" s="322"/>
      <c r="U107" s="322"/>
    </row>
    <row r="108" spans="1:21" ht="42" x14ac:dyDescent="0.35">
      <c r="A108" s="348">
        <v>28</v>
      </c>
      <c r="B108" s="348" t="s">
        <v>6</v>
      </c>
      <c r="C108" s="349" t="s">
        <v>564</v>
      </c>
      <c r="D108" s="350" t="s">
        <v>618</v>
      </c>
      <c r="E108" s="322" t="s">
        <v>619</v>
      </c>
      <c r="F108" s="322" t="s">
        <v>467</v>
      </c>
      <c r="G108" s="351">
        <v>45858</v>
      </c>
      <c r="H108" s="331">
        <v>45889</v>
      </c>
      <c r="I108" s="322"/>
      <c r="J108" s="322"/>
      <c r="K108" s="322"/>
      <c r="L108" s="351"/>
      <c r="M108" s="351"/>
      <c r="N108" s="322"/>
      <c r="O108" s="322"/>
      <c r="P108" s="322"/>
      <c r="Q108" s="322"/>
      <c r="R108" s="322"/>
      <c r="S108" s="322"/>
      <c r="T108" s="322"/>
      <c r="U108" s="322"/>
    </row>
    <row r="109" spans="1:21" ht="42" x14ac:dyDescent="0.35">
      <c r="A109" s="348">
        <v>29</v>
      </c>
      <c r="B109" s="348" t="s">
        <v>6</v>
      </c>
      <c r="C109" s="349" t="s">
        <v>564</v>
      </c>
      <c r="D109" s="350" t="s">
        <v>620</v>
      </c>
      <c r="E109" s="322" t="s">
        <v>621</v>
      </c>
      <c r="F109" s="322" t="s">
        <v>467</v>
      </c>
      <c r="G109" s="351">
        <v>45863</v>
      </c>
      <c r="H109" s="331">
        <f>G109</f>
        <v>45863</v>
      </c>
      <c r="I109" s="322"/>
      <c r="J109" s="322"/>
      <c r="K109" s="322"/>
      <c r="L109" s="351"/>
      <c r="M109" s="351"/>
      <c r="N109" s="322"/>
      <c r="O109" s="322"/>
      <c r="P109" s="322"/>
      <c r="Q109" s="322"/>
      <c r="R109" s="322"/>
      <c r="S109" s="322"/>
      <c r="T109" s="322"/>
      <c r="U109" s="322"/>
    </row>
    <row r="110" spans="1:21" x14ac:dyDescent="0.35">
      <c r="A110" s="333">
        <v>1</v>
      </c>
      <c r="B110" s="333" t="s">
        <v>622</v>
      </c>
      <c r="C110" s="334" t="s">
        <v>623</v>
      </c>
      <c r="D110" s="335" t="s">
        <v>624</v>
      </c>
      <c r="E110" s="333" t="s">
        <v>625</v>
      </c>
      <c r="F110" s="333" t="s">
        <v>467</v>
      </c>
      <c r="G110" s="336">
        <v>45719</v>
      </c>
      <c r="H110" s="345">
        <f>L110</f>
        <v>45714</v>
      </c>
      <c r="I110" s="333"/>
      <c r="J110" s="333"/>
      <c r="K110" s="337" t="s">
        <v>468</v>
      </c>
      <c r="L110" s="338">
        <v>45714</v>
      </c>
      <c r="M110" s="338">
        <v>45721</v>
      </c>
      <c r="N110" s="337" t="s">
        <v>469</v>
      </c>
      <c r="O110" s="337">
        <f t="shared" ref="O110:O120" si="2">M110-L110</f>
        <v>7</v>
      </c>
      <c r="P110" s="337">
        <f>L111-M110</f>
        <v>33</v>
      </c>
      <c r="Q110" s="333"/>
      <c r="R110" s="333" t="s">
        <v>398</v>
      </c>
      <c r="S110" s="333" t="str">
        <f>N113</f>
        <v>CAT - I</v>
      </c>
      <c r="T110" s="333" t="s">
        <v>398</v>
      </c>
      <c r="U110" s="333"/>
    </row>
    <row r="111" spans="1:21" x14ac:dyDescent="0.35">
      <c r="A111" s="333"/>
      <c r="B111" s="333"/>
      <c r="C111" s="334"/>
      <c r="D111" s="335"/>
      <c r="E111" s="333"/>
      <c r="F111" s="333"/>
      <c r="G111" s="336"/>
      <c r="H111" s="345"/>
      <c r="I111" s="333"/>
      <c r="J111" s="333"/>
      <c r="K111" s="337" t="s">
        <v>470</v>
      </c>
      <c r="L111" s="338">
        <v>45754</v>
      </c>
      <c r="M111" s="338">
        <v>45763</v>
      </c>
      <c r="N111" s="337" t="s">
        <v>469</v>
      </c>
      <c r="O111" s="337">
        <f t="shared" si="2"/>
        <v>9</v>
      </c>
      <c r="P111" s="337">
        <f>L112-M111</f>
        <v>4</v>
      </c>
      <c r="Q111" s="333"/>
      <c r="R111" s="333"/>
      <c r="S111" s="333"/>
      <c r="T111" s="333"/>
      <c r="U111" s="333"/>
    </row>
    <row r="112" spans="1:21" x14ac:dyDescent="0.35">
      <c r="A112" s="333"/>
      <c r="B112" s="333"/>
      <c r="C112" s="334"/>
      <c r="D112" s="335"/>
      <c r="E112" s="333"/>
      <c r="F112" s="333"/>
      <c r="G112" s="336"/>
      <c r="H112" s="345"/>
      <c r="I112" s="333"/>
      <c r="J112" s="333"/>
      <c r="K112" s="337" t="s">
        <v>472</v>
      </c>
      <c r="L112" s="338">
        <v>45767</v>
      </c>
      <c r="M112" s="338">
        <v>45770</v>
      </c>
      <c r="N112" s="337" t="s">
        <v>491</v>
      </c>
      <c r="O112" s="337">
        <f t="shared" si="2"/>
        <v>3</v>
      </c>
      <c r="P112" s="337">
        <f>L113-M112</f>
        <v>1</v>
      </c>
      <c r="Q112" s="333"/>
      <c r="R112" s="333"/>
      <c r="S112" s="333"/>
      <c r="T112" s="333"/>
      <c r="U112" s="333"/>
    </row>
    <row r="113" spans="1:21" x14ac:dyDescent="0.35">
      <c r="A113" s="333"/>
      <c r="B113" s="333"/>
      <c r="C113" s="334"/>
      <c r="D113" s="335"/>
      <c r="E113" s="333"/>
      <c r="F113" s="333"/>
      <c r="G113" s="336"/>
      <c r="H113" s="345"/>
      <c r="I113" s="333"/>
      <c r="J113" s="333"/>
      <c r="K113" s="337" t="s">
        <v>473</v>
      </c>
      <c r="L113" s="338">
        <v>45771</v>
      </c>
      <c r="M113" s="338">
        <v>45820</v>
      </c>
      <c r="N113" s="337" t="s">
        <v>482</v>
      </c>
      <c r="O113" s="337">
        <f t="shared" si="2"/>
        <v>49</v>
      </c>
      <c r="P113" s="337"/>
      <c r="Q113" s="333"/>
      <c r="R113" s="333"/>
      <c r="S113" s="333"/>
      <c r="T113" s="333"/>
      <c r="U113" s="333"/>
    </row>
    <row r="114" spans="1:21" x14ac:dyDescent="0.35">
      <c r="A114" s="392">
        <v>2</v>
      </c>
      <c r="B114" s="392" t="s">
        <v>622</v>
      </c>
      <c r="C114" s="393" t="s">
        <v>623</v>
      </c>
      <c r="D114" s="394" t="s">
        <v>837</v>
      </c>
      <c r="E114" s="381" t="s">
        <v>626</v>
      </c>
      <c r="F114" s="381" t="s">
        <v>467</v>
      </c>
      <c r="G114" s="395">
        <v>45755</v>
      </c>
      <c r="H114" s="382">
        <f>L114</f>
        <v>45772</v>
      </c>
      <c r="I114" s="381"/>
      <c r="J114" s="381"/>
      <c r="K114" s="322" t="s">
        <v>468</v>
      </c>
      <c r="L114" s="351">
        <v>45772</v>
      </c>
      <c r="M114" s="351">
        <v>45790</v>
      </c>
      <c r="N114" s="322" t="s">
        <v>469</v>
      </c>
      <c r="O114" s="322">
        <f t="shared" si="2"/>
        <v>18</v>
      </c>
      <c r="P114" s="322">
        <f>L115-M114</f>
        <v>3</v>
      </c>
      <c r="Q114" s="381"/>
      <c r="R114" s="381" t="s">
        <v>492</v>
      </c>
      <c r="S114" s="381" t="str">
        <f>N114</f>
        <v>CAT - III</v>
      </c>
      <c r="T114" s="381" t="s">
        <v>474</v>
      </c>
      <c r="U114" s="381">
        <f ca="1">U1-L115</f>
        <v>69</v>
      </c>
    </row>
    <row r="115" spans="1:21" x14ac:dyDescent="0.35">
      <c r="A115" s="392"/>
      <c r="B115" s="392"/>
      <c r="C115" s="393"/>
      <c r="D115" s="394"/>
      <c r="E115" s="381"/>
      <c r="F115" s="381"/>
      <c r="G115" s="395"/>
      <c r="H115" s="382"/>
      <c r="I115" s="381"/>
      <c r="J115" s="381"/>
      <c r="K115" s="322" t="s">
        <v>470</v>
      </c>
      <c r="L115" s="351">
        <v>45793</v>
      </c>
      <c r="M115" s="351">
        <v>45827</v>
      </c>
      <c r="N115" s="322"/>
      <c r="O115" s="322">
        <f t="shared" si="2"/>
        <v>34</v>
      </c>
      <c r="P115" s="322">
        <f ca="1">O1-M115</f>
        <v>35</v>
      </c>
      <c r="Q115" s="381"/>
      <c r="R115" s="381"/>
      <c r="S115" s="381"/>
      <c r="T115" s="381"/>
      <c r="U115" s="381"/>
    </row>
    <row r="116" spans="1:21" x14ac:dyDescent="0.35">
      <c r="A116" s="342">
        <v>3</v>
      </c>
      <c r="B116" s="342" t="s">
        <v>622</v>
      </c>
      <c r="C116" s="343" t="s">
        <v>623</v>
      </c>
      <c r="D116" s="347" t="s">
        <v>627</v>
      </c>
      <c r="E116" s="342" t="s">
        <v>628</v>
      </c>
      <c r="F116" s="342" t="s">
        <v>467</v>
      </c>
      <c r="G116" s="345">
        <v>45762</v>
      </c>
      <c r="H116" s="345">
        <f>L116</f>
        <v>45790</v>
      </c>
      <c r="I116" s="342"/>
      <c r="J116" s="342"/>
      <c r="K116" s="337" t="s">
        <v>468</v>
      </c>
      <c r="L116" s="338">
        <v>45790</v>
      </c>
      <c r="M116" s="338">
        <v>45821</v>
      </c>
      <c r="N116" s="337" t="s">
        <v>469</v>
      </c>
      <c r="O116" s="337">
        <f t="shared" si="2"/>
        <v>31</v>
      </c>
      <c r="P116" s="337">
        <f>L117-M116</f>
        <v>11</v>
      </c>
      <c r="Q116" s="337"/>
      <c r="R116" s="342" t="s">
        <v>398</v>
      </c>
      <c r="S116" s="342" t="str">
        <f>N117</f>
        <v>CAT - I</v>
      </c>
      <c r="T116" s="342" t="s">
        <v>398</v>
      </c>
      <c r="U116" s="337">
        <f ca="1">U1-L116</f>
        <v>72</v>
      </c>
    </row>
    <row r="117" spans="1:21" x14ac:dyDescent="0.35">
      <c r="A117" s="342"/>
      <c r="B117" s="342"/>
      <c r="C117" s="343"/>
      <c r="D117" s="347"/>
      <c r="E117" s="342"/>
      <c r="F117" s="342"/>
      <c r="G117" s="345"/>
      <c r="H117" s="345"/>
      <c r="I117" s="342"/>
      <c r="J117" s="342"/>
      <c r="K117" s="337" t="s">
        <v>470</v>
      </c>
      <c r="L117" s="338">
        <v>45832</v>
      </c>
      <c r="M117" s="338">
        <v>45840</v>
      </c>
      <c r="N117" s="337" t="s">
        <v>482</v>
      </c>
      <c r="O117" s="337">
        <f t="shared" si="2"/>
        <v>8</v>
      </c>
      <c r="P117" s="337"/>
      <c r="Q117" s="337"/>
      <c r="R117" s="396"/>
      <c r="S117" s="342"/>
      <c r="T117" s="342"/>
      <c r="U117" s="337"/>
    </row>
    <row r="118" spans="1:21" x14ac:dyDescent="0.35">
      <c r="A118" s="397">
        <v>4</v>
      </c>
      <c r="B118" s="397" t="s">
        <v>622</v>
      </c>
      <c r="C118" s="398" t="s">
        <v>623</v>
      </c>
      <c r="D118" s="399" t="s">
        <v>629</v>
      </c>
      <c r="E118" s="357" t="s">
        <v>630</v>
      </c>
      <c r="F118" s="357" t="s">
        <v>467</v>
      </c>
      <c r="G118" s="382">
        <v>45780</v>
      </c>
      <c r="H118" s="382">
        <f>L118</f>
        <v>45758</v>
      </c>
      <c r="I118" s="381"/>
      <c r="J118" s="381"/>
      <c r="K118" s="322" t="s">
        <v>468</v>
      </c>
      <c r="L118" s="351">
        <v>45758</v>
      </c>
      <c r="M118" s="351">
        <v>45766</v>
      </c>
      <c r="N118" s="322" t="s">
        <v>469</v>
      </c>
      <c r="O118" s="322">
        <f t="shared" si="2"/>
        <v>8</v>
      </c>
      <c r="P118" s="322">
        <f>L119-M118</f>
        <v>27</v>
      </c>
      <c r="Q118" s="357"/>
      <c r="R118" s="357" t="s">
        <v>492</v>
      </c>
      <c r="S118" s="357" t="str">
        <f>N120</f>
        <v>CAT - II</v>
      </c>
      <c r="T118" s="357" t="s">
        <v>471</v>
      </c>
      <c r="U118" s="357">
        <f ca="1">U1-M120</f>
        <v>35</v>
      </c>
    </row>
    <row r="119" spans="1:21" x14ac:dyDescent="0.35">
      <c r="A119" s="397"/>
      <c r="B119" s="397"/>
      <c r="C119" s="398"/>
      <c r="D119" s="399"/>
      <c r="E119" s="357"/>
      <c r="F119" s="357"/>
      <c r="G119" s="382"/>
      <c r="H119" s="382"/>
      <c r="I119" s="381"/>
      <c r="J119" s="381"/>
      <c r="K119" s="322" t="s">
        <v>470</v>
      </c>
      <c r="L119" s="351">
        <v>45793</v>
      </c>
      <c r="M119" s="351">
        <v>45808</v>
      </c>
      <c r="N119" s="322" t="s">
        <v>469</v>
      </c>
      <c r="O119" s="322">
        <f t="shared" si="2"/>
        <v>15</v>
      </c>
      <c r="P119" s="322">
        <f>L120-M119</f>
        <v>15</v>
      </c>
      <c r="Q119" s="357"/>
      <c r="R119" s="357"/>
      <c r="S119" s="357"/>
      <c r="T119" s="357"/>
      <c r="U119" s="357"/>
    </row>
    <row r="120" spans="1:21" x14ac:dyDescent="0.35">
      <c r="A120" s="397"/>
      <c r="B120" s="397"/>
      <c r="C120" s="398"/>
      <c r="D120" s="399"/>
      <c r="E120" s="357"/>
      <c r="F120" s="357"/>
      <c r="G120" s="382"/>
      <c r="H120" s="382"/>
      <c r="I120" s="381"/>
      <c r="J120" s="381"/>
      <c r="K120" s="322" t="s">
        <v>472</v>
      </c>
      <c r="L120" s="351">
        <v>45823</v>
      </c>
      <c r="M120" s="351">
        <v>45827</v>
      </c>
      <c r="N120" s="322" t="s">
        <v>491</v>
      </c>
      <c r="O120" s="322">
        <f t="shared" si="2"/>
        <v>4</v>
      </c>
      <c r="P120" s="322"/>
      <c r="Q120" s="357"/>
      <c r="R120" s="357"/>
      <c r="S120" s="357"/>
      <c r="T120" s="357"/>
      <c r="U120" s="357"/>
    </row>
    <row r="121" spans="1:21" x14ac:dyDescent="0.35">
      <c r="A121" s="397"/>
      <c r="B121" s="397"/>
      <c r="C121" s="398"/>
      <c r="D121" s="399"/>
      <c r="E121" s="357"/>
      <c r="F121" s="357"/>
      <c r="G121" s="382"/>
      <c r="H121" s="382"/>
      <c r="I121" s="322"/>
      <c r="J121" s="322"/>
      <c r="K121" s="322" t="s">
        <v>473</v>
      </c>
      <c r="L121" s="351">
        <v>45851</v>
      </c>
      <c r="M121" s="351"/>
      <c r="N121" s="322"/>
      <c r="O121" s="322"/>
      <c r="P121" s="322"/>
      <c r="Q121" s="357"/>
      <c r="R121" s="357"/>
      <c r="S121" s="357"/>
      <c r="T121" s="357"/>
      <c r="U121" s="357"/>
    </row>
    <row r="122" spans="1:21" ht="42" x14ac:dyDescent="0.35">
      <c r="A122" s="400">
        <v>5</v>
      </c>
      <c r="B122" s="400" t="s">
        <v>622</v>
      </c>
      <c r="C122" s="401" t="s">
        <v>623</v>
      </c>
      <c r="D122" s="402" t="s">
        <v>631</v>
      </c>
      <c r="E122" s="322" t="s">
        <v>632</v>
      </c>
      <c r="F122" s="322" t="s">
        <v>467</v>
      </c>
      <c r="G122" s="351">
        <v>45835</v>
      </c>
      <c r="H122" s="331">
        <v>45848</v>
      </c>
      <c r="I122" s="322"/>
      <c r="J122" s="322"/>
      <c r="K122" s="322" t="s">
        <v>468</v>
      </c>
      <c r="L122" s="351">
        <v>45845</v>
      </c>
      <c r="M122" s="351"/>
      <c r="N122" s="322"/>
      <c r="O122" s="322">
        <f ca="1">O1-L122</f>
        <v>17</v>
      </c>
      <c r="P122" s="322"/>
      <c r="Q122" s="322"/>
      <c r="R122" s="322" t="s">
        <v>492</v>
      </c>
      <c r="S122" s="322"/>
      <c r="T122" s="322" t="s">
        <v>471</v>
      </c>
      <c r="U122" s="322"/>
    </row>
    <row r="123" spans="1:21" ht="42" x14ac:dyDescent="0.35">
      <c r="A123" s="400">
        <v>6</v>
      </c>
      <c r="B123" s="400" t="s">
        <v>622</v>
      </c>
      <c r="C123" s="401" t="s">
        <v>623</v>
      </c>
      <c r="D123" s="402" t="s">
        <v>633</v>
      </c>
      <c r="E123" s="322" t="s">
        <v>634</v>
      </c>
      <c r="F123" s="322" t="s">
        <v>467</v>
      </c>
      <c r="G123" s="351">
        <v>45835</v>
      </c>
      <c r="H123" s="331">
        <v>45848</v>
      </c>
      <c r="I123" s="322"/>
      <c r="J123" s="322"/>
      <c r="K123" s="322" t="s">
        <v>468</v>
      </c>
      <c r="L123" s="351">
        <v>45848</v>
      </c>
      <c r="M123" s="351"/>
      <c r="N123" s="322"/>
      <c r="O123" s="322">
        <f ca="1">O1-L123</f>
        <v>14</v>
      </c>
      <c r="P123" s="322"/>
      <c r="Q123" s="322"/>
      <c r="R123" s="322" t="s">
        <v>492</v>
      </c>
      <c r="S123" s="322"/>
      <c r="T123" s="322" t="s">
        <v>471</v>
      </c>
      <c r="U123" s="322"/>
    </row>
    <row r="124" spans="1:21" ht="31.5" x14ac:dyDescent="0.35">
      <c r="A124" s="400">
        <v>7</v>
      </c>
      <c r="B124" s="400" t="s">
        <v>622</v>
      </c>
      <c r="C124" s="401" t="s">
        <v>623</v>
      </c>
      <c r="D124" s="403" t="s">
        <v>635</v>
      </c>
      <c r="E124" s="322" t="s">
        <v>636</v>
      </c>
      <c r="F124" s="322" t="s">
        <v>467</v>
      </c>
      <c r="G124" s="351">
        <v>45835</v>
      </c>
      <c r="H124" s="331">
        <v>45849</v>
      </c>
      <c r="I124" s="322"/>
      <c r="J124" s="322"/>
      <c r="K124" s="322"/>
      <c r="L124" s="351"/>
      <c r="M124" s="351"/>
      <c r="N124" s="322"/>
      <c r="O124" s="322"/>
      <c r="P124" s="322"/>
      <c r="Q124" s="322"/>
      <c r="R124" s="322"/>
      <c r="S124" s="322"/>
      <c r="T124" s="322"/>
      <c r="U124" s="322"/>
    </row>
    <row r="125" spans="1:21" ht="31.5" x14ac:dyDescent="0.35">
      <c r="A125" s="400">
        <v>8</v>
      </c>
      <c r="B125" s="400" t="s">
        <v>622</v>
      </c>
      <c r="C125" s="401" t="s">
        <v>623</v>
      </c>
      <c r="D125" s="402" t="s">
        <v>637</v>
      </c>
      <c r="E125" s="322" t="s">
        <v>638</v>
      </c>
      <c r="F125" s="322" t="s">
        <v>467</v>
      </c>
      <c r="G125" s="351">
        <v>45835</v>
      </c>
      <c r="H125" s="331">
        <v>45849</v>
      </c>
      <c r="I125" s="322"/>
      <c r="J125" s="322"/>
      <c r="K125" s="322" t="s">
        <v>468</v>
      </c>
      <c r="L125" s="351">
        <v>45845</v>
      </c>
      <c r="M125" s="351"/>
      <c r="N125" s="322"/>
      <c r="O125" s="322">
        <f ca="1">O1-L125</f>
        <v>17</v>
      </c>
      <c r="P125" s="322"/>
      <c r="Q125" s="322"/>
      <c r="R125" s="322" t="s">
        <v>492</v>
      </c>
      <c r="S125" s="322"/>
      <c r="T125" s="322" t="s">
        <v>471</v>
      </c>
      <c r="U125" s="322"/>
    </row>
    <row r="126" spans="1:21" x14ac:dyDescent="0.35">
      <c r="A126" s="397">
        <v>9</v>
      </c>
      <c r="B126" s="397" t="s">
        <v>622</v>
      </c>
      <c r="C126" s="398" t="s">
        <v>623</v>
      </c>
      <c r="D126" s="394" t="s">
        <v>639</v>
      </c>
      <c r="E126" s="357" t="s">
        <v>640</v>
      </c>
      <c r="F126" s="357" t="s">
        <v>467</v>
      </c>
      <c r="G126" s="382">
        <v>45768</v>
      </c>
      <c r="H126" s="382">
        <f>L126</f>
        <v>45804</v>
      </c>
      <c r="I126" s="357"/>
      <c r="J126" s="357"/>
      <c r="K126" s="322" t="s">
        <v>468</v>
      </c>
      <c r="L126" s="351">
        <v>45804</v>
      </c>
      <c r="M126" s="351">
        <v>45812</v>
      </c>
      <c r="N126" s="322" t="s">
        <v>469</v>
      </c>
      <c r="O126" s="322">
        <f>M126-L126</f>
        <v>8</v>
      </c>
      <c r="P126" s="322">
        <f>L127-M126</f>
        <v>9</v>
      </c>
      <c r="Q126" s="322"/>
      <c r="R126" s="381" t="s">
        <v>499</v>
      </c>
      <c r="S126" s="381" t="str">
        <f>N128</f>
        <v>CAT - II</v>
      </c>
      <c r="T126" s="381" t="s">
        <v>474</v>
      </c>
      <c r="U126" s="357">
        <f ca="1">U1-L126</f>
        <v>58</v>
      </c>
    </row>
    <row r="127" spans="1:21" x14ac:dyDescent="0.35">
      <c r="A127" s="397"/>
      <c r="B127" s="397"/>
      <c r="C127" s="398"/>
      <c r="D127" s="394"/>
      <c r="E127" s="357"/>
      <c r="F127" s="357"/>
      <c r="G127" s="382"/>
      <c r="H127" s="382"/>
      <c r="I127" s="357"/>
      <c r="J127" s="357"/>
      <c r="K127" s="322" t="s">
        <v>470</v>
      </c>
      <c r="L127" s="351">
        <v>45821</v>
      </c>
      <c r="M127" s="351">
        <v>45825</v>
      </c>
      <c r="N127" s="322" t="s">
        <v>469</v>
      </c>
      <c r="O127" s="322">
        <f>M127-L127</f>
        <v>4</v>
      </c>
      <c r="P127" s="322">
        <f>L128-M127</f>
        <v>1</v>
      </c>
      <c r="Q127" s="322"/>
      <c r="R127" s="381"/>
      <c r="S127" s="381"/>
      <c r="T127" s="381"/>
      <c r="U127" s="357"/>
    </row>
    <row r="128" spans="1:21" x14ac:dyDescent="0.35">
      <c r="A128" s="397"/>
      <c r="B128" s="397"/>
      <c r="C128" s="398"/>
      <c r="D128" s="394"/>
      <c r="E128" s="357"/>
      <c r="F128" s="357"/>
      <c r="G128" s="382"/>
      <c r="H128" s="382"/>
      <c r="I128" s="357"/>
      <c r="J128" s="357"/>
      <c r="K128" s="322" t="s">
        <v>472</v>
      </c>
      <c r="L128" s="351">
        <v>45826</v>
      </c>
      <c r="M128" s="351">
        <v>45828</v>
      </c>
      <c r="N128" s="322" t="s">
        <v>491</v>
      </c>
      <c r="O128" s="322">
        <f>M128-L128</f>
        <v>2</v>
      </c>
      <c r="P128" s="322"/>
      <c r="Q128" s="322"/>
      <c r="R128" s="381"/>
      <c r="S128" s="381"/>
      <c r="T128" s="381"/>
      <c r="U128" s="357"/>
    </row>
    <row r="129" spans="1:21" ht="52.5" x14ac:dyDescent="0.35">
      <c r="A129" s="400">
        <v>10</v>
      </c>
      <c r="B129" s="400" t="s">
        <v>622</v>
      </c>
      <c r="C129" s="401" t="s">
        <v>623</v>
      </c>
      <c r="D129" s="402" t="s">
        <v>641</v>
      </c>
      <c r="E129" s="322" t="s">
        <v>642</v>
      </c>
      <c r="F129" s="322" t="s">
        <v>467</v>
      </c>
      <c r="G129" s="351">
        <v>45800</v>
      </c>
      <c r="H129" s="351">
        <f>L129</f>
        <v>45840</v>
      </c>
      <c r="I129" s="322"/>
      <c r="J129" s="322"/>
      <c r="K129" s="322" t="s">
        <v>468</v>
      </c>
      <c r="L129" s="351">
        <v>45840</v>
      </c>
      <c r="M129" s="351"/>
      <c r="N129" s="322"/>
      <c r="O129" s="322">
        <f ca="1">O1-L129</f>
        <v>22</v>
      </c>
      <c r="P129" s="322"/>
      <c r="Q129" s="322"/>
      <c r="R129" s="322" t="s">
        <v>492</v>
      </c>
      <c r="S129" s="322"/>
      <c r="T129" s="322" t="s">
        <v>471</v>
      </c>
      <c r="U129" s="322">
        <f ca="1">U1-L129</f>
        <v>22</v>
      </c>
    </row>
    <row r="130" spans="1:21" ht="63" x14ac:dyDescent="0.35">
      <c r="A130" s="400">
        <v>11</v>
      </c>
      <c r="B130" s="400" t="s">
        <v>622</v>
      </c>
      <c r="C130" s="401" t="s">
        <v>623</v>
      </c>
      <c r="D130" s="403" t="s">
        <v>643</v>
      </c>
      <c r="E130" s="322" t="s">
        <v>644</v>
      </c>
      <c r="F130" s="322" t="s">
        <v>467</v>
      </c>
      <c r="G130" s="351">
        <v>45826</v>
      </c>
      <c r="H130" s="331">
        <v>45852</v>
      </c>
      <c r="I130" s="322"/>
      <c r="J130" s="322"/>
      <c r="K130" s="322"/>
      <c r="L130" s="351"/>
      <c r="M130" s="351"/>
      <c r="N130" s="322"/>
      <c r="O130" s="322"/>
      <c r="P130" s="322"/>
      <c r="Q130" s="322"/>
      <c r="R130" s="322"/>
      <c r="S130" s="322"/>
      <c r="T130" s="322"/>
      <c r="U130" s="322"/>
    </row>
    <row r="131" spans="1:21" ht="42" x14ac:dyDescent="0.35">
      <c r="A131" s="400">
        <v>12</v>
      </c>
      <c r="B131" s="400" t="s">
        <v>622</v>
      </c>
      <c r="C131" s="401" t="s">
        <v>623</v>
      </c>
      <c r="D131" s="403" t="s">
        <v>645</v>
      </c>
      <c r="E131" s="322" t="s">
        <v>646</v>
      </c>
      <c r="F131" s="322" t="s">
        <v>467</v>
      </c>
      <c r="G131" s="351">
        <v>45826</v>
      </c>
      <c r="H131" s="331">
        <v>45852</v>
      </c>
      <c r="I131" s="322"/>
      <c r="J131" s="322"/>
      <c r="K131" s="322"/>
      <c r="L131" s="351"/>
      <c r="M131" s="351"/>
      <c r="N131" s="322"/>
      <c r="O131" s="322"/>
      <c r="P131" s="322"/>
      <c r="Q131" s="322"/>
      <c r="R131" s="322"/>
      <c r="S131" s="322"/>
      <c r="T131" s="322"/>
      <c r="U131" s="322"/>
    </row>
    <row r="132" spans="1:21" ht="42" x14ac:dyDescent="0.35">
      <c r="A132" s="400">
        <v>13</v>
      </c>
      <c r="B132" s="400" t="s">
        <v>622</v>
      </c>
      <c r="C132" s="401" t="s">
        <v>623</v>
      </c>
      <c r="D132" s="403" t="s">
        <v>647</v>
      </c>
      <c r="E132" s="322" t="s">
        <v>648</v>
      </c>
      <c r="F132" s="322" t="s">
        <v>467</v>
      </c>
      <c r="G132" s="351">
        <v>45826</v>
      </c>
      <c r="H132" s="331">
        <v>45854</v>
      </c>
      <c r="I132" s="322"/>
      <c r="J132" s="322"/>
      <c r="K132" s="322"/>
      <c r="L132" s="404"/>
      <c r="M132" s="351"/>
      <c r="N132" s="322"/>
      <c r="O132" s="322"/>
      <c r="P132" s="322"/>
      <c r="Q132" s="322"/>
      <c r="R132" s="322"/>
      <c r="S132" s="322"/>
      <c r="T132" s="322"/>
      <c r="U132" s="322"/>
    </row>
    <row r="133" spans="1:21" ht="42" x14ac:dyDescent="0.35">
      <c r="A133" s="400">
        <v>14</v>
      </c>
      <c r="B133" s="400" t="s">
        <v>622</v>
      </c>
      <c r="C133" s="401" t="s">
        <v>623</v>
      </c>
      <c r="D133" s="402" t="s">
        <v>649</v>
      </c>
      <c r="E133" s="322" t="s">
        <v>650</v>
      </c>
      <c r="F133" s="322" t="s">
        <v>467</v>
      </c>
      <c r="G133" s="351">
        <v>45794</v>
      </c>
      <c r="H133" s="331">
        <f>L133</f>
        <v>45840</v>
      </c>
      <c r="I133" s="322"/>
      <c r="J133" s="322"/>
      <c r="K133" s="322" t="s">
        <v>468</v>
      </c>
      <c r="L133" s="351">
        <v>45840</v>
      </c>
      <c r="M133" s="351"/>
      <c r="N133" s="322"/>
      <c r="O133" s="322">
        <f ca="1">O1-L133</f>
        <v>22</v>
      </c>
      <c r="P133" s="322"/>
      <c r="Q133" s="322"/>
      <c r="R133" s="322" t="s">
        <v>492</v>
      </c>
      <c r="S133" s="322"/>
      <c r="T133" s="322" t="s">
        <v>471</v>
      </c>
      <c r="U133" s="322"/>
    </row>
    <row r="134" spans="1:21" ht="42" x14ac:dyDescent="0.35">
      <c r="A134" s="400">
        <v>15</v>
      </c>
      <c r="B134" s="400" t="s">
        <v>622</v>
      </c>
      <c r="C134" s="401" t="s">
        <v>623</v>
      </c>
      <c r="D134" s="403" t="s">
        <v>651</v>
      </c>
      <c r="E134" s="322" t="s">
        <v>652</v>
      </c>
      <c r="F134" s="322" t="s">
        <v>467</v>
      </c>
      <c r="G134" s="351">
        <v>45821</v>
      </c>
      <c r="H134" s="331">
        <v>45853</v>
      </c>
      <c r="I134" s="322"/>
      <c r="J134" s="322"/>
      <c r="K134" s="322"/>
      <c r="L134" s="351"/>
      <c r="M134" s="351"/>
      <c r="N134" s="322"/>
      <c r="O134" s="322"/>
      <c r="P134" s="322"/>
      <c r="Q134" s="322"/>
      <c r="R134" s="322"/>
      <c r="S134" s="322"/>
      <c r="T134" s="322"/>
      <c r="U134" s="322"/>
    </row>
    <row r="135" spans="1:21" ht="73.5" x14ac:dyDescent="0.35">
      <c r="A135" s="400">
        <v>16</v>
      </c>
      <c r="B135" s="400" t="s">
        <v>622</v>
      </c>
      <c r="C135" s="401" t="s">
        <v>623</v>
      </c>
      <c r="D135" s="403" t="s">
        <v>653</v>
      </c>
      <c r="E135" s="322" t="s">
        <v>654</v>
      </c>
      <c r="F135" s="322" t="s">
        <v>467</v>
      </c>
      <c r="G135" s="351">
        <v>45835</v>
      </c>
      <c r="H135" s="331">
        <v>45848</v>
      </c>
      <c r="I135" s="322"/>
      <c r="J135" s="322"/>
      <c r="K135" s="322"/>
      <c r="L135" s="351"/>
      <c r="M135" s="351"/>
      <c r="N135" s="322"/>
      <c r="O135" s="322"/>
      <c r="P135" s="322"/>
      <c r="Q135" s="322"/>
      <c r="R135" s="322"/>
      <c r="S135" s="322"/>
      <c r="T135" s="322"/>
      <c r="U135" s="322"/>
    </row>
    <row r="136" spans="1:21" ht="52.5" x14ac:dyDescent="0.35">
      <c r="A136" s="400">
        <v>17</v>
      </c>
      <c r="B136" s="400" t="s">
        <v>622</v>
      </c>
      <c r="C136" s="401" t="s">
        <v>623</v>
      </c>
      <c r="D136" s="403" t="s">
        <v>655</v>
      </c>
      <c r="E136" s="322" t="s">
        <v>656</v>
      </c>
      <c r="F136" s="322" t="s">
        <v>477</v>
      </c>
      <c r="G136" s="351">
        <v>45842</v>
      </c>
      <c r="H136" s="331">
        <v>45853</v>
      </c>
      <c r="I136" s="322"/>
      <c r="J136" s="322"/>
      <c r="K136" s="322"/>
      <c r="L136" s="351"/>
      <c r="M136" s="351"/>
      <c r="N136" s="322"/>
      <c r="O136" s="322"/>
      <c r="P136" s="322"/>
      <c r="Q136" s="322"/>
      <c r="R136" s="322"/>
      <c r="S136" s="322"/>
      <c r="T136" s="322"/>
      <c r="U136" s="322"/>
    </row>
    <row r="137" spans="1:21" ht="31.5" x14ac:dyDescent="0.35">
      <c r="A137" s="400">
        <v>18</v>
      </c>
      <c r="B137" s="400" t="s">
        <v>622</v>
      </c>
      <c r="C137" s="401" t="s">
        <v>623</v>
      </c>
      <c r="D137" s="403" t="s">
        <v>657</v>
      </c>
      <c r="E137" s="322" t="s">
        <v>658</v>
      </c>
      <c r="F137" s="322" t="s">
        <v>467</v>
      </c>
      <c r="G137" s="351">
        <v>45853</v>
      </c>
      <c r="H137" s="331">
        <f t="shared" ref="H137:H144" si="3">G137</f>
        <v>45853</v>
      </c>
      <c r="I137" s="322"/>
      <c r="J137" s="322"/>
      <c r="K137" s="322"/>
      <c r="L137" s="351"/>
      <c r="M137" s="351"/>
      <c r="N137" s="322"/>
      <c r="O137" s="322"/>
      <c r="P137" s="322"/>
      <c r="Q137" s="322"/>
      <c r="R137" s="322"/>
      <c r="S137" s="322"/>
      <c r="T137" s="322"/>
      <c r="U137" s="322"/>
    </row>
    <row r="138" spans="1:21" ht="42" x14ac:dyDescent="0.35">
      <c r="A138" s="400">
        <v>19</v>
      </c>
      <c r="B138" s="400" t="s">
        <v>622</v>
      </c>
      <c r="C138" s="401" t="s">
        <v>623</v>
      </c>
      <c r="D138" s="403" t="s">
        <v>659</v>
      </c>
      <c r="E138" s="322" t="s">
        <v>660</v>
      </c>
      <c r="F138" s="322" t="s">
        <v>467</v>
      </c>
      <c r="G138" s="351">
        <v>45838</v>
      </c>
      <c r="H138" s="331">
        <v>45853</v>
      </c>
      <c r="I138" s="322"/>
      <c r="J138" s="322"/>
      <c r="K138" s="322"/>
      <c r="L138" s="351"/>
      <c r="M138" s="351"/>
      <c r="N138" s="322"/>
      <c r="O138" s="322"/>
      <c r="P138" s="322"/>
      <c r="Q138" s="322"/>
      <c r="R138" s="322"/>
      <c r="S138" s="322"/>
      <c r="T138" s="322"/>
      <c r="U138" s="322"/>
    </row>
    <row r="139" spans="1:21" ht="42" x14ac:dyDescent="0.35">
      <c r="A139" s="400">
        <v>20</v>
      </c>
      <c r="B139" s="400" t="s">
        <v>622</v>
      </c>
      <c r="C139" s="401" t="s">
        <v>623</v>
      </c>
      <c r="D139" s="403" t="s">
        <v>661</v>
      </c>
      <c r="E139" s="322" t="s">
        <v>662</v>
      </c>
      <c r="F139" s="322" t="s">
        <v>467</v>
      </c>
      <c r="G139" s="351">
        <v>45850</v>
      </c>
      <c r="H139" s="331">
        <v>45858</v>
      </c>
      <c r="I139" s="322"/>
      <c r="J139" s="322"/>
      <c r="K139" s="322"/>
      <c r="L139" s="351"/>
      <c r="M139" s="351"/>
      <c r="N139" s="322"/>
      <c r="O139" s="322"/>
      <c r="P139" s="322"/>
      <c r="Q139" s="322"/>
      <c r="R139" s="322"/>
      <c r="S139" s="322"/>
      <c r="T139" s="322"/>
      <c r="U139" s="322"/>
    </row>
    <row r="140" spans="1:21" ht="31.5" x14ac:dyDescent="0.35">
      <c r="A140" s="400">
        <v>21</v>
      </c>
      <c r="B140" s="400" t="s">
        <v>622</v>
      </c>
      <c r="C140" s="401" t="s">
        <v>623</v>
      </c>
      <c r="D140" s="403" t="s">
        <v>663</v>
      </c>
      <c r="E140" s="322" t="s">
        <v>664</v>
      </c>
      <c r="F140" s="322" t="s">
        <v>467</v>
      </c>
      <c r="G140" s="351">
        <v>45852</v>
      </c>
      <c r="H140" s="331">
        <v>45860</v>
      </c>
      <c r="I140" s="322"/>
      <c r="J140" s="322"/>
      <c r="K140" s="322"/>
      <c r="L140" s="351"/>
      <c r="M140" s="351"/>
      <c r="N140" s="322"/>
      <c r="O140" s="322"/>
      <c r="P140" s="322"/>
      <c r="Q140" s="322"/>
      <c r="R140" s="322"/>
      <c r="S140" s="322"/>
      <c r="T140" s="322"/>
      <c r="U140" s="322"/>
    </row>
    <row r="141" spans="1:21" ht="31.5" x14ac:dyDescent="0.35">
      <c r="A141" s="400">
        <v>22</v>
      </c>
      <c r="B141" s="400" t="s">
        <v>622</v>
      </c>
      <c r="C141" s="401" t="s">
        <v>623</v>
      </c>
      <c r="D141" s="403" t="s">
        <v>665</v>
      </c>
      <c r="E141" s="322" t="s">
        <v>666</v>
      </c>
      <c r="F141" s="322" t="s">
        <v>467</v>
      </c>
      <c r="G141" s="351">
        <v>45863</v>
      </c>
      <c r="H141" s="331">
        <f t="shared" si="3"/>
        <v>45863</v>
      </c>
      <c r="I141" s="322"/>
      <c r="J141" s="322"/>
      <c r="K141" s="322"/>
      <c r="L141" s="351"/>
      <c r="M141" s="351"/>
      <c r="N141" s="322"/>
      <c r="O141" s="322"/>
      <c r="P141" s="322"/>
      <c r="Q141" s="322"/>
      <c r="R141" s="322"/>
      <c r="S141" s="322"/>
      <c r="T141" s="322"/>
      <c r="U141" s="322"/>
    </row>
    <row r="142" spans="1:21" ht="42" x14ac:dyDescent="0.35">
      <c r="A142" s="400">
        <v>23</v>
      </c>
      <c r="B142" s="400" t="s">
        <v>622</v>
      </c>
      <c r="C142" s="401" t="s">
        <v>623</v>
      </c>
      <c r="D142" s="403" t="s">
        <v>667</v>
      </c>
      <c r="E142" s="322" t="s">
        <v>668</v>
      </c>
      <c r="F142" s="322" t="s">
        <v>467</v>
      </c>
      <c r="G142" s="351">
        <v>45854</v>
      </c>
      <c r="H142" s="331">
        <v>45860</v>
      </c>
      <c r="I142" s="322"/>
      <c r="J142" s="322"/>
      <c r="K142" s="322"/>
      <c r="L142" s="351"/>
      <c r="M142" s="351"/>
      <c r="N142" s="322"/>
      <c r="O142" s="322"/>
      <c r="P142" s="322"/>
      <c r="Q142" s="322"/>
      <c r="R142" s="322"/>
      <c r="S142" s="322"/>
      <c r="T142" s="322"/>
      <c r="U142" s="322"/>
    </row>
    <row r="143" spans="1:21" ht="42" x14ac:dyDescent="0.35">
      <c r="A143" s="400">
        <v>24</v>
      </c>
      <c r="B143" s="400" t="s">
        <v>622</v>
      </c>
      <c r="C143" s="401" t="s">
        <v>623</v>
      </c>
      <c r="D143" s="403" t="s">
        <v>669</v>
      </c>
      <c r="E143" s="322" t="s">
        <v>670</v>
      </c>
      <c r="F143" s="322" t="s">
        <v>467</v>
      </c>
      <c r="G143" s="351">
        <v>45860</v>
      </c>
      <c r="H143" s="331">
        <v>45864</v>
      </c>
      <c r="I143" s="322"/>
      <c r="J143" s="322"/>
      <c r="K143" s="322"/>
      <c r="L143" s="351"/>
      <c r="M143" s="351"/>
      <c r="N143" s="322"/>
      <c r="O143" s="322"/>
      <c r="P143" s="322"/>
      <c r="Q143" s="322"/>
      <c r="R143" s="322"/>
      <c r="S143" s="322"/>
      <c r="T143" s="322"/>
      <c r="U143" s="322"/>
    </row>
    <row r="144" spans="1:21" ht="52.5" x14ac:dyDescent="0.35">
      <c r="A144" s="400">
        <v>25</v>
      </c>
      <c r="B144" s="400" t="s">
        <v>622</v>
      </c>
      <c r="C144" s="401" t="s">
        <v>623</v>
      </c>
      <c r="D144" s="403" t="s">
        <v>671</v>
      </c>
      <c r="E144" s="322" t="s">
        <v>672</v>
      </c>
      <c r="F144" s="322" t="s">
        <v>467</v>
      </c>
      <c r="G144" s="351">
        <v>45866</v>
      </c>
      <c r="H144" s="331">
        <f t="shared" si="3"/>
        <v>45866</v>
      </c>
      <c r="I144" s="322"/>
      <c r="J144" s="322"/>
      <c r="K144" s="322"/>
      <c r="L144" s="351"/>
      <c r="M144" s="351"/>
      <c r="N144" s="322"/>
      <c r="O144" s="322"/>
      <c r="P144" s="322"/>
      <c r="Q144" s="322"/>
      <c r="R144" s="322"/>
      <c r="S144" s="322"/>
      <c r="T144" s="322"/>
      <c r="U144" s="322"/>
    </row>
    <row r="145" spans="1:21" ht="52.5" x14ac:dyDescent="0.35">
      <c r="A145" s="400">
        <v>1</v>
      </c>
      <c r="B145" s="400" t="s">
        <v>622</v>
      </c>
      <c r="C145" s="401" t="s">
        <v>673</v>
      </c>
      <c r="D145" s="402" t="s">
        <v>674</v>
      </c>
      <c r="E145" s="322" t="s">
        <v>675</v>
      </c>
      <c r="F145" s="322" t="s">
        <v>467</v>
      </c>
      <c r="G145" s="351">
        <v>45714</v>
      </c>
      <c r="H145" s="351">
        <f>L145</f>
        <v>45714</v>
      </c>
      <c r="I145" s="322"/>
      <c r="J145" s="322"/>
      <c r="K145" s="322" t="s">
        <v>468</v>
      </c>
      <c r="L145" s="351">
        <v>45714</v>
      </c>
      <c r="M145" s="351"/>
      <c r="N145" s="322"/>
      <c r="O145" s="322">
        <f ca="1">O1-L145</f>
        <v>148</v>
      </c>
      <c r="P145" s="322"/>
      <c r="Q145" s="322"/>
      <c r="R145" s="322" t="s">
        <v>492</v>
      </c>
      <c r="S145" s="322"/>
      <c r="T145" s="322" t="s">
        <v>471</v>
      </c>
      <c r="U145" s="322">
        <f ca="1">U1-L145</f>
        <v>148</v>
      </c>
    </row>
    <row r="146" spans="1:21" ht="42" x14ac:dyDescent="0.35">
      <c r="A146" s="400">
        <v>2</v>
      </c>
      <c r="B146" s="400" t="s">
        <v>622</v>
      </c>
      <c r="C146" s="401" t="s">
        <v>673</v>
      </c>
      <c r="D146" s="403" t="s">
        <v>676</v>
      </c>
      <c r="E146" s="322" t="s">
        <v>677</v>
      </c>
      <c r="F146" s="322" t="s">
        <v>467</v>
      </c>
      <c r="G146" s="351">
        <v>45877</v>
      </c>
      <c r="H146" s="331">
        <f>G146</f>
        <v>45877</v>
      </c>
      <c r="I146" s="322"/>
      <c r="J146" s="322"/>
      <c r="K146" s="322"/>
      <c r="L146" s="351"/>
      <c r="M146" s="351"/>
      <c r="N146" s="322"/>
      <c r="O146" s="322"/>
      <c r="P146" s="322"/>
      <c r="Q146" s="322"/>
      <c r="R146" s="322"/>
      <c r="S146" s="322"/>
      <c r="T146" s="322"/>
      <c r="U146" s="322"/>
    </row>
    <row r="147" spans="1:21" ht="52.5" x14ac:dyDescent="0.35">
      <c r="A147" s="400">
        <v>3</v>
      </c>
      <c r="B147" s="400" t="s">
        <v>622</v>
      </c>
      <c r="C147" s="401" t="s">
        <v>673</v>
      </c>
      <c r="D147" s="403" t="s">
        <v>678</v>
      </c>
      <c r="E147" s="322" t="s">
        <v>679</v>
      </c>
      <c r="F147" s="322" t="s">
        <v>467</v>
      </c>
      <c r="G147" s="351">
        <v>45935</v>
      </c>
      <c r="H147" s="331">
        <f>G147</f>
        <v>45935</v>
      </c>
      <c r="I147" s="322"/>
      <c r="J147" s="322"/>
      <c r="K147" s="322"/>
      <c r="L147" s="351"/>
      <c r="M147" s="351"/>
      <c r="N147" s="322"/>
      <c r="O147" s="322"/>
      <c r="P147" s="322"/>
      <c r="Q147" s="322"/>
      <c r="R147" s="322"/>
      <c r="S147" s="322"/>
      <c r="T147" s="322"/>
      <c r="U147" s="322"/>
    </row>
    <row r="148" spans="1:21" x14ac:dyDescent="0.35">
      <c r="A148" s="333">
        <v>4</v>
      </c>
      <c r="B148" s="333" t="s">
        <v>622</v>
      </c>
      <c r="C148" s="334" t="s">
        <v>673</v>
      </c>
      <c r="D148" s="335" t="s">
        <v>680</v>
      </c>
      <c r="E148" s="333" t="s">
        <v>681</v>
      </c>
      <c r="F148" s="342" t="s">
        <v>467</v>
      </c>
      <c r="G148" s="336">
        <v>45754</v>
      </c>
      <c r="H148" s="345">
        <f>L148</f>
        <v>45773</v>
      </c>
      <c r="I148" s="342"/>
      <c r="J148" s="342"/>
      <c r="K148" s="337" t="s">
        <v>468</v>
      </c>
      <c r="L148" s="338">
        <v>45773</v>
      </c>
      <c r="M148" s="338">
        <v>45777</v>
      </c>
      <c r="N148" s="337" t="s">
        <v>469</v>
      </c>
      <c r="O148" s="337">
        <f>M148-L148</f>
        <v>4</v>
      </c>
      <c r="P148" s="337">
        <f>L149-M148</f>
        <v>14</v>
      </c>
      <c r="Q148" s="333"/>
      <c r="R148" s="333" t="s">
        <v>492</v>
      </c>
      <c r="S148" s="333" t="s">
        <v>482</v>
      </c>
      <c r="T148" s="333" t="s">
        <v>398</v>
      </c>
      <c r="U148" s="333">
        <f>M149-L149</f>
        <v>21</v>
      </c>
    </row>
    <row r="149" spans="1:21" x14ac:dyDescent="0.35">
      <c r="A149" s="333"/>
      <c r="B149" s="333"/>
      <c r="C149" s="334"/>
      <c r="D149" s="335"/>
      <c r="E149" s="333"/>
      <c r="F149" s="342"/>
      <c r="G149" s="336"/>
      <c r="H149" s="345"/>
      <c r="I149" s="342"/>
      <c r="J149" s="342"/>
      <c r="K149" s="337" t="s">
        <v>470</v>
      </c>
      <c r="L149" s="338">
        <v>45791</v>
      </c>
      <c r="M149" s="338">
        <v>45812</v>
      </c>
      <c r="N149" s="337" t="s">
        <v>482</v>
      </c>
      <c r="O149" s="337">
        <f>M149-L149</f>
        <v>21</v>
      </c>
      <c r="P149" s="337"/>
      <c r="Q149" s="333"/>
      <c r="R149" s="333"/>
      <c r="S149" s="333"/>
      <c r="T149" s="333"/>
      <c r="U149" s="333"/>
    </row>
    <row r="150" spans="1:21" x14ac:dyDescent="0.35">
      <c r="A150" s="342">
        <v>5</v>
      </c>
      <c r="B150" s="342" t="s">
        <v>622</v>
      </c>
      <c r="C150" s="343" t="s">
        <v>673</v>
      </c>
      <c r="D150" s="344" t="s">
        <v>682</v>
      </c>
      <c r="E150" s="342" t="s">
        <v>683</v>
      </c>
      <c r="F150" s="342" t="s">
        <v>467</v>
      </c>
      <c r="G150" s="345">
        <v>45754</v>
      </c>
      <c r="H150" s="345">
        <f>L150</f>
        <v>45791</v>
      </c>
      <c r="I150" s="342"/>
      <c r="J150" s="342"/>
      <c r="K150" s="337" t="s">
        <v>468</v>
      </c>
      <c r="L150" s="338">
        <v>45791</v>
      </c>
      <c r="M150" s="338">
        <v>45809</v>
      </c>
      <c r="N150" s="337" t="s">
        <v>469</v>
      </c>
      <c r="O150" s="337">
        <f>M150-L150</f>
        <v>18</v>
      </c>
      <c r="P150" s="337">
        <f>L151-M150</f>
        <v>3</v>
      </c>
      <c r="Q150" s="342"/>
      <c r="R150" s="342" t="s">
        <v>492</v>
      </c>
      <c r="S150" s="342" t="str">
        <f>N152</f>
        <v>CAT - I</v>
      </c>
      <c r="T150" s="342" t="s">
        <v>471</v>
      </c>
      <c r="U150" s="342">
        <f ca="1">U1-L150</f>
        <v>71</v>
      </c>
    </row>
    <row r="151" spans="1:21" x14ac:dyDescent="0.35">
      <c r="A151" s="405"/>
      <c r="B151" s="342"/>
      <c r="C151" s="406"/>
      <c r="D151" s="407"/>
      <c r="E151" s="405"/>
      <c r="F151" s="342"/>
      <c r="G151" s="345"/>
      <c r="H151" s="345"/>
      <c r="I151" s="342"/>
      <c r="J151" s="342"/>
      <c r="K151" s="337" t="s">
        <v>470</v>
      </c>
      <c r="L151" s="338">
        <v>45812</v>
      </c>
      <c r="M151" s="338">
        <v>45820</v>
      </c>
      <c r="N151" s="337" t="s">
        <v>469</v>
      </c>
      <c r="O151" s="337">
        <f>M151-L151</f>
        <v>8</v>
      </c>
      <c r="P151" s="337">
        <f>L152-M151</f>
        <v>1</v>
      </c>
      <c r="Q151" s="342"/>
      <c r="R151" s="405"/>
      <c r="S151" s="405"/>
      <c r="T151" s="405"/>
      <c r="U151" s="405"/>
    </row>
    <row r="152" spans="1:21" x14ac:dyDescent="0.35">
      <c r="A152" s="405"/>
      <c r="B152" s="342"/>
      <c r="C152" s="406"/>
      <c r="D152" s="407"/>
      <c r="E152" s="405"/>
      <c r="F152" s="342"/>
      <c r="G152" s="345"/>
      <c r="H152" s="345"/>
      <c r="I152" s="342"/>
      <c r="J152" s="342"/>
      <c r="K152" s="337" t="s">
        <v>472</v>
      </c>
      <c r="L152" s="338">
        <v>45821</v>
      </c>
      <c r="M152" s="338">
        <v>45830</v>
      </c>
      <c r="N152" s="337" t="s">
        <v>482</v>
      </c>
      <c r="O152" s="337">
        <f>M152-L152</f>
        <v>9</v>
      </c>
      <c r="P152" s="337"/>
      <c r="Q152" s="342"/>
      <c r="R152" s="405"/>
      <c r="S152" s="405"/>
      <c r="T152" s="405"/>
      <c r="U152" s="405"/>
    </row>
    <row r="153" spans="1:21" x14ac:dyDescent="0.35">
      <c r="A153" s="396"/>
      <c r="B153" s="364"/>
      <c r="C153" s="408"/>
      <c r="D153" s="409"/>
      <c r="E153" s="396"/>
      <c r="F153" s="364"/>
      <c r="G153" s="365"/>
      <c r="H153" s="365"/>
      <c r="I153" s="364"/>
      <c r="J153" s="364"/>
      <c r="K153" s="337" t="s">
        <v>473</v>
      </c>
      <c r="L153" s="338">
        <v>45858</v>
      </c>
      <c r="M153" s="338"/>
      <c r="N153" s="337"/>
      <c r="O153" s="337"/>
      <c r="P153" s="337"/>
      <c r="Q153" s="364"/>
      <c r="R153" s="396"/>
      <c r="S153" s="396"/>
      <c r="T153" s="396"/>
      <c r="U153" s="396"/>
    </row>
    <row r="154" spans="1:21" ht="52.5" x14ac:dyDescent="0.35">
      <c r="A154" s="400">
        <v>6</v>
      </c>
      <c r="B154" s="400" t="s">
        <v>622</v>
      </c>
      <c r="C154" s="401" t="s">
        <v>673</v>
      </c>
      <c r="D154" s="403" t="s">
        <v>684</v>
      </c>
      <c r="E154" s="322" t="s">
        <v>685</v>
      </c>
      <c r="F154" s="322" t="s">
        <v>467</v>
      </c>
      <c r="G154" s="351">
        <v>45811</v>
      </c>
      <c r="H154" s="351">
        <v>45852</v>
      </c>
      <c r="I154" s="322"/>
      <c r="J154" s="322"/>
      <c r="K154" s="322"/>
      <c r="L154" s="351"/>
      <c r="M154" s="351"/>
      <c r="N154" s="322"/>
      <c r="O154" s="322"/>
      <c r="P154" s="322"/>
      <c r="Q154" s="322"/>
      <c r="R154" s="322"/>
      <c r="S154" s="322"/>
      <c r="T154" s="322"/>
      <c r="U154" s="322"/>
    </row>
    <row r="155" spans="1:21" ht="52.5" x14ac:dyDescent="0.35">
      <c r="A155" s="400">
        <v>7</v>
      </c>
      <c r="B155" s="400" t="s">
        <v>622</v>
      </c>
      <c r="C155" s="401" t="s">
        <v>673</v>
      </c>
      <c r="D155" s="402" t="s">
        <v>686</v>
      </c>
      <c r="E155" s="322" t="s">
        <v>687</v>
      </c>
      <c r="F155" s="322" t="s">
        <v>467</v>
      </c>
      <c r="G155" s="351">
        <v>45808</v>
      </c>
      <c r="H155" s="351">
        <v>45852</v>
      </c>
      <c r="I155" s="322"/>
      <c r="J155" s="322"/>
      <c r="K155" s="322" t="s">
        <v>468</v>
      </c>
      <c r="L155" s="351">
        <v>45856</v>
      </c>
      <c r="M155" s="351"/>
      <c r="N155" s="322"/>
      <c r="O155" s="322"/>
      <c r="P155" s="322"/>
      <c r="Q155" s="322"/>
      <c r="R155" s="322" t="s">
        <v>492</v>
      </c>
      <c r="S155" s="322"/>
      <c r="T155" s="322" t="s">
        <v>471</v>
      </c>
      <c r="U155" s="322"/>
    </row>
    <row r="156" spans="1:21" ht="42" x14ac:dyDescent="0.35">
      <c r="A156" s="400">
        <v>8</v>
      </c>
      <c r="B156" s="400" t="s">
        <v>622</v>
      </c>
      <c r="C156" s="401" t="s">
        <v>673</v>
      </c>
      <c r="D156" s="403" t="s">
        <v>688</v>
      </c>
      <c r="E156" s="322" t="s">
        <v>689</v>
      </c>
      <c r="F156" s="322" t="s">
        <v>467</v>
      </c>
      <c r="G156" s="351">
        <v>45831</v>
      </c>
      <c r="H156" s="351">
        <v>45854</v>
      </c>
      <c r="I156" s="322"/>
      <c r="J156" s="322"/>
      <c r="K156" s="322"/>
      <c r="L156" s="351"/>
      <c r="M156" s="351"/>
      <c r="N156" s="322"/>
      <c r="O156" s="322"/>
      <c r="P156" s="322"/>
      <c r="Q156" s="322"/>
      <c r="R156" s="322"/>
      <c r="S156" s="322"/>
      <c r="T156" s="322"/>
      <c r="U156" s="322"/>
    </row>
    <row r="157" spans="1:21" ht="52.5" x14ac:dyDescent="0.35">
      <c r="A157" s="400">
        <v>9</v>
      </c>
      <c r="B157" s="400" t="s">
        <v>622</v>
      </c>
      <c r="C157" s="401" t="s">
        <v>673</v>
      </c>
      <c r="D157" s="403" t="s">
        <v>690</v>
      </c>
      <c r="E157" s="322" t="s">
        <v>691</v>
      </c>
      <c r="F157" s="322" t="s">
        <v>477</v>
      </c>
      <c r="G157" s="351">
        <v>45829</v>
      </c>
      <c r="H157" s="351">
        <v>45852</v>
      </c>
      <c r="I157" s="322"/>
      <c r="J157" s="322"/>
      <c r="K157" s="322"/>
      <c r="L157" s="351"/>
      <c r="M157" s="351"/>
      <c r="N157" s="322"/>
      <c r="O157" s="322"/>
      <c r="P157" s="322"/>
      <c r="Q157" s="322"/>
      <c r="R157" s="322"/>
      <c r="S157" s="322"/>
      <c r="T157" s="322"/>
      <c r="U157" s="322"/>
    </row>
    <row r="158" spans="1:21" x14ac:dyDescent="0.35">
      <c r="A158" s="342">
        <v>10</v>
      </c>
      <c r="B158" s="342" t="s">
        <v>622</v>
      </c>
      <c r="C158" s="343" t="s">
        <v>673</v>
      </c>
      <c r="D158" s="347" t="s">
        <v>692</v>
      </c>
      <c r="E158" s="342" t="s">
        <v>693</v>
      </c>
      <c r="F158" s="342" t="s">
        <v>467</v>
      </c>
      <c r="G158" s="345">
        <v>45783</v>
      </c>
      <c r="H158" s="345">
        <f>L158</f>
        <v>45792</v>
      </c>
      <c r="I158" s="342"/>
      <c r="J158" s="342"/>
      <c r="K158" s="337" t="s">
        <v>468</v>
      </c>
      <c r="L158" s="338">
        <v>45792</v>
      </c>
      <c r="M158" s="338">
        <v>45813</v>
      </c>
      <c r="N158" s="337" t="s">
        <v>469</v>
      </c>
      <c r="O158" s="337">
        <f>M158-L158</f>
        <v>21</v>
      </c>
      <c r="P158" s="337">
        <f>L159-M158</f>
        <v>0</v>
      </c>
      <c r="Q158" s="346">
        <f>M158</f>
        <v>45813</v>
      </c>
      <c r="R158" s="342" t="s">
        <v>492</v>
      </c>
      <c r="S158" s="342" t="str">
        <f>N160</f>
        <v>CAT - I</v>
      </c>
      <c r="T158" s="342" t="s">
        <v>398</v>
      </c>
      <c r="U158" s="337">
        <f ca="1">U1-L158</f>
        <v>70</v>
      </c>
    </row>
    <row r="159" spans="1:21" x14ac:dyDescent="0.35">
      <c r="A159" s="342"/>
      <c r="B159" s="342"/>
      <c r="C159" s="343"/>
      <c r="D159" s="347"/>
      <c r="E159" s="342"/>
      <c r="F159" s="342"/>
      <c r="G159" s="345"/>
      <c r="H159" s="345"/>
      <c r="I159" s="342"/>
      <c r="J159" s="342"/>
      <c r="K159" s="337" t="s">
        <v>470</v>
      </c>
      <c r="L159" s="338">
        <v>45813</v>
      </c>
      <c r="M159" s="338">
        <v>45821</v>
      </c>
      <c r="N159" s="337" t="s">
        <v>491</v>
      </c>
      <c r="O159" s="337">
        <f>M159-L159</f>
        <v>8</v>
      </c>
      <c r="P159" s="337">
        <f>L160-M159</f>
        <v>6</v>
      </c>
      <c r="Q159" s="346"/>
      <c r="R159" s="342"/>
      <c r="S159" s="342"/>
      <c r="T159" s="342"/>
      <c r="U159" s="337"/>
    </row>
    <row r="160" spans="1:21" x14ac:dyDescent="0.35">
      <c r="A160" s="342"/>
      <c r="B160" s="342"/>
      <c r="C160" s="343"/>
      <c r="D160" s="347"/>
      <c r="E160" s="342"/>
      <c r="F160" s="342"/>
      <c r="G160" s="345"/>
      <c r="H160" s="345"/>
      <c r="I160" s="342"/>
      <c r="J160" s="342"/>
      <c r="K160" s="337" t="s">
        <v>472</v>
      </c>
      <c r="L160" s="338">
        <v>45827</v>
      </c>
      <c r="M160" s="338">
        <v>45830</v>
      </c>
      <c r="N160" s="337" t="s">
        <v>482</v>
      </c>
      <c r="O160" s="337">
        <f>M160-L160</f>
        <v>3</v>
      </c>
      <c r="P160" s="337"/>
      <c r="Q160" s="346"/>
      <c r="R160" s="342"/>
      <c r="S160" s="342"/>
      <c r="T160" s="342"/>
      <c r="U160" s="337"/>
    </row>
    <row r="161" spans="1:21" ht="31.5" x14ac:dyDescent="0.35">
      <c r="A161" s="400">
        <v>11</v>
      </c>
      <c r="B161" s="400" t="s">
        <v>622</v>
      </c>
      <c r="C161" s="401" t="s">
        <v>673</v>
      </c>
      <c r="D161" s="403" t="s">
        <v>694</v>
      </c>
      <c r="E161" s="322" t="s">
        <v>695</v>
      </c>
      <c r="F161" s="322" t="s">
        <v>467</v>
      </c>
      <c r="G161" s="351">
        <v>45783</v>
      </c>
      <c r="H161" s="351">
        <f>L161</f>
        <v>45791</v>
      </c>
      <c r="I161" s="322"/>
      <c r="J161" s="322"/>
      <c r="K161" s="322" t="s">
        <v>468</v>
      </c>
      <c r="L161" s="351">
        <v>45791</v>
      </c>
      <c r="M161" s="351">
        <v>45842</v>
      </c>
      <c r="N161" s="322" t="s">
        <v>469</v>
      </c>
      <c r="O161" s="322">
        <f ca="1">O1-L161</f>
        <v>71</v>
      </c>
      <c r="P161" s="322">
        <f ca="1">O1-M161</f>
        <v>20</v>
      </c>
      <c r="Q161" s="322"/>
      <c r="R161" s="322" t="s">
        <v>499</v>
      </c>
      <c r="S161" s="322" t="str">
        <f>N161</f>
        <v>CAT - III</v>
      </c>
      <c r="T161" s="322" t="s">
        <v>474</v>
      </c>
      <c r="U161" s="322">
        <f ca="1">U1-L161</f>
        <v>71</v>
      </c>
    </row>
    <row r="162" spans="1:21" x14ac:dyDescent="0.35">
      <c r="A162" s="333">
        <v>12</v>
      </c>
      <c r="B162" s="333" t="s">
        <v>622</v>
      </c>
      <c r="C162" s="334" t="s">
        <v>673</v>
      </c>
      <c r="D162" s="335" t="s">
        <v>696</v>
      </c>
      <c r="E162" s="333" t="s">
        <v>697</v>
      </c>
      <c r="F162" s="333" t="s">
        <v>467</v>
      </c>
      <c r="G162" s="336">
        <v>45755</v>
      </c>
      <c r="H162" s="345">
        <f>L162</f>
        <v>45755</v>
      </c>
      <c r="I162" s="333"/>
      <c r="J162" s="333"/>
      <c r="K162" s="337" t="s">
        <v>468</v>
      </c>
      <c r="L162" s="338">
        <v>45755</v>
      </c>
      <c r="M162" s="338">
        <v>45770</v>
      </c>
      <c r="N162" s="337" t="s">
        <v>469</v>
      </c>
      <c r="O162" s="337">
        <f t="shared" ref="O162:O167" si="4">M162-L162</f>
        <v>15</v>
      </c>
      <c r="P162" s="337">
        <f>L164-M162</f>
        <v>55</v>
      </c>
      <c r="Q162" s="333"/>
      <c r="R162" s="333" t="s">
        <v>492</v>
      </c>
      <c r="S162" s="333" t="str">
        <f>N164</f>
        <v>CAT - I</v>
      </c>
      <c r="T162" s="333" t="s">
        <v>398</v>
      </c>
      <c r="U162" s="333">
        <f ca="1">U1-L164</f>
        <v>37</v>
      </c>
    </row>
    <row r="163" spans="1:21" x14ac:dyDescent="0.35">
      <c r="A163" s="333"/>
      <c r="B163" s="333"/>
      <c r="C163" s="334"/>
      <c r="D163" s="335"/>
      <c r="E163" s="333"/>
      <c r="F163" s="333"/>
      <c r="G163" s="336"/>
      <c r="H163" s="345"/>
      <c r="I163" s="333"/>
      <c r="J163" s="333"/>
      <c r="K163" s="337" t="s">
        <v>470</v>
      </c>
      <c r="L163" s="338">
        <v>45788</v>
      </c>
      <c r="M163" s="338">
        <v>45809</v>
      </c>
      <c r="N163" s="337" t="s">
        <v>469</v>
      </c>
      <c r="O163" s="337">
        <f t="shared" si="4"/>
        <v>21</v>
      </c>
      <c r="P163" s="337">
        <f>L164-M163</f>
        <v>16</v>
      </c>
      <c r="Q163" s="333"/>
      <c r="R163" s="333"/>
      <c r="S163" s="333"/>
      <c r="T163" s="333"/>
      <c r="U163" s="333"/>
    </row>
    <row r="164" spans="1:21" x14ac:dyDescent="0.35">
      <c r="A164" s="333"/>
      <c r="B164" s="333"/>
      <c r="C164" s="334"/>
      <c r="D164" s="335"/>
      <c r="E164" s="333"/>
      <c r="F164" s="333"/>
      <c r="G164" s="336"/>
      <c r="H164" s="345"/>
      <c r="I164" s="333"/>
      <c r="J164" s="333"/>
      <c r="K164" s="337" t="s">
        <v>470</v>
      </c>
      <c r="L164" s="338">
        <v>45825</v>
      </c>
      <c r="M164" s="338">
        <v>45830</v>
      </c>
      <c r="N164" s="337" t="s">
        <v>482</v>
      </c>
      <c r="O164" s="337">
        <f t="shared" si="4"/>
        <v>5</v>
      </c>
      <c r="P164" s="337">
        <f ca="1">O1-M164</f>
        <v>32</v>
      </c>
      <c r="Q164" s="333"/>
      <c r="R164" s="333"/>
      <c r="S164" s="333"/>
      <c r="T164" s="333"/>
      <c r="U164" s="333"/>
    </row>
    <row r="165" spans="1:21" x14ac:dyDescent="0.35">
      <c r="A165" s="333">
        <v>13</v>
      </c>
      <c r="B165" s="333" t="s">
        <v>622</v>
      </c>
      <c r="C165" s="334" t="s">
        <v>673</v>
      </c>
      <c r="D165" s="335" t="s">
        <v>395</v>
      </c>
      <c r="E165" s="333" t="s">
        <v>698</v>
      </c>
      <c r="F165" s="333" t="s">
        <v>467</v>
      </c>
      <c r="G165" s="336">
        <v>45755</v>
      </c>
      <c r="H165" s="345">
        <f>L165</f>
        <v>45755</v>
      </c>
      <c r="I165" s="333"/>
      <c r="J165" s="333"/>
      <c r="K165" s="337" t="s">
        <v>468</v>
      </c>
      <c r="L165" s="338">
        <v>45755</v>
      </c>
      <c r="M165" s="338">
        <v>45770</v>
      </c>
      <c r="N165" s="337" t="s">
        <v>469</v>
      </c>
      <c r="O165" s="337">
        <f t="shared" si="4"/>
        <v>15</v>
      </c>
      <c r="P165" s="337">
        <f>L167-M165</f>
        <v>55</v>
      </c>
      <c r="Q165" s="333"/>
      <c r="R165" s="333" t="s">
        <v>492</v>
      </c>
      <c r="S165" s="333" t="str">
        <f>N167</f>
        <v>CAT - I</v>
      </c>
      <c r="T165" s="333" t="s">
        <v>398</v>
      </c>
      <c r="U165" s="333">
        <f ca="1">U1-L167</f>
        <v>37</v>
      </c>
    </row>
    <row r="166" spans="1:21" x14ac:dyDescent="0.35">
      <c r="A166" s="333"/>
      <c r="B166" s="333"/>
      <c r="C166" s="334"/>
      <c r="D166" s="335"/>
      <c r="E166" s="333"/>
      <c r="F166" s="333"/>
      <c r="G166" s="336"/>
      <c r="H166" s="345"/>
      <c r="I166" s="333"/>
      <c r="J166" s="333"/>
      <c r="K166" s="337" t="s">
        <v>470</v>
      </c>
      <c r="L166" s="338">
        <v>45787</v>
      </c>
      <c r="M166" s="338">
        <v>45809</v>
      </c>
      <c r="N166" s="337" t="s">
        <v>469</v>
      </c>
      <c r="O166" s="337">
        <f t="shared" si="4"/>
        <v>22</v>
      </c>
      <c r="P166" s="337">
        <f>L167-M166</f>
        <v>16</v>
      </c>
      <c r="Q166" s="333"/>
      <c r="R166" s="333"/>
      <c r="S166" s="333"/>
      <c r="T166" s="333"/>
      <c r="U166" s="333"/>
    </row>
    <row r="167" spans="1:21" x14ac:dyDescent="0.35">
      <c r="A167" s="333"/>
      <c r="B167" s="333"/>
      <c r="C167" s="334"/>
      <c r="D167" s="335"/>
      <c r="E167" s="333"/>
      <c r="F167" s="333"/>
      <c r="G167" s="336"/>
      <c r="H167" s="345"/>
      <c r="I167" s="333"/>
      <c r="J167" s="333"/>
      <c r="K167" s="337" t="s">
        <v>472</v>
      </c>
      <c r="L167" s="338">
        <v>45825</v>
      </c>
      <c r="M167" s="338">
        <v>45830</v>
      </c>
      <c r="N167" s="337" t="s">
        <v>482</v>
      </c>
      <c r="O167" s="337">
        <f t="shared" si="4"/>
        <v>5</v>
      </c>
      <c r="P167" s="337"/>
      <c r="Q167" s="333"/>
      <c r="R167" s="333"/>
      <c r="S167" s="333"/>
      <c r="T167" s="333"/>
      <c r="U167" s="333"/>
    </row>
    <row r="168" spans="1:21" ht="42" x14ac:dyDescent="0.35">
      <c r="A168" s="400">
        <v>14</v>
      </c>
      <c r="B168" s="400" t="s">
        <v>622</v>
      </c>
      <c r="C168" s="401" t="s">
        <v>673</v>
      </c>
      <c r="D168" s="403" t="s">
        <v>699</v>
      </c>
      <c r="E168" s="322" t="s">
        <v>700</v>
      </c>
      <c r="F168" s="322" t="s">
        <v>477</v>
      </c>
      <c r="G168" s="351">
        <v>45807</v>
      </c>
      <c r="H168" s="331">
        <v>45856</v>
      </c>
      <c r="I168" s="322"/>
      <c r="J168" s="322"/>
      <c r="K168" s="322"/>
      <c r="L168" s="351"/>
      <c r="M168" s="351"/>
      <c r="N168" s="322"/>
      <c r="O168" s="322"/>
      <c r="P168" s="322"/>
      <c r="Q168" s="322"/>
      <c r="R168" s="322"/>
      <c r="S168" s="322"/>
      <c r="T168" s="322"/>
      <c r="U168" s="322"/>
    </row>
    <row r="169" spans="1:21" ht="52.5" x14ac:dyDescent="0.35">
      <c r="A169" s="400">
        <v>15</v>
      </c>
      <c r="B169" s="400" t="s">
        <v>622</v>
      </c>
      <c r="C169" s="401" t="s">
        <v>673</v>
      </c>
      <c r="D169" s="403" t="s">
        <v>701</v>
      </c>
      <c r="E169" s="322" t="s">
        <v>702</v>
      </c>
      <c r="F169" s="322" t="s">
        <v>477</v>
      </c>
      <c r="G169" s="351">
        <v>45845</v>
      </c>
      <c r="H169" s="331">
        <v>45856</v>
      </c>
      <c r="I169" s="322"/>
      <c r="J169" s="322"/>
      <c r="K169" s="322"/>
      <c r="L169" s="351"/>
      <c r="M169" s="351"/>
      <c r="N169" s="322"/>
      <c r="O169" s="322"/>
      <c r="P169" s="322"/>
      <c r="Q169" s="322"/>
      <c r="R169" s="322"/>
      <c r="S169" s="322"/>
      <c r="T169" s="322"/>
      <c r="U169" s="322"/>
    </row>
    <row r="170" spans="1:21" x14ac:dyDescent="0.35">
      <c r="A170" s="397">
        <v>1</v>
      </c>
      <c r="B170" s="397" t="s">
        <v>703</v>
      </c>
      <c r="C170" s="398" t="s">
        <v>704</v>
      </c>
      <c r="D170" s="399" t="s">
        <v>705</v>
      </c>
      <c r="E170" s="357" t="s">
        <v>706</v>
      </c>
      <c r="F170" s="357" t="s">
        <v>467</v>
      </c>
      <c r="G170" s="410">
        <v>45803</v>
      </c>
      <c r="H170" s="410">
        <f>L170</f>
        <v>45790</v>
      </c>
      <c r="I170" s="357"/>
      <c r="J170" s="357"/>
      <c r="K170" s="322" t="s">
        <v>468</v>
      </c>
      <c r="L170" s="351">
        <v>45790</v>
      </c>
      <c r="M170" s="351">
        <v>45824</v>
      </c>
      <c r="N170" s="322" t="s">
        <v>469</v>
      </c>
      <c r="O170" s="322">
        <f>M170-L170</f>
        <v>34</v>
      </c>
      <c r="P170" s="322">
        <f>L171-M170</f>
        <v>18</v>
      </c>
      <c r="Q170" s="357"/>
      <c r="R170" s="357" t="s">
        <v>492</v>
      </c>
      <c r="S170" s="357" t="str">
        <f>N171</f>
        <v>CAT - II</v>
      </c>
      <c r="T170" s="357" t="s">
        <v>471</v>
      </c>
      <c r="U170" s="357">
        <f ca="1">U1-L170</f>
        <v>72</v>
      </c>
    </row>
    <row r="171" spans="1:21" x14ac:dyDescent="0.35">
      <c r="A171" s="411"/>
      <c r="B171" s="411"/>
      <c r="C171" s="412"/>
      <c r="D171" s="413"/>
      <c r="E171" s="414"/>
      <c r="F171" s="414"/>
      <c r="G171" s="415"/>
      <c r="H171" s="415"/>
      <c r="I171" s="357"/>
      <c r="J171" s="357"/>
      <c r="K171" s="322" t="s">
        <v>470</v>
      </c>
      <c r="L171" s="351">
        <v>45842</v>
      </c>
      <c r="M171" s="351">
        <v>45850</v>
      </c>
      <c r="N171" s="322" t="s">
        <v>491</v>
      </c>
      <c r="O171" s="322">
        <f ca="1">O1-L171</f>
        <v>20</v>
      </c>
      <c r="P171" s="322"/>
      <c r="Q171" s="414"/>
      <c r="R171" s="414"/>
      <c r="S171" s="414"/>
      <c r="T171" s="414"/>
      <c r="U171" s="414"/>
    </row>
    <row r="172" spans="1:21" x14ac:dyDescent="0.35">
      <c r="A172" s="416"/>
      <c r="B172" s="416"/>
      <c r="C172" s="417"/>
      <c r="D172" s="418"/>
      <c r="E172" s="386"/>
      <c r="F172" s="386"/>
      <c r="G172" s="419"/>
      <c r="H172" s="419"/>
      <c r="I172" s="372"/>
      <c r="J172" s="372"/>
      <c r="K172" s="322" t="s">
        <v>472</v>
      </c>
      <c r="L172" s="351">
        <v>45855</v>
      </c>
      <c r="M172" s="351"/>
      <c r="N172" s="322"/>
      <c r="O172" s="322"/>
      <c r="P172" s="322"/>
      <c r="Q172" s="386"/>
      <c r="R172" s="386"/>
      <c r="S172" s="386"/>
      <c r="T172" s="386"/>
      <c r="U172" s="386"/>
    </row>
    <row r="173" spans="1:21" ht="63" x14ac:dyDescent="0.35">
      <c r="A173" s="400">
        <v>2</v>
      </c>
      <c r="B173" s="400" t="s">
        <v>703</v>
      </c>
      <c r="C173" s="401" t="s">
        <v>704</v>
      </c>
      <c r="D173" s="403" t="s">
        <v>707</v>
      </c>
      <c r="E173" s="322" t="s">
        <v>708</v>
      </c>
      <c r="F173" s="322" t="s">
        <v>467</v>
      </c>
      <c r="G173" s="420">
        <v>45817</v>
      </c>
      <c r="H173" s="420">
        <f>L173</f>
        <v>45812</v>
      </c>
      <c r="I173" s="322"/>
      <c r="J173" s="322"/>
      <c r="K173" s="322" t="s">
        <v>468</v>
      </c>
      <c r="L173" s="351">
        <v>45812</v>
      </c>
      <c r="M173" s="351">
        <v>45832</v>
      </c>
      <c r="N173" s="322" t="s">
        <v>469</v>
      </c>
      <c r="O173" s="322">
        <f>M173-L173</f>
        <v>20</v>
      </c>
      <c r="P173" s="322">
        <f ca="1">O1-M173</f>
        <v>30</v>
      </c>
      <c r="Q173" s="322"/>
      <c r="R173" s="322" t="s">
        <v>499</v>
      </c>
      <c r="S173" s="322" t="str">
        <f>N173</f>
        <v>CAT - III</v>
      </c>
      <c r="T173" s="322" t="s">
        <v>474</v>
      </c>
      <c r="U173" s="322"/>
    </row>
    <row r="174" spans="1:21" ht="42" x14ac:dyDescent="0.35">
      <c r="A174" s="400">
        <v>3</v>
      </c>
      <c r="B174" s="400" t="s">
        <v>703</v>
      </c>
      <c r="C174" s="401" t="s">
        <v>704</v>
      </c>
      <c r="D174" s="403" t="s">
        <v>709</v>
      </c>
      <c r="E174" s="322" t="s">
        <v>710</v>
      </c>
      <c r="F174" s="322" t="s">
        <v>467</v>
      </c>
      <c r="G174" s="420">
        <v>45816</v>
      </c>
      <c r="H174" s="420">
        <v>45854</v>
      </c>
      <c r="I174" s="322"/>
      <c r="J174" s="322"/>
      <c r="K174" s="322"/>
      <c r="L174" s="351"/>
      <c r="M174" s="351"/>
      <c r="N174" s="322"/>
      <c r="O174" s="322"/>
      <c r="P174" s="322"/>
      <c r="Q174" s="322"/>
      <c r="R174" s="322"/>
      <c r="S174" s="322"/>
      <c r="T174" s="322"/>
      <c r="U174" s="322"/>
    </row>
    <row r="175" spans="1:21" x14ac:dyDescent="0.35">
      <c r="A175" s="397">
        <v>4</v>
      </c>
      <c r="B175" s="397" t="s">
        <v>703</v>
      </c>
      <c r="C175" s="398" t="s">
        <v>704</v>
      </c>
      <c r="D175" s="399" t="s">
        <v>711</v>
      </c>
      <c r="E175" s="357" t="s">
        <v>712</v>
      </c>
      <c r="F175" s="357" t="s">
        <v>467</v>
      </c>
      <c r="G175" s="410">
        <v>45805</v>
      </c>
      <c r="H175" s="410">
        <f>L175</f>
        <v>45817</v>
      </c>
      <c r="I175" s="322"/>
      <c r="J175" s="322"/>
      <c r="K175" s="322" t="s">
        <v>468</v>
      </c>
      <c r="L175" s="351">
        <v>45817</v>
      </c>
      <c r="M175" s="351">
        <v>45834</v>
      </c>
      <c r="N175" s="322" t="s">
        <v>469</v>
      </c>
      <c r="O175" s="322">
        <f>M175-L175</f>
        <v>17</v>
      </c>
      <c r="P175" s="322">
        <f ca="1">O1-M175</f>
        <v>28</v>
      </c>
      <c r="Q175" s="322"/>
      <c r="R175" s="357" t="s">
        <v>492</v>
      </c>
      <c r="S175" s="357" t="str">
        <f>N175</f>
        <v>CAT - III</v>
      </c>
      <c r="T175" s="357" t="s">
        <v>471</v>
      </c>
      <c r="U175" s="357"/>
    </row>
    <row r="176" spans="1:21" x14ac:dyDescent="0.35">
      <c r="A176" s="416"/>
      <c r="B176" s="416"/>
      <c r="C176" s="417"/>
      <c r="D176" s="421"/>
      <c r="E176" s="386"/>
      <c r="F176" s="386"/>
      <c r="G176" s="419"/>
      <c r="H176" s="419"/>
      <c r="I176" s="322"/>
      <c r="J176" s="322"/>
      <c r="K176" s="322" t="s">
        <v>470</v>
      </c>
      <c r="L176" s="351">
        <v>45856</v>
      </c>
      <c r="M176" s="351"/>
      <c r="N176" s="322"/>
      <c r="O176" s="322"/>
      <c r="P176" s="322"/>
      <c r="Q176" s="372"/>
      <c r="R176" s="386"/>
      <c r="S176" s="386"/>
      <c r="T176" s="386"/>
      <c r="U176" s="386"/>
    </row>
    <row r="177" spans="1:21" x14ac:dyDescent="0.35">
      <c r="A177" s="397">
        <v>5</v>
      </c>
      <c r="B177" s="397" t="s">
        <v>703</v>
      </c>
      <c r="C177" s="398" t="s">
        <v>704</v>
      </c>
      <c r="D177" s="399" t="s">
        <v>713</v>
      </c>
      <c r="E177" s="357" t="s">
        <v>714</v>
      </c>
      <c r="F177" s="357" t="s">
        <v>467</v>
      </c>
      <c r="G177" s="410">
        <v>45805</v>
      </c>
      <c r="H177" s="410">
        <f>L177</f>
        <v>45817</v>
      </c>
      <c r="I177" s="322"/>
      <c r="J177" s="322"/>
      <c r="K177" s="322" t="s">
        <v>468</v>
      </c>
      <c r="L177" s="351">
        <v>45817</v>
      </c>
      <c r="M177" s="351">
        <v>45835</v>
      </c>
      <c r="N177" s="322" t="s">
        <v>469</v>
      </c>
      <c r="O177" s="322">
        <f>M177-L177</f>
        <v>18</v>
      </c>
      <c r="P177" s="322">
        <f ca="1">O1-M177</f>
        <v>27</v>
      </c>
      <c r="Q177" s="357"/>
      <c r="R177" s="357" t="s">
        <v>492</v>
      </c>
      <c r="S177" s="357" t="str">
        <f>N177</f>
        <v>CAT - III</v>
      </c>
      <c r="T177" s="357" t="s">
        <v>471</v>
      </c>
      <c r="U177" s="357"/>
    </row>
    <row r="178" spans="1:21" x14ac:dyDescent="0.35">
      <c r="A178" s="416"/>
      <c r="B178" s="416"/>
      <c r="C178" s="417"/>
      <c r="D178" s="421"/>
      <c r="E178" s="386"/>
      <c r="F178" s="386"/>
      <c r="G178" s="419"/>
      <c r="H178" s="419"/>
      <c r="I178" s="322"/>
      <c r="J178" s="322"/>
      <c r="K178" s="322" t="s">
        <v>470</v>
      </c>
      <c r="L178" s="351">
        <v>45856</v>
      </c>
      <c r="M178" s="351"/>
      <c r="N178" s="322"/>
      <c r="O178" s="322"/>
      <c r="P178" s="322"/>
      <c r="Q178" s="386"/>
      <c r="R178" s="386"/>
      <c r="S178" s="386"/>
      <c r="T178" s="386"/>
      <c r="U178" s="386"/>
    </row>
    <row r="179" spans="1:21" ht="42" x14ac:dyDescent="0.35">
      <c r="A179" s="400">
        <v>6</v>
      </c>
      <c r="B179" s="400" t="s">
        <v>703</v>
      </c>
      <c r="C179" s="401" t="s">
        <v>704</v>
      </c>
      <c r="D179" s="403" t="s">
        <v>715</v>
      </c>
      <c r="E179" s="322" t="s">
        <v>716</v>
      </c>
      <c r="F179" s="322" t="s">
        <v>467</v>
      </c>
      <c r="G179" s="420">
        <v>45820</v>
      </c>
      <c r="H179" s="420">
        <v>45848</v>
      </c>
      <c r="I179" s="322"/>
      <c r="J179" s="322"/>
      <c r="K179" s="322"/>
      <c r="L179" s="351"/>
      <c r="M179" s="351"/>
      <c r="N179" s="322"/>
      <c r="O179" s="322"/>
      <c r="P179" s="322"/>
      <c r="Q179" s="322"/>
      <c r="R179" s="322"/>
      <c r="S179" s="322"/>
      <c r="T179" s="322"/>
      <c r="U179" s="322"/>
    </row>
    <row r="180" spans="1:21" ht="52.5" x14ac:dyDescent="0.35">
      <c r="A180" s="400">
        <v>7</v>
      </c>
      <c r="B180" s="400" t="s">
        <v>703</v>
      </c>
      <c r="C180" s="401" t="s">
        <v>704</v>
      </c>
      <c r="D180" s="403" t="s">
        <v>717</v>
      </c>
      <c r="E180" s="322" t="s">
        <v>718</v>
      </c>
      <c r="F180" s="322" t="s">
        <v>467</v>
      </c>
      <c r="G180" s="420">
        <v>45814</v>
      </c>
      <c r="H180" s="420">
        <v>45848</v>
      </c>
      <c r="I180" s="322"/>
      <c r="J180" s="322"/>
      <c r="K180" s="322"/>
      <c r="L180" s="351"/>
      <c r="M180" s="351"/>
      <c r="N180" s="322"/>
      <c r="O180" s="322"/>
      <c r="P180" s="322"/>
      <c r="Q180" s="322"/>
      <c r="R180" s="322"/>
      <c r="S180" s="322"/>
      <c r="T180" s="322"/>
      <c r="U180" s="322"/>
    </row>
    <row r="181" spans="1:21" ht="52.5" x14ac:dyDescent="0.35">
      <c r="A181" s="400">
        <v>8</v>
      </c>
      <c r="B181" s="400" t="s">
        <v>703</v>
      </c>
      <c r="C181" s="401" t="s">
        <v>704</v>
      </c>
      <c r="D181" s="403" t="s">
        <v>719</v>
      </c>
      <c r="E181" s="322" t="s">
        <v>720</v>
      </c>
      <c r="F181" s="322" t="s">
        <v>467</v>
      </c>
      <c r="G181" s="420">
        <v>45870</v>
      </c>
      <c r="H181" s="422">
        <v>45870</v>
      </c>
      <c r="I181" s="322"/>
      <c r="J181" s="322"/>
      <c r="K181" s="322"/>
      <c r="L181" s="351"/>
      <c r="M181" s="351"/>
      <c r="N181" s="322"/>
      <c r="O181" s="322"/>
      <c r="P181" s="322"/>
      <c r="Q181" s="322"/>
      <c r="R181" s="322"/>
      <c r="S181" s="322"/>
      <c r="T181" s="322"/>
      <c r="U181" s="322"/>
    </row>
    <row r="182" spans="1:21" ht="63" x14ac:dyDescent="0.35">
      <c r="A182" s="400">
        <v>9</v>
      </c>
      <c r="B182" s="400" t="s">
        <v>703</v>
      </c>
      <c r="C182" s="401" t="s">
        <v>704</v>
      </c>
      <c r="D182" s="403" t="s">
        <v>721</v>
      </c>
      <c r="E182" s="322" t="s">
        <v>722</v>
      </c>
      <c r="F182" s="322" t="s">
        <v>467</v>
      </c>
      <c r="G182" s="420">
        <v>45845</v>
      </c>
      <c r="H182" s="422">
        <v>45845</v>
      </c>
      <c r="I182" s="322"/>
      <c r="J182" s="322"/>
      <c r="K182" s="322"/>
      <c r="L182" s="351"/>
      <c r="M182" s="351"/>
      <c r="N182" s="322"/>
      <c r="O182" s="322"/>
      <c r="P182" s="322"/>
      <c r="Q182" s="322"/>
      <c r="R182" s="322"/>
      <c r="S182" s="322"/>
      <c r="T182" s="322"/>
      <c r="U182" s="322"/>
    </row>
    <row r="183" spans="1:21" x14ac:dyDescent="0.35">
      <c r="A183" s="397">
        <v>10</v>
      </c>
      <c r="B183" s="397" t="s">
        <v>703</v>
      </c>
      <c r="C183" s="398" t="s">
        <v>704</v>
      </c>
      <c r="D183" s="399" t="s">
        <v>723</v>
      </c>
      <c r="E183" s="357" t="s">
        <v>724</v>
      </c>
      <c r="F183" s="357" t="s">
        <v>467</v>
      </c>
      <c r="G183" s="410">
        <v>45788</v>
      </c>
      <c r="H183" s="410">
        <v>45846</v>
      </c>
      <c r="I183" s="322"/>
      <c r="J183" s="322"/>
      <c r="K183" s="322" t="s">
        <v>468</v>
      </c>
      <c r="L183" s="351">
        <v>45846</v>
      </c>
      <c r="M183" s="351">
        <v>45848</v>
      </c>
      <c r="N183" s="322" t="s">
        <v>469</v>
      </c>
      <c r="O183" s="322">
        <f>M183-L183</f>
        <v>2</v>
      </c>
      <c r="P183" s="322">
        <f ca="1">O1-M183</f>
        <v>14</v>
      </c>
      <c r="Q183" s="357"/>
      <c r="R183" s="357" t="s">
        <v>492</v>
      </c>
      <c r="S183" s="357" t="str">
        <f>N183</f>
        <v>CAT - III</v>
      </c>
      <c r="T183" s="357" t="s">
        <v>471</v>
      </c>
      <c r="U183" s="357"/>
    </row>
    <row r="184" spans="1:21" x14ac:dyDescent="0.35">
      <c r="A184" s="416"/>
      <c r="B184" s="416"/>
      <c r="C184" s="417"/>
      <c r="D184" s="421"/>
      <c r="E184" s="386"/>
      <c r="F184" s="386"/>
      <c r="G184" s="419"/>
      <c r="H184" s="419"/>
      <c r="I184" s="322"/>
      <c r="J184" s="322"/>
      <c r="K184" s="322" t="s">
        <v>470</v>
      </c>
      <c r="L184" s="351">
        <v>45854</v>
      </c>
      <c r="M184" s="351"/>
      <c r="N184" s="322"/>
      <c r="O184" s="322"/>
      <c r="P184" s="322"/>
      <c r="Q184" s="386"/>
      <c r="R184" s="386"/>
      <c r="S184" s="386"/>
      <c r="T184" s="386"/>
      <c r="U184" s="386"/>
    </row>
    <row r="185" spans="1:21" ht="42" x14ac:dyDescent="0.35">
      <c r="A185" s="400">
        <v>11</v>
      </c>
      <c r="B185" s="400" t="s">
        <v>703</v>
      </c>
      <c r="C185" s="401" t="s">
        <v>704</v>
      </c>
      <c r="D185" s="403" t="s">
        <v>725</v>
      </c>
      <c r="E185" s="322" t="s">
        <v>726</v>
      </c>
      <c r="F185" s="322" t="s">
        <v>467</v>
      </c>
      <c r="G185" s="420">
        <v>45865</v>
      </c>
      <c r="H185" s="422">
        <v>45865</v>
      </c>
      <c r="I185" s="322"/>
      <c r="J185" s="322"/>
      <c r="K185" s="322" t="s">
        <v>468</v>
      </c>
      <c r="L185" s="351">
        <v>45859</v>
      </c>
      <c r="M185" s="351"/>
      <c r="N185" s="322"/>
      <c r="O185" s="322"/>
      <c r="P185" s="322"/>
      <c r="Q185" s="322"/>
      <c r="R185" s="322" t="s">
        <v>492</v>
      </c>
      <c r="S185" s="322"/>
      <c r="T185" s="322" t="s">
        <v>471</v>
      </c>
      <c r="U185" s="322"/>
    </row>
    <row r="186" spans="1:21" ht="42" x14ac:dyDescent="0.35">
      <c r="A186" s="400">
        <v>12</v>
      </c>
      <c r="B186" s="400" t="s">
        <v>703</v>
      </c>
      <c r="C186" s="401" t="s">
        <v>704</v>
      </c>
      <c r="D186" s="403" t="s">
        <v>727</v>
      </c>
      <c r="E186" s="322" t="s">
        <v>728</v>
      </c>
      <c r="F186" s="322" t="s">
        <v>467</v>
      </c>
      <c r="G186" s="420">
        <v>45843</v>
      </c>
      <c r="H186" s="422">
        <v>45843</v>
      </c>
      <c r="I186" s="322"/>
      <c r="J186" s="322"/>
      <c r="K186" s="322"/>
      <c r="L186" s="351"/>
      <c r="M186" s="351"/>
      <c r="N186" s="322"/>
      <c r="O186" s="322"/>
      <c r="P186" s="322"/>
      <c r="Q186" s="322"/>
      <c r="R186" s="322"/>
      <c r="S186" s="322"/>
      <c r="T186" s="322"/>
      <c r="U186" s="322"/>
    </row>
    <row r="187" spans="1:21" ht="42" x14ac:dyDescent="0.35">
      <c r="A187" s="400">
        <v>13</v>
      </c>
      <c r="B187" s="400" t="s">
        <v>703</v>
      </c>
      <c r="C187" s="401" t="s">
        <v>704</v>
      </c>
      <c r="D187" s="403" t="s">
        <v>729</v>
      </c>
      <c r="E187" s="322" t="s">
        <v>730</v>
      </c>
      <c r="F187" s="322" t="s">
        <v>467</v>
      </c>
      <c r="G187" s="420">
        <v>45840</v>
      </c>
      <c r="H187" s="422">
        <v>45843</v>
      </c>
      <c r="I187" s="322"/>
      <c r="J187" s="322"/>
      <c r="K187" s="322"/>
      <c r="L187" s="351"/>
      <c r="M187" s="351"/>
      <c r="N187" s="322"/>
      <c r="O187" s="322"/>
      <c r="P187" s="322"/>
      <c r="Q187" s="322"/>
      <c r="R187" s="322"/>
      <c r="S187" s="322"/>
      <c r="T187" s="322"/>
      <c r="U187" s="322"/>
    </row>
    <row r="188" spans="1:21" ht="42" x14ac:dyDescent="0.35">
      <c r="A188" s="400">
        <v>14</v>
      </c>
      <c r="B188" s="400" t="s">
        <v>703</v>
      </c>
      <c r="C188" s="401" t="s">
        <v>704</v>
      </c>
      <c r="D188" s="403" t="s">
        <v>731</v>
      </c>
      <c r="E188" s="322" t="s">
        <v>732</v>
      </c>
      <c r="F188" s="322" t="s">
        <v>467</v>
      </c>
      <c r="G188" s="420">
        <v>45822</v>
      </c>
      <c r="H188" s="422">
        <v>45846</v>
      </c>
      <c r="I188" s="322"/>
      <c r="J188" s="322"/>
      <c r="K188" s="322"/>
      <c r="L188" s="351"/>
      <c r="M188" s="351"/>
      <c r="N188" s="322"/>
      <c r="O188" s="322"/>
      <c r="P188" s="322"/>
      <c r="Q188" s="322"/>
      <c r="R188" s="322"/>
      <c r="S188" s="322"/>
      <c r="T188" s="322"/>
      <c r="U188" s="322"/>
    </row>
    <row r="189" spans="1:21" ht="52.5" x14ac:dyDescent="0.35">
      <c r="A189" s="400">
        <v>15</v>
      </c>
      <c r="B189" s="400" t="s">
        <v>703</v>
      </c>
      <c r="C189" s="401" t="s">
        <v>704</v>
      </c>
      <c r="D189" s="403" t="s">
        <v>733</v>
      </c>
      <c r="E189" s="322" t="s">
        <v>734</v>
      </c>
      <c r="F189" s="322" t="s">
        <v>477</v>
      </c>
      <c r="G189" s="420">
        <v>45840</v>
      </c>
      <c r="H189" s="422">
        <v>45845</v>
      </c>
      <c r="I189" s="322"/>
      <c r="J189" s="322"/>
      <c r="K189" s="322"/>
      <c r="L189" s="351"/>
      <c r="M189" s="351"/>
      <c r="N189" s="322"/>
      <c r="O189" s="322"/>
      <c r="P189" s="322"/>
      <c r="Q189" s="322"/>
      <c r="R189" s="322"/>
      <c r="S189" s="322"/>
      <c r="T189" s="322"/>
      <c r="U189" s="322"/>
    </row>
    <row r="190" spans="1:21" ht="52.5" x14ac:dyDescent="0.35">
      <c r="A190" s="400">
        <v>16</v>
      </c>
      <c r="B190" s="400" t="s">
        <v>703</v>
      </c>
      <c r="C190" s="401" t="s">
        <v>704</v>
      </c>
      <c r="D190" s="403" t="s">
        <v>735</v>
      </c>
      <c r="E190" s="322" t="s">
        <v>736</v>
      </c>
      <c r="F190" s="322" t="s">
        <v>477</v>
      </c>
      <c r="G190" s="420">
        <v>45847</v>
      </c>
      <c r="H190" s="422">
        <v>45847</v>
      </c>
      <c r="I190" s="322"/>
      <c r="J190" s="322"/>
      <c r="K190" s="322"/>
      <c r="L190" s="351"/>
      <c r="M190" s="351"/>
      <c r="N190" s="322"/>
      <c r="O190" s="322"/>
      <c r="P190" s="322"/>
      <c r="Q190" s="322"/>
      <c r="R190" s="322"/>
      <c r="S190" s="322"/>
      <c r="T190" s="322"/>
      <c r="U190" s="322"/>
    </row>
    <row r="191" spans="1:21" ht="52.5" x14ac:dyDescent="0.35">
      <c r="A191" s="400">
        <v>17</v>
      </c>
      <c r="B191" s="400" t="s">
        <v>703</v>
      </c>
      <c r="C191" s="401" t="s">
        <v>704</v>
      </c>
      <c r="D191" s="403" t="s">
        <v>737</v>
      </c>
      <c r="E191" s="322" t="s">
        <v>738</v>
      </c>
      <c r="F191" s="322" t="s">
        <v>467</v>
      </c>
      <c r="G191" s="420">
        <v>45894</v>
      </c>
      <c r="H191" s="422">
        <v>45894</v>
      </c>
      <c r="I191" s="322"/>
      <c r="J191" s="322"/>
      <c r="K191" s="322"/>
      <c r="L191" s="351"/>
      <c r="M191" s="351"/>
      <c r="N191" s="322"/>
      <c r="O191" s="322"/>
      <c r="P191" s="322"/>
      <c r="Q191" s="322"/>
      <c r="R191" s="322"/>
      <c r="S191" s="322"/>
      <c r="T191" s="322"/>
      <c r="U191" s="322"/>
    </row>
    <row r="192" spans="1:21" ht="52.5" x14ac:dyDescent="0.35">
      <c r="A192" s="400">
        <v>18</v>
      </c>
      <c r="B192" s="400" t="s">
        <v>703</v>
      </c>
      <c r="C192" s="401" t="s">
        <v>704</v>
      </c>
      <c r="D192" s="403" t="s">
        <v>739</v>
      </c>
      <c r="E192" s="322" t="s">
        <v>740</v>
      </c>
      <c r="F192" s="322" t="s">
        <v>477</v>
      </c>
      <c r="G192" s="420">
        <v>45813</v>
      </c>
      <c r="H192" s="422">
        <v>45850</v>
      </c>
      <c r="I192" s="322"/>
      <c r="J192" s="322"/>
      <c r="K192" s="322"/>
      <c r="L192" s="351"/>
      <c r="M192" s="351"/>
      <c r="N192" s="322"/>
      <c r="O192" s="322"/>
      <c r="P192" s="322"/>
      <c r="Q192" s="322"/>
      <c r="R192" s="322"/>
      <c r="S192" s="322"/>
      <c r="T192" s="322"/>
      <c r="U192" s="322"/>
    </row>
    <row r="193" spans="1:21" ht="42" x14ac:dyDescent="0.35">
      <c r="A193" s="400">
        <v>19</v>
      </c>
      <c r="B193" s="400" t="s">
        <v>703</v>
      </c>
      <c r="C193" s="401" t="s">
        <v>704</v>
      </c>
      <c r="D193" s="403" t="s">
        <v>741</v>
      </c>
      <c r="E193" s="322" t="s">
        <v>742</v>
      </c>
      <c r="F193" s="322" t="s">
        <v>467</v>
      </c>
      <c r="G193" s="420">
        <v>45858</v>
      </c>
      <c r="H193" s="422">
        <v>45858</v>
      </c>
      <c r="I193" s="322"/>
      <c r="J193" s="322"/>
      <c r="K193" s="322"/>
      <c r="L193" s="351"/>
      <c r="M193" s="351"/>
      <c r="N193" s="322"/>
      <c r="O193" s="322"/>
      <c r="P193" s="322"/>
      <c r="Q193" s="322"/>
      <c r="R193" s="322"/>
      <c r="S193" s="322"/>
      <c r="T193" s="322"/>
      <c r="U193" s="322"/>
    </row>
    <row r="194" spans="1:21" ht="63" x14ac:dyDescent="0.35">
      <c r="A194" s="400">
        <v>20</v>
      </c>
      <c r="B194" s="400" t="s">
        <v>703</v>
      </c>
      <c r="C194" s="401" t="s">
        <v>704</v>
      </c>
      <c r="D194" s="403" t="s">
        <v>743</v>
      </c>
      <c r="E194" s="322" t="s">
        <v>744</v>
      </c>
      <c r="F194" s="322" t="s">
        <v>477</v>
      </c>
      <c r="G194" s="420">
        <v>45834</v>
      </c>
      <c r="H194" s="422">
        <v>45853</v>
      </c>
      <c r="I194" s="322"/>
      <c r="J194" s="322"/>
      <c r="K194" s="322"/>
      <c r="L194" s="351"/>
      <c r="M194" s="351"/>
      <c r="N194" s="322"/>
      <c r="O194" s="322"/>
      <c r="P194" s="322"/>
      <c r="Q194" s="322"/>
      <c r="R194" s="322"/>
      <c r="S194" s="322"/>
      <c r="T194" s="322"/>
      <c r="U194" s="322"/>
    </row>
    <row r="195" spans="1:21" ht="52.5" x14ac:dyDescent="0.35">
      <c r="A195" s="400">
        <v>21</v>
      </c>
      <c r="B195" s="400" t="s">
        <v>703</v>
      </c>
      <c r="C195" s="401" t="s">
        <v>704</v>
      </c>
      <c r="D195" s="403" t="s">
        <v>745</v>
      </c>
      <c r="E195" s="322" t="s">
        <v>746</v>
      </c>
      <c r="F195" s="322" t="s">
        <v>467</v>
      </c>
      <c r="G195" s="420">
        <v>45840</v>
      </c>
      <c r="H195" s="422">
        <v>45846</v>
      </c>
      <c r="I195" s="322"/>
      <c r="J195" s="322"/>
      <c r="K195" s="322"/>
      <c r="L195" s="351"/>
      <c r="M195" s="351"/>
      <c r="N195" s="322"/>
      <c r="O195" s="322"/>
      <c r="P195" s="322"/>
      <c r="Q195" s="322"/>
      <c r="R195" s="322"/>
      <c r="S195" s="322"/>
      <c r="T195" s="322"/>
      <c r="U195" s="322"/>
    </row>
    <row r="196" spans="1:21" ht="52.5" x14ac:dyDescent="0.35">
      <c r="A196" s="337">
        <v>22</v>
      </c>
      <c r="B196" s="337" t="s">
        <v>703</v>
      </c>
      <c r="C196" s="340" t="s">
        <v>704</v>
      </c>
      <c r="D196" s="391" t="s">
        <v>747</v>
      </c>
      <c r="E196" s="337" t="s">
        <v>748</v>
      </c>
      <c r="F196" s="337" t="s">
        <v>477</v>
      </c>
      <c r="G196" s="423">
        <v>45962</v>
      </c>
      <c r="H196" s="423">
        <v>45962</v>
      </c>
      <c r="I196" s="337"/>
      <c r="J196" s="337"/>
      <c r="K196" s="337" t="s">
        <v>468</v>
      </c>
      <c r="L196" s="338">
        <v>45854</v>
      </c>
      <c r="M196" s="338">
        <v>45859</v>
      </c>
      <c r="N196" s="337" t="s">
        <v>521</v>
      </c>
      <c r="O196" s="337"/>
      <c r="P196" s="337"/>
      <c r="Q196" s="337"/>
      <c r="R196" s="337" t="s">
        <v>398</v>
      </c>
      <c r="S196" s="337" t="str">
        <f>N196</f>
        <v xml:space="preserve">CAT -IV </v>
      </c>
      <c r="T196" s="337" t="s">
        <v>398</v>
      </c>
      <c r="U196" s="337"/>
    </row>
    <row r="197" spans="1:21" ht="42" x14ac:dyDescent="0.35">
      <c r="A197" s="400">
        <v>23</v>
      </c>
      <c r="B197" s="400" t="s">
        <v>703</v>
      </c>
      <c r="C197" s="401" t="s">
        <v>704</v>
      </c>
      <c r="D197" s="403" t="s">
        <v>749</v>
      </c>
      <c r="E197" s="322" t="s">
        <v>750</v>
      </c>
      <c r="F197" s="322" t="s">
        <v>467</v>
      </c>
      <c r="G197" s="420">
        <v>45826</v>
      </c>
      <c r="H197" s="422">
        <v>45846</v>
      </c>
      <c r="I197" s="322"/>
      <c r="J197" s="322"/>
      <c r="K197" s="322"/>
      <c r="L197" s="351"/>
      <c r="M197" s="351"/>
      <c r="N197" s="322"/>
      <c r="O197" s="322"/>
      <c r="P197" s="322"/>
      <c r="Q197" s="322"/>
      <c r="R197" s="322"/>
      <c r="S197" s="322"/>
      <c r="T197" s="322"/>
      <c r="U197" s="322"/>
    </row>
    <row r="198" spans="1:21" ht="42" x14ac:dyDescent="0.35">
      <c r="A198" s="400">
        <v>24</v>
      </c>
      <c r="B198" s="400" t="s">
        <v>703</v>
      </c>
      <c r="C198" s="401" t="s">
        <v>704</v>
      </c>
      <c r="D198" s="403" t="s">
        <v>751</v>
      </c>
      <c r="E198" s="322" t="s">
        <v>752</v>
      </c>
      <c r="F198" s="322" t="s">
        <v>477</v>
      </c>
      <c r="G198" s="420">
        <v>45853</v>
      </c>
      <c r="H198" s="422">
        <v>45853</v>
      </c>
      <c r="I198" s="322"/>
      <c r="J198" s="322"/>
      <c r="K198" s="322"/>
      <c r="L198" s="351"/>
      <c r="M198" s="351"/>
      <c r="N198" s="322"/>
      <c r="O198" s="322"/>
      <c r="P198" s="322"/>
      <c r="Q198" s="322"/>
      <c r="R198" s="322"/>
      <c r="S198" s="322"/>
      <c r="T198" s="322"/>
      <c r="U198" s="322"/>
    </row>
    <row r="199" spans="1:21" ht="52.5" x14ac:dyDescent="0.35">
      <c r="A199" s="400">
        <v>25</v>
      </c>
      <c r="B199" s="400" t="s">
        <v>703</v>
      </c>
      <c r="C199" s="401" t="s">
        <v>704</v>
      </c>
      <c r="D199" s="403" t="s">
        <v>753</v>
      </c>
      <c r="E199" s="322" t="s">
        <v>754</v>
      </c>
      <c r="F199" s="322" t="s">
        <v>477</v>
      </c>
      <c r="G199" s="420">
        <v>45874</v>
      </c>
      <c r="H199" s="422">
        <v>45874</v>
      </c>
      <c r="I199" s="322"/>
      <c r="J199" s="322"/>
      <c r="K199" s="322"/>
      <c r="L199" s="351"/>
      <c r="M199" s="351"/>
      <c r="N199" s="322"/>
      <c r="O199" s="322"/>
      <c r="P199" s="322"/>
      <c r="Q199" s="322"/>
      <c r="R199" s="322"/>
      <c r="S199" s="322"/>
      <c r="T199" s="322"/>
      <c r="U199" s="322"/>
    </row>
    <row r="200" spans="1:21" ht="147" x14ac:dyDescent="0.35">
      <c r="A200" s="400">
        <v>26</v>
      </c>
      <c r="B200" s="400" t="s">
        <v>703</v>
      </c>
      <c r="C200" s="401" t="s">
        <v>704</v>
      </c>
      <c r="D200" s="403" t="s">
        <v>755</v>
      </c>
      <c r="E200" s="322" t="s">
        <v>756</v>
      </c>
      <c r="F200" s="322" t="s">
        <v>477</v>
      </c>
      <c r="G200" s="420">
        <v>45900</v>
      </c>
      <c r="H200" s="422">
        <v>45900</v>
      </c>
      <c r="I200" s="322"/>
      <c r="J200" s="322"/>
      <c r="K200" s="322"/>
      <c r="L200" s="351"/>
      <c r="M200" s="351"/>
      <c r="N200" s="322"/>
      <c r="O200" s="322"/>
      <c r="P200" s="322"/>
      <c r="Q200" s="322"/>
      <c r="R200" s="322"/>
      <c r="S200" s="322"/>
      <c r="T200" s="322"/>
      <c r="U200" s="322"/>
    </row>
    <row r="201" spans="1:21" ht="52.5" x14ac:dyDescent="0.35">
      <c r="A201" s="400">
        <v>27</v>
      </c>
      <c r="B201" s="400" t="s">
        <v>703</v>
      </c>
      <c r="C201" s="401" t="s">
        <v>704</v>
      </c>
      <c r="D201" s="403" t="s">
        <v>757</v>
      </c>
      <c r="E201" s="322" t="s">
        <v>758</v>
      </c>
      <c r="F201" s="322" t="s">
        <v>467</v>
      </c>
      <c r="G201" s="420">
        <v>45834</v>
      </c>
      <c r="H201" s="422">
        <v>45856</v>
      </c>
      <c r="I201" s="322"/>
      <c r="J201" s="322"/>
      <c r="K201" s="322"/>
      <c r="L201" s="351"/>
      <c r="M201" s="351"/>
      <c r="N201" s="322"/>
      <c r="O201" s="322"/>
      <c r="P201" s="322"/>
      <c r="Q201" s="322"/>
      <c r="R201" s="322"/>
      <c r="S201" s="322"/>
      <c r="T201" s="322"/>
      <c r="U201" s="322"/>
    </row>
    <row r="202" spans="1:21" ht="42" x14ac:dyDescent="0.35">
      <c r="A202" s="400">
        <v>28</v>
      </c>
      <c r="B202" s="400" t="s">
        <v>703</v>
      </c>
      <c r="C202" s="401" t="s">
        <v>704</v>
      </c>
      <c r="D202" s="403" t="s">
        <v>759</v>
      </c>
      <c r="E202" s="322" t="s">
        <v>760</v>
      </c>
      <c r="F202" s="322" t="s">
        <v>467</v>
      </c>
      <c r="G202" s="420">
        <v>45814</v>
      </c>
      <c r="H202" s="422">
        <v>45856</v>
      </c>
      <c r="I202" s="322"/>
      <c r="J202" s="322"/>
      <c r="K202" s="322"/>
      <c r="L202" s="351"/>
      <c r="M202" s="351"/>
      <c r="N202" s="322"/>
      <c r="O202" s="322"/>
      <c r="P202" s="322"/>
      <c r="Q202" s="322"/>
      <c r="R202" s="322"/>
      <c r="S202" s="322"/>
      <c r="T202" s="322"/>
      <c r="U202" s="322"/>
    </row>
    <row r="203" spans="1:21" ht="42" x14ac:dyDescent="0.35">
      <c r="A203" s="400">
        <v>29</v>
      </c>
      <c r="B203" s="400" t="s">
        <v>703</v>
      </c>
      <c r="C203" s="401" t="s">
        <v>704</v>
      </c>
      <c r="D203" s="403" t="s">
        <v>761</v>
      </c>
      <c r="E203" s="322" t="s">
        <v>762</v>
      </c>
      <c r="F203" s="322" t="s">
        <v>467</v>
      </c>
      <c r="G203" s="420">
        <v>45814</v>
      </c>
      <c r="H203" s="422">
        <v>45860</v>
      </c>
      <c r="I203" s="322"/>
      <c r="J203" s="322"/>
      <c r="K203" s="322"/>
      <c r="L203" s="351"/>
      <c r="M203" s="351"/>
      <c r="N203" s="322"/>
      <c r="O203" s="322"/>
      <c r="P203" s="322"/>
      <c r="Q203" s="322"/>
      <c r="R203" s="322"/>
      <c r="S203" s="322"/>
      <c r="T203" s="322"/>
      <c r="U203" s="322"/>
    </row>
    <row r="204" spans="1:21" ht="52.5" x14ac:dyDescent="0.35">
      <c r="A204" s="400">
        <v>30</v>
      </c>
      <c r="B204" s="400" t="s">
        <v>703</v>
      </c>
      <c r="C204" s="401" t="s">
        <v>704</v>
      </c>
      <c r="D204" s="403" t="s">
        <v>763</v>
      </c>
      <c r="E204" s="322" t="s">
        <v>764</v>
      </c>
      <c r="F204" s="322" t="s">
        <v>467</v>
      </c>
      <c r="G204" s="420">
        <v>45826</v>
      </c>
      <c r="H204" s="422">
        <v>45860</v>
      </c>
      <c r="I204" s="322"/>
      <c r="J204" s="322"/>
      <c r="K204" s="322"/>
      <c r="L204" s="351"/>
      <c r="M204" s="351"/>
      <c r="N204" s="322"/>
      <c r="O204" s="322"/>
      <c r="P204" s="322"/>
      <c r="Q204" s="322"/>
      <c r="R204" s="322"/>
      <c r="S204" s="322"/>
      <c r="T204" s="322"/>
      <c r="U204" s="322"/>
    </row>
    <row r="205" spans="1:21" ht="52.5" x14ac:dyDescent="0.35">
      <c r="A205" s="400">
        <v>31</v>
      </c>
      <c r="B205" s="400" t="s">
        <v>703</v>
      </c>
      <c r="C205" s="401" t="s">
        <v>704</v>
      </c>
      <c r="D205" s="403" t="s">
        <v>765</v>
      </c>
      <c r="E205" s="322" t="s">
        <v>766</v>
      </c>
      <c r="F205" s="322" t="s">
        <v>467</v>
      </c>
      <c r="G205" s="420">
        <v>45834</v>
      </c>
      <c r="H205" s="422">
        <v>45860</v>
      </c>
      <c r="I205" s="322"/>
      <c r="J205" s="322"/>
      <c r="K205" s="322"/>
      <c r="L205" s="351"/>
      <c r="M205" s="351"/>
      <c r="N205" s="322"/>
      <c r="O205" s="322"/>
      <c r="P205" s="322"/>
      <c r="Q205" s="322"/>
      <c r="R205" s="322"/>
      <c r="S205" s="322"/>
      <c r="T205" s="322"/>
      <c r="U205" s="322"/>
    </row>
    <row r="206" spans="1:21" ht="42" x14ac:dyDescent="0.35">
      <c r="A206" s="400">
        <v>32</v>
      </c>
      <c r="B206" s="400" t="s">
        <v>703</v>
      </c>
      <c r="C206" s="401" t="s">
        <v>704</v>
      </c>
      <c r="D206" s="403" t="s">
        <v>767</v>
      </c>
      <c r="E206" s="322" t="s">
        <v>768</v>
      </c>
      <c r="F206" s="322" t="s">
        <v>467</v>
      </c>
      <c r="G206" s="420">
        <v>45848</v>
      </c>
      <c r="H206" s="422">
        <v>45856</v>
      </c>
      <c r="I206" s="322"/>
      <c r="J206" s="322"/>
      <c r="K206" s="322"/>
      <c r="L206" s="351"/>
      <c r="M206" s="351"/>
      <c r="N206" s="322"/>
      <c r="O206" s="322"/>
      <c r="P206" s="322"/>
      <c r="Q206" s="322"/>
      <c r="R206" s="322"/>
      <c r="S206" s="322"/>
      <c r="T206" s="322"/>
      <c r="U206" s="322"/>
    </row>
    <row r="207" spans="1:21" ht="42" x14ac:dyDescent="0.35">
      <c r="A207" s="400">
        <f t="shared" ref="A207:A235" si="5">A206+1</f>
        <v>33</v>
      </c>
      <c r="B207" s="400" t="s">
        <v>703</v>
      </c>
      <c r="C207" s="401" t="s">
        <v>704</v>
      </c>
      <c r="D207" s="403" t="s">
        <v>769</v>
      </c>
      <c r="E207" s="322" t="s">
        <v>770</v>
      </c>
      <c r="F207" s="322" t="s">
        <v>467</v>
      </c>
      <c r="G207" s="420">
        <v>45868</v>
      </c>
      <c r="H207" s="422">
        <v>45868</v>
      </c>
      <c r="I207" s="322"/>
      <c r="J207" s="322"/>
      <c r="K207" s="322"/>
      <c r="L207" s="351"/>
      <c r="M207" s="351"/>
      <c r="N207" s="322"/>
      <c r="O207" s="322"/>
      <c r="P207" s="322"/>
      <c r="Q207" s="322"/>
      <c r="R207" s="322"/>
      <c r="S207" s="322"/>
      <c r="T207" s="322"/>
      <c r="U207" s="322"/>
    </row>
    <row r="208" spans="1:21" x14ac:dyDescent="0.35">
      <c r="A208" s="397">
        <f t="shared" si="5"/>
        <v>34</v>
      </c>
      <c r="B208" s="397" t="s">
        <v>703</v>
      </c>
      <c r="C208" s="398" t="s">
        <v>704</v>
      </c>
      <c r="D208" s="424" t="s">
        <v>771</v>
      </c>
      <c r="E208" s="357" t="s">
        <v>772</v>
      </c>
      <c r="F208" s="357" t="s">
        <v>467</v>
      </c>
      <c r="G208" s="425">
        <v>45797</v>
      </c>
      <c r="H208" s="425">
        <v>45836</v>
      </c>
      <c r="I208" s="357"/>
      <c r="J208" s="357"/>
      <c r="K208" s="322" t="s">
        <v>468</v>
      </c>
      <c r="L208" s="351">
        <v>45790</v>
      </c>
      <c r="M208" s="351">
        <v>45812</v>
      </c>
      <c r="N208" s="322" t="s">
        <v>469</v>
      </c>
      <c r="O208" s="322">
        <f>M208-L208</f>
        <v>22</v>
      </c>
      <c r="P208" s="322">
        <f>L209-M208</f>
        <v>12</v>
      </c>
      <c r="Q208" s="357"/>
      <c r="R208" s="357" t="s">
        <v>492</v>
      </c>
      <c r="S208" s="357" t="str">
        <f>N209</f>
        <v>CAT - II</v>
      </c>
      <c r="T208" s="357" t="s">
        <v>471</v>
      </c>
      <c r="U208" s="357">
        <f ca="1">U1-L208</f>
        <v>72</v>
      </c>
    </row>
    <row r="209" spans="1:21" x14ac:dyDescent="0.35">
      <c r="A209" s="411"/>
      <c r="B209" s="416"/>
      <c r="C209" s="412"/>
      <c r="D209" s="426"/>
      <c r="E209" s="414"/>
      <c r="F209" s="386"/>
      <c r="G209" s="427"/>
      <c r="H209" s="427"/>
      <c r="I209" s="386"/>
      <c r="J209" s="386"/>
      <c r="K209" s="322" t="s">
        <v>470</v>
      </c>
      <c r="L209" s="351">
        <v>45824</v>
      </c>
      <c r="M209" s="351">
        <v>45842</v>
      </c>
      <c r="N209" s="322" t="s">
        <v>491</v>
      </c>
      <c r="O209" s="322">
        <f>M209-L209</f>
        <v>18</v>
      </c>
      <c r="P209" s="322">
        <f ca="1">O1-M209</f>
        <v>20</v>
      </c>
      <c r="Q209" s="386"/>
      <c r="R209" s="414"/>
      <c r="S209" s="414"/>
      <c r="T209" s="414"/>
      <c r="U209" s="414"/>
    </row>
    <row r="210" spans="1:21" x14ac:dyDescent="0.35">
      <c r="A210" s="416"/>
      <c r="B210" s="428"/>
      <c r="C210" s="417"/>
      <c r="D210" s="421"/>
      <c r="E210" s="386"/>
      <c r="F210" s="375"/>
      <c r="G210" s="429"/>
      <c r="H210" s="429"/>
      <c r="I210" s="375"/>
      <c r="J210" s="375"/>
      <c r="K210" s="322" t="s">
        <v>472</v>
      </c>
      <c r="L210" s="351">
        <v>45860</v>
      </c>
      <c r="M210" s="351"/>
      <c r="N210" s="322"/>
      <c r="O210" s="322"/>
      <c r="P210" s="322"/>
      <c r="Q210" s="375"/>
      <c r="R210" s="386"/>
      <c r="S210" s="386"/>
      <c r="T210" s="386"/>
      <c r="U210" s="386"/>
    </row>
    <row r="211" spans="1:21" ht="31.5" x14ac:dyDescent="0.35">
      <c r="A211" s="400">
        <f>A208+1</f>
        <v>35</v>
      </c>
      <c r="B211" s="400" t="s">
        <v>703</v>
      </c>
      <c r="C211" s="401" t="s">
        <v>773</v>
      </c>
      <c r="D211" s="403" t="s">
        <v>774</v>
      </c>
      <c r="E211" s="322" t="s">
        <v>775</v>
      </c>
      <c r="F211" s="322" t="s">
        <v>467</v>
      </c>
      <c r="G211" s="420">
        <v>45826</v>
      </c>
      <c r="H211" s="420">
        <f>L211</f>
        <v>45804</v>
      </c>
      <c r="I211" s="322"/>
      <c r="J211" s="322"/>
      <c r="K211" s="322" t="s">
        <v>468</v>
      </c>
      <c r="L211" s="351">
        <v>45804</v>
      </c>
      <c r="M211" s="351">
        <v>45847</v>
      </c>
      <c r="N211" s="322" t="s">
        <v>469</v>
      </c>
      <c r="O211" s="322">
        <f>M211-L211</f>
        <v>43</v>
      </c>
      <c r="P211" s="322">
        <f ca="1">O1-M211</f>
        <v>15</v>
      </c>
      <c r="Q211" s="322"/>
      <c r="R211" s="322" t="s">
        <v>499</v>
      </c>
      <c r="S211" s="322" t="str">
        <f>N211</f>
        <v>CAT - III</v>
      </c>
      <c r="T211" s="322" t="s">
        <v>474</v>
      </c>
      <c r="U211" s="322">
        <f ca="1">U1-L211</f>
        <v>58</v>
      </c>
    </row>
    <row r="212" spans="1:21" x14ac:dyDescent="0.35">
      <c r="A212" s="400">
        <f t="shared" si="5"/>
        <v>36</v>
      </c>
      <c r="B212" s="400" t="s">
        <v>703</v>
      </c>
      <c r="C212" s="401" t="s">
        <v>773</v>
      </c>
      <c r="D212" s="403" t="s">
        <v>776</v>
      </c>
      <c r="E212" s="322" t="s">
        <v>777</v>
      </c>
      <c r="F212" s="322" t="s">
        <v>477</v>
      </c>
      <c r="G212" s="420">
        <v>45826</v>
      </c>
      <c r="H212" s="420">
        <f>H174</f>
        <v>45854</v>
      </c>
      <c r="I212" s="322"/>
      <c r="J212" s="322"/>
      <c r="K212" s="322"/>
      <c r="L212" s="351"/>
      <c r="M212" s="351"/>
      <c r="N212" s="322"/>
      <c r="O212" s="322"/>
      <c r="P212" s="322"/>
      <c r="Q212" s="322"/>
      <c r="R212" s="322"/>
      <c r="S212" s="322"/>
      <c r="T212" s="322"/>
      <c r="U212" s="322"/>
    </row>
    <row r="213" spans="1:21" ht="31.5" x14ac:dyDescent="0.35">
      <c r="A213" s="400">
        <f t="shared" si="5"/>
        <v>37</v>
      </c>
      <c r="B213" s="400" t="s">
        <v>703</v>
      </c>
      <c r="C213" s="401" t="s">
        <v>773</v>
      </c>
      <c r="D213" s="403" t="s">
        <v>778</v>
      </c>
      <c r="E213" s="322" t="s">
        <v>779</v>
      </c>
      <c r="F213" s="322" t="s">
        <v>467</v>
      </c>
      <c r="G213" s="420">
        <v>45833</v>
      </c>
      <c r="H213" s="420">
        <f>H175</f>
        <v>45817</v>
      </c>
      <c r="I213" s="322"/>
      <c r="J213" s="322"/>
      <c r="K213" s="322" t="s">
        <v>468</v>
      </c>
      <c r="L213" s="351">
        <v>45817</v>
      </c>
      <c r="M213" s="351">
        <v>45828</v>
      </c>
      <c r="N213" s="322" t="s">
        <v>469</v>
      </c>
      <c r="O213" s="322">
        <f>M213-L213</f>
        <v>11</v>
      </c>
      <c r="P213" s="322">
        <f ca="1">O1-M213</f>
        <v>34</v>
      </c>
      <c r="Q213" s="322"/>
      <c r="R213" s="322" t="s">
        <v>499</v>
      </c>
      <c r="S213" s="322" t="str">
        <f>N213</f>
        <v>CAT - III</v>
      </c>
      <c r="T213" s="322" t="s">
        <v>474</v>
      </c>
      <c r="U213" s="322"/>
    </row>
    <row r="214" spans="1:21" ht="31.5" x14ac:dyDescent="0.35">
      <c r="A214" s="400">
        <f t="shared" si="5"/>
        <v>38</v>
      </c>
      <c r="B214" s="400" t="s">
        <v>703</v>
      </c>
      <c r="C214" s="401" t="s">
        <v>773</v>
      </c>
      <c r="D214" s="403" t="s">
        <v>780</v>
      </c>
      <c r="E214" s="322" t="s">
        <v>781</v>
      </c>
      <c r="F214" s="322" t="s">
        <v>467</v>
      </c>
      <c r="G214" s="420">
        <v>45870</v>
      </c>
      <c r="H214" s="420">
        <f>H177</f>
        <v>45817</v>
      </c>
      <c r="I214" s="322"/>
      <c r="J214" s="322"/>
      <c r="K214" s="322" t="s">
        <v>468</v>
      </c>
      <c r="L214" s="351">
        <v>45817</v>
      </c>
      <c r="M214" s="351">
        <v>45820</v>
      </c>
      <c r="N214" s="322" t="s">
        <v>469</v>
      </c>
      <c r="O214" s="322">
        <f>M214-L214</f>
        <v>3</v>
      </c>
      <c r="P214" s="322">
        <f ca="1">O1-M214</f>
        <v>42</v>
      </c>
      <c r="Q214" s="322"/>
      <c r="R214" s="322" t="s">
        <v>499</v>
      </c>
      <c r="S214" s="322" t="str">
        <f>N214</f>
        <v>CAT - III</v>
      </c>
      <c r="T214" s="322" t="s">
        <v>474</v>
      </c>
      <c r="U214" s="322"/>
    </row>
    <row r="215" spans="1:21" ht="21" x14ac:dyDescent="0.35">
      <c r="A215" s="400">
        <f t="shared" si="5"/>
        <v>39</v>
      </c>
      <c r="B215" s="400" t="s">
        <v>703</v>
      </c>
      <c r="C215" s="401" t="s">
        <v>773</v>
      </c>
      <c r="D215" s="403" t="s">
        <v>782</v>
      </c>
      <c r="E215" s="322" t="s">
        <v>783</v>
      </c>
      <c r="F215" s="322" t="s">
        <v>467</v>
      </c>
      <c r="G215" s="420">
        <v>45845</v>
      </c>
      <c r="H215" s="422">
        <v>45845</v>
      </c>
      <c r="I215" s="322"/>
      <c r="J215" s="322"/>
      <c r="K215" s="322"/>
      <c r="L215" s="351"/>
      <c r="M215" s="351"/>
      <c r="N215" s="322"/>
      <c r="O215" s="322"/>
      <c r="P215" s="322"/>
      <c r="Q215" s="322"/>
      <c r="R215" s="322"/>
      <c r="S215" s="322"/>
      <c r="T215" s="322"/>
      <c r="U215" s="322"/>
    </row>
    <row r="216" spans="1:21" ht="31.5" x14ac:dyDescent="0.35">
      <c r="A216" s="400">
        <f t="shared" si="5"/>
        <v>40</v>
      </c>
      <c r="B216" s="400" t="s">
        <v>703</v>
      </c>
      <c r="C216" s="401" t="s">
        <v>773</v>
      </c>
      <c r="D216" s="403" t="s">
        <v>784</v>
      </c>
      <c r="E216" s="322" t="s">
        <v>785</v>
      </c>
      <c r="F216" s="322" t="s">
        <v>477</v>
      </c>
      <c r="G216" s="420">
        <v>45845</v>
      </c>
      <c r="H216" s="422">
        <v>45845</v>
      </c>
      <c r="I216" s="322"/>
      <c r="J216" s="322"/>
      <c r="K216" s="322"/>
      <c r="L216" s="351"/>
      <c r="M216" s="351"/>
      <c r="N216" s="322"/>
      <c r="O216" s="322"/>
      <c r="P216" s="322"/>
      <c r="Q216" s="322"/>
      <c r="R216" s="322"/>
      <c r="S216" s="322"/>
      <c r="T216" s="322"/>
      <c r="U216" s="322"/>
    </row>
    <row r="217" spans="1:21" ht="31.5" x14ac:dyDescent="0.35">
      <c r="A217" s="400">
        <f t="shared" si="5"/>
        <v>41</v>
      </c>
      <c r="B217" s="400" t="s">
        <v>703</v>
      </c>
      <c r="C217" s="401" t="s">
        <v>773</v>
      </c>
      <c r="D217" s="403" t="s">
        <v>786</v>
      </c>
      <c r="E217" s="322" t="s">
        <v>787</v>
      </c>
      <c r="F217" s="322" t="s">
        <v>477</v>
      </c>
      <c r="G217" s="420">
        <v>45865</v>
      </c>
      <c r="H217" s="422">
        <v>45865</v>
      </c>
      <c r="I217" s="322"/>
      <c r="J217" s="322"/>
      <c r="K217" s="322"/>
      <c r="L217" s="351"/>
      <c r="M217" s="351"/>
      <c r="N217" s="322"/>
      <c r="O217" s="322"/>
      <c r="P217" s="322"/>
      <c r="Q217" s="322"/>
      <c r="R217" s="322"/>
      <c r="S217" s="322"/>
      <c r="T217" s="322"/>
      <c r="U217" s="322"/>
    </row>
    <row r="218" spans="1:21" ht="31.5" x14ac:dyDescent="0.35">
      <c r="A218" s="400">
        <f t="shared" si="5"/>
        <v>42</v>
      </c>
      <c r="B218" s="400" t="s">
        <v>703</v>
      </c>
      <c r="C218" s="401" t="s">
        <v>773</v>
      </c>
      <c r="D218" s="403" t="s">
        <v>788</v>
      </c>
      <c r="E218" s="322" t="s">
        <v>789</v>
      </c>
      <c r="F218" s="322" t="s">
        <v>467</v>
      </c>
      <c r="G218" s="420">
        <v>45843</v>
      </c>
      <c r="H218" s="422">
        <v>45843</v>
      </c>
      <c r="I218" s="322"/>
      <c r="J218" s="322"/>
      <c r="K218" s="322"/>
      <c r="L218" s="351"/>
      <c r="M218" s="351"/>
      <c r="N218" s="322"/>
      <c r="O218" s="322"/>
      <c r="P218" s="322"/>
      <c r="Q218" s="322"/>
      <c r="R218" s="322"/>
      <c r="S218" s="322"/>
      <c r="T218" s="322"/>
      <c r="U218" s="322"/>
    </row>
    <row r="219" spans="1:21" ht="21" x14ac:dyDescent="0.35">
      <c r="A219" s="400">
        <f t="shared" si="5"/>
        <v>43</v>
      </c>
      <c r="B219" s="400" t="s">
        <v>703</v>
      </c>
      <c r="C219" s="401" t="s">
        <v>773</v>
      </c>
      <c r="D219" s="403" t="s">
        <v>790</v>
      </c>
      <c r="E219" s="322" t="s">
        <v>791</v>
      </c>
      <c r="F219" s="322" t="s">
        <v>467</v>
      </c>
      <c r="G219" s="420">
        <v>45822</v>
      </c>
      <c r="H219" s="422">
        <v>45852</v>
      </c>
      <c r="I219" s="322"/>
      <c r="J219" s="322"/>
      <c r="K219" s="322"/>
      <c r="L219" s="351"/>
      <c r="M219" s="351"/>
      <c r="N219" s="322"/>
      <c r="O219" s="322"/>
      <c r="P219" s="322"/>
      <c r="Q219" s="322"/>
      <c r="R219" s="322"/>
      <c r="S219" s="322"/>
      <c r="T219" s="322"/>
      <c r="U219" s="322"/>
    </row>
    <row r="220" spans="1:21" ht="21" x14ac:dyDescent="0.35">
      <c r="A220" s="400">
        <f t="shared" si="5"/>
        <v>44</v>
      </c>
      <c r="B220" s="400" t="s">
        <v>703</v>
      </c>
      <c r="C220" s="401" t="s">
        <v>773</v>
      </c>
      <c r="D220" s="403" t="s">
        <v>792</v>
      </c>
      <c r="E220" s="322" t="s">
        <v>793</v>
      </c>
      <c r="F220" s="322" t="s">
        <v>467</v>
      </c>
      <c r="G220" s="420">
        <v>45840</v>
      </c>
      <c r="H220" s="422">
        <v>45852</v>
      </c>
      <c r="I220" s="322"/>
      <c r="J220" s="322"/>
      <c r="K220" s="322"/>
      <c r="L220" s="351"/>
      <c r="M220" s="351"/>
      <c r="N220" s="322"/>
      <c r="O220" s="322"/>
      <c r="P220" s="322"/>
      <c r="Q220" s="322"/>
      <c r="R220" s="322"/>
      <c r="S220" s="322"/>
      <c r="T220" s="322"/>
      <c r="U220" s="322"/>
    </row>
    <row r="221" spans="1:21" ht="21" x14ac:dyDescent="0.35">
      <c r="A221" s="400">
        <f t="shared" si="5"/>
        <v>45</v>
      </c>
      <c r="B221" s="400" t="s">
        <v>703</v>
      </c>
      <c r="C221" s="401" t="s">
        <v>773</v>
      </c>
      <c r="D221" s="403" t="s">
        <v>794</v>
      </c>
      <c r="E221" s="322" t="s">
        <v>795</v>
      </c>
      <c r="F221" s="322" t="s">
        <v>467</v>
      </c>
      <c r="G221" s="420">
        <v>45870</v>
      </c>
      <c r="H221" s="422">
        <v>45870</v>
      </c>
      <c r="I221" s="322"/>
      <c r="J221" s="322"/>
      <c r="K221" s="322"/>
      <c r="L221" s="351"/>
      <c r="M221" s="351"/>
      <c r="N221" s="322"/>
      <c r="O221" s="322"/>
      <c r="P221" s="322"/>
      <c r="Q221" s="322"/>
      <c r="R221" s="322"/>
      <c r="S221" s="322"/>
      <c r="T221" s="322"/>
      <c r="U221" s="322"/>
    </row>
    <row r="222" spans="1:21" ht="21" x14ac:dyDescent="0.35">
      <c r="A222" s="400">
        <f t="shared" si="5"/>
        <v>46</v>
      </c>
      <c r="B222" s="400" t="s">
        <v>703</v>
      </c>
      <c r="C222" s="401" t="s">
        <v>773</v>
      </c>
      <c r="D222" s="403" t="s">
        <v>796</v>
      </c>
      <c r="E222" s="322" t="s">
        <v>797</v>
      </c>
      <c r="F222" s="322" t="s">
        <v>467</v>
      </c>
      <c r="G222" s="420">
        <v>45813</v>
      </c>
      <c r="H222" s="422">
        <v>45852</v>
      </c>
      <c r="I222" s="322"/>
      <c r="J222" s="322"/>
      <c r="K222" s="322"/>
      <c r="L222" s="351"/>
      <c r="M222" s="351"/>
      <c r="N222" s="322"/>
      <c r="O222" s="322"/>
      <c r="P222" s="322"/>
      <c r="Q222" s="322"/>
      <c r="R222" s="322"/>
      <c r="S222" s="322"/>
      <c r="T222" s="322"/>
      <c r="U222" s="322"/>
    </row>
    <row r="223" spans="1:21" ht="31.5" x14ac:dyDescent="0.35">
      <c r="A223" s="400">
        <f t="shared" si="5"/>
        <v>47</v>
      </c>
      <c r="B223" s="400" t="s">
        <v>703</v>
      </c>
      <c r="C223" s="401" t="s">
        <v>773</v>
      </c>
      <c r="D223" s="403" t="s">
        <v>798</v>
      </c>
      <c r="E223" s="322" t="s">
        <v>799</v>
      </c>
      <c r="F223" s="322" t="s">
        <v>477</v>
      </c>
      <c r="G223" s="420">
        <v>45858</v>
      </c>
      <c r="H223" s="422">
        <v>45858</v>
      </c>
      <c r="I223" s="322"/>
      <c r="J223" s="322"/>
      <c r="K223" s="322"/>
      <c r="L223" s="351"/>
      <c r="M223" s="351"/>
      <c r="N223" s="322"/>
      <c r="O223" s="322"/>
      <c r="P223" s="322"/>
      <c r="Q223" s="322"/>
      <c r="R223" s="322"/>
      <c r="S223" s="322"/>
      <c r="T223" s="322"/>
      <c r="U223" s="322"/>
    </row>
    <row r="224" spans="1:21" ht="21" x14ac:dyDescent="0.35">
      <c r="A224" s="400">
        <f t="shared" si="5"/>
        <v>48</v>
      </c>
      <c r="B224" s="400" t="s">
        <v>703</v>
      </c>
      <c r="C224" s="401" t="s">
        <v>773</v>
      </c>
      <c r="D224" s="403" t="s">
        <v>800</v>
      </c>
      <c r="E224" s="322" t="s">
        <v>801</v>
      </c>
      <c r="F224" s="322" t="s">
        <v>477</v>
      </c>
      <c r="G224" s="420">
        <v>45834</v>
      </c>
      <c r="H224" s="420">
        <v>45850</v>
      </c>
      <c r="I224" s="322"/>
      <c r="J224" s="322"/>
      <c r="K224" s="322"/>
      <c r="L224" s="351"/>
      <c r="M224" s="351"/>
      <c r="N224" s="322"/>
      <c r="O224" s="322"/>
      <c r="P224" s="322"/>
      <c r="Q224" s="322"/>
      <c r="R224" s="322"/>
      <c r="S224" s="322"/>
      <c r="T224" s="322"/>
      <c r="U224" s="322"/>
    </row>
    <row r="225" spans="1:21" ht="21" x14ac:dyDescent="0.35">
      <c r="A225" s="400">
        <f t="shared" si="5"/>
        <v>49</v>
      </c>
      <c r="B225" s="400" t="s">
        <v>703</v>
      </c>
      <c r="C225" s="401" t="s">
        <v>773</v>
      </c>
      <c r="D225" s="403" t="s">
        <v>802</v>
      </c>
      <c r="E225" s="322" t="s">
        <v>803</v>
      </c>
      <c r="F225" s="322" t="s">
        <v>477</v>
      </c>
      <c r="G225" s="420">
        <v>45840</v>
      </c>
      <c r="H225" s="420">
        <v>45848</v>
      </c>
      <c r="I225" s="322"/>
      <c r="J225" s="322"/>
      <c r="K225" s="322"/>
      <c r="L225" s="351"/>
      <c r="M225" s="351"/>
      <c r="N225" s="322"/>
      <c r="O225" s="322"/>
      <c r="P225" s="322"/>
      <c r="Q225" s="322"/>
      <c r="R225" s="322"/>
      <c r="S225" s="322"/>
      <c r="T225" s="322"/>
      <c r="U225" s="322"/>
    </row>
    <row r="226" spans="1:21" ht="42" x14ac:dyDescent="0.35">
      <c r="A226" s="400">
        <f t="shared" si="5"/>
        <v>50</v>
      </c>
      <c r="B226" s="400" t="s">
        <v>703</v>
      </c>
      <c r="C226" s="401" t="s">
        <v>773</v>
      </c>
      <c r="D226" s="403" t="s">
        <v>804</v>
      </c>
      <c r="E226" s="322" t="s">
        <v>805</v>
      </c>
      <c r="F226" s="322" t="s">
        <v>477</v>
      </c>
      <c r="G226" s="420">
        <v>45826</v>
      </c>
      <c r="H226" s="422">
        <v>45850</v>
      </c>
      <c r="I226" s="322"/>
      <c r="J226" s="322"/>
      <c r="K226" s="430"/>
      <c r="L226" s="351"/>
      <c r="M226" s="351"/>
      <c r="N226" s="430"/>
      <c r="O226" s="322"/>
      <c r="P226" s="322"/>
      <c r="Q226" s="430"/>
      <c r="R226" s="430"/>
      <c r="S226" s="430"/>
      <c r="T226" s="430"/>
      <c r="U226" s="430"/>
    </row>
    <row r="227" spans="1:21" ht="42" x14ac:dyDescent="0.35">
      <c r="A227" s="400">
        <f t="shared" si="5"/>
        <v>51</v>
      </c>
      <c r="B227" s="400" t="s">
        <v>703</v>
      </c>
      <c r="C227" s="401" t="s">
        <v>773</v>
      </c>
      <c r="D227" s="403" t="s">
        <v>806</v>
      </c>
      <c r="E227" s="322" t="s">
        <v>807</v>
      </c>
      <c r="F227" s="322" t="s">
        <v>467</v>
      </c>
      <c r="G227" s="420" t="s">
        <v>847</v>
      </c>
      <c r="H227" s="422" t="s">
        <v>847</v>
      </c>
      <c r="I227" s="322"/>
      <c r="J227" s="322"/>
      <c r="K227" s="322"/>
      <c r="L227" s="351"/>
      <c r="M227" s="351"/>
      <c r="N227" s="322"/>
      <c r="O227" s="322"/>
      <c r="P227" s="322"/>
      <c r="Q227" s="322"/>
      <c r="R227" s="322"/>
      <c r="S227" s="322"/>
      <c r="T227" s="322"/>
      <c r="U227" s="322"/>
    </row>
    <row r="228" spans="1:21" x14ac:dyDescent="0.35">
      <c r="A228" s="400">
        <f t="shared" si="5"/>
        <v>52</v>
      </c>
      <c r="B228" s="400" t="s">
        <v>703</v>
      </c>
      <c r="C228" s="401" t="s">
        <v>773</v>
      </c>
      <c r="D228" s="403" t="s">
        <v>808</v>
      </c>
      <c r="E228" s="322" t="s">
        <v>809</v>
      </c>
      <c r="F228" s="322" t="s">
        <v>467</v>
      </c>
      <c r="G228" s="422">
        <v>45853</v>
      </c>
      <c r="H228" s="422">
        <v>45853</v>
      </c>
      <c r="I228" s="322"/>
      <c r="J228" s="322"/>
      <c r="K228" s="322"/>
      <c r="L228" s="351"/>
      <c r="M228" s="351"/>
      <c r="N228" s="322"/>
      <c r="O228" s="322"/>
      <c r="P228" s="322"/>
      <c r="Q228" s="322"/>
      <c r="R228" s="322"/>
      <c r="S228" s="322"/>
      <c r="T228" s="322"/>
      <c r="U228" s="322"/>
    </row>
    <row r="229" spans="1:21" ht="31.5" x14ac:dyDescent="0.35">
      <c r="A229" s="400">
        <f t="shared" si="5"/>
        <v>53</v>
      </c>
      <c r="B229" s="400" t="s">
        <v>703</v>
      </c>
      <c r="C229" s="401" t="s">
        <v>773</v>
      </c>
      <c r="D229" s="403" t="s">
        <v>810</v>
      </c>
      <c r="E229" s="322" t="s">
        <v>811</v>
      </c>
      <c r="F229" s="321" t="s">
        <v>477</v>
      </c>
      <c r="G229" s="420">
        <v>45826</v>
      </c>
      <c r="H229" s="422">
        <v>45858</v>
      </c>
      <c r="I229" s="321"/>
      <c r="J229" s="321"/>
      <c r="K229" s="322"/>
      <c r="L229" s="351"/>
      <c r="M229" s="351"/>
      <c r="N229" s="322"/>
      <c r="O229" s="322"/>
      <c r="P229" s="322"/>
      <c r="Q229" s="322"/>
      <c r="R229" s="322"/>
      <c r="S229" s="322"/>
      <c r="T229" s="322"/>
      <c r="U229" s="322"/>
    </row>
    <row r="230" spans="1:21" ht="21" x14ac:dyDescent="0.35">
      <c r="A230" s="400">
        <f t="shared" si="5"/>
        <v>54</v>
      </c>
      <c r="B230" s="400" t="s">
        <v>703</v>
      </c>
      <c r="C230" s="401" t="s">
        <v>773</v>
      </c>
      <c r="D230" s="403" t="s">
        <v>812</v>
      </c>
      <c r="E230" s="322" t="s">
        <v>813</v>
      </c>
      <c r="F230" s="322" t="s">
        <v>467</v>
      </c>
      <c r="G230" s="420" t="s">
        <v>847</v>
      </c>
      <c r="H230" s="422" t="s">
        <v>847</v>
      </c>
      <c r="I230" s="322"/>
      <c r="J230" s="322"/>
      <c r="K230" s="322"/>
      <c r="L230" s="351"/>
      <c r="M230" s="351"/>
      <c r="N230" s="322"/>
      <c r="O230" s="322"/>
      <c r="P230" s="322"/>
      <c r="Q230" s="322"/>
      <c r="R230" s="322"/>
      <c r="S230" s="322"/>
      <c r="T230" s="322"/>
      <c r="U230" s="322"/>
    </row>
    <row r="231" spans="1:21" ht="31.5" x14ac:dyDescent="0.35">
      <c r="A231" s="397">
        <f t="shared" si="5"/>
        <v>55</v>
      </c>
      <c r="B231" s="400" t="s">
        <v>703</v>
      </c>
      <c r="C231" s="401" t="s">
        <v>773</v>
      </c>
      <c r="D231" s="403" t="s">
        <v>814</v>
      </c>
      <c r="E231" s="322" t="s">
        <v>815</v>
      </c>
      <c r="F231" s="322" t="s">
        <v>467</v>
      </c>
      <c r="G231" s="420">
        <v>45868</v>
      </c>
      <c r="H231" s="422">
        <v>45868</v>
      </c>
      <c r="I231" s="322"/>
      <c r="J231" s="322"/>
      <c r="K231" s="322"/>
      <c r="L231" s="351"/>
      <c r="M231" s="351"/>
      <c r="N231" s="322"/>
      <c r="O231" s="322"/>
      <c r="P231" s="322"/>
      <c r="Q231" s="322"/>
      <c r="R231" s="322"/>
      <c r="S231" s="322"/>
      <c r="T231" s="322"/>
      <c r="U231" s="322"/>
    </row>
    <row r="232" spans="1:21" ht="31.5" x14ac:dyDescent="0.35">
      <c r="A232" s="416"/>
      <c r="B232" s="400" t="s">
        <v>703</v>
      </c>
      <c r="C232" s="401" t="s">
        <v>773</v>
      </c>
      <c r="D232" s="403" t="s">
        <v>816</v>
      </c>
      <c r="E232" s="322" t="s">
        <v>817</v>
      </c>
      <c r="F232" s="322" t="s">
        <v>477</v>
      </c>
      <c r="G232" s="420">
        <v>45868</v>
      </c>
      <c r="H232" s="422">
        <v>45868</v>
      </c>
      <c r="I232" s="322"/>
      <c r="J232" s="322"/>
      <c r="K232" s="322"/>
      <c r="L232" s="351"/>
      <c r="M232" s="351"/>
      <c r="N232" s="322"/>
      <c r="O232" s="322"/>
      <c r="P232" s="322"/>
      <c r="Q232" s="322"/>
      <c r="R232" s="322"/>
      <c r="S232" s="322"/>
      <c r="T232" s="322"/>
      <c r="U232" s="322"/>
    </row>
    <row r="233" spans="1:21" ht="21" x14ac:dyDescent="0.35">
      <c r="A233" s="400">
        <f>A231+1</f>
        <v>56</v>
      </c>
      <c r="B233" s="400" t="s">
        <v>703</v>
      </c>
      <c r="C233" s="401" t="s">
        <v>773</v>
      </c>
      <c r="D233" s="403" t="s">
        <v>818</v>
      </c>
      <c r="E233" s="322" t="s">
        <v>819</v>
      </c>
      <c r="F233" s="322" t="s">
        <v>477</v>
      </c>
      <c r="G233" s="420">
        <v>45899</v>
      </c>
      <c r="H233" s="422">
        <v>45899</v>
      </c>
      <c r="I233" s="322"/>
      <c r="J233" s="322"/>
      <c r="K233" s="322"/>
      <c r="L233" s="351"/>
      <c r="M233" s="351"/>
      <c r="N233" s="322"/>
      <c r="O233" s="322"/>
      <c r="P233" s="322"/>
      <c r="Q233" s="322"/>
      <c r="R233" s="322"/>
      <c r="S233" s="322"/>
      <c r="T233" s="322"/>
      <c r="U233" s="322"/>
    </row>
    <row r="234" spans="1:21" ht="42" x14ac:dyDescent="0.35">
      <c r="A234" s="431">
        <f t="shared" si="5"/>
        <v>57</v>
      </c>
      <c r="B234" s="400" t="s">
        <v>703</v>
      </c>
      <c r="C234" s="401" t="s">
        <v>773</v>
      </c>
      <c r="D234" s="403" t="s">
        <v>820</v>
      </c>
      <c r="E234" s="322" t="s">
        <v>821</v>
      </c>
      <c r="F234" s="322" t="s">
        <v>477</v>
      </c>
      <c r="G234" s="420">
        <v>45899</v>
      </c>
      <c r="H234" s="422">
        <v>45899</v>
      </c>
      <c r="I234" s="322"/>
      <c r="J234" s="322"/>
      <c r="K234" s="322"/>
      <c r="L234" s="351"/>
      <c r="M234" s="351"/>
      <c r="N234" s="322"/>
      <c r="O234" s="322"/>
      <c r="P234" s="322"/>
      <c r="Q234" s="322"/>
      <c r="R234" s="322"/>
      <c r="S234" s="322"/>
      <c r="T234" s="322"/>
      <c r="U234" s="322"/>
    </row>
    <row r="235" spans="1:21" x14ac:dyDescent="0.35">
      <c r="A235" s="432">
        <f t="shared" si="5"/>
        <v>58</v>
      </c>
      <c r="B235" s="400" t="s">
        <v>703</v>
      </c>
      <c r="C235" s="401" t="s">
        <v>773</v>
      </c>
      <c r="D235" s="403" t="s">
        <v>822</v>
      </c>
      <c r="E235" s="322" t="s">
        <v>823</v>
      </c>
      <c r="F235" s="322" t="s">
        <v>467</v>
      </c>
      <c r="G235" s="420">
        <v>45899</v>
      </c>
      <c r="H235" s="422">
        <v>45899</v>
      </c>
      <c r="I235" s="322"/>
      <c r="J235" s="322"/>
      <c r="K235" s="322"/>
      <c r="L235" s="351"/>
      <c r="M235" s="351"/>
      <c r="N235" s="322"/>
      <c r="O235" s="322"/>
      <c r="P235" s="322"/>
      <c r="Q235" s="322"/>
      <c r="R235" s="322"/>
      <c r="S235" s="322"/>
      <c r="T235" s="322"/>
      <c r="U235" s="322"/>
    </row>
    <row r="236" spans="1:21" x14ac:dyDescent="0.35">
      <c r="A236" s="433">
        <v>59</v>
      </c>
      <c r="B236" s="434" t="s">
        <v>703</v>
      </c>
      <c r="C236" s="398" t="s">
        <v>773</v>
      </c>
      <c r="D236" s="394" t="s">
        <v>824</v>
      </c>
      <c r="E236" s="357" t="s">
        <v>825</v>
      </c>
      <c r="F236" s="357" t="s">
        <v>467</v>
      </c>
      <c r="G236" s="425">
        <v>45793</v>
      </c>
      <c r="H236" s="425">
        <f>L236</f>
        <v>45793</v>
      </c>
      <c r="I236" s="357"/>
      <c r="J236" s="357"/>
      <c r="K236" s="322" t="s">
        <v>468</v>
      </c>
      <c r="L236" s="351">
        <v>45793</v>
      </c>
      <c r="M236" s="351">
        <v>45807</v>
      </c>
      <c r="N236" s="322" t="s">
        <v>469</v>
      </c>
      <c r="O236" s="322">
        <f>M236-L236</f>
        <v>14</v>
      </c>
      <c r="P236" s="322">
        <f ca="1">O1-M236</f>
        <v>55</v>
      </c>
      <c r="Q236" s="357"/>
      <c r="R236" s="357" t="s">
        <v>499</v>
      </c>
      <c r="S236" s="357" t="str">
        <f>N236</f>
        <v>CAT - III</v>
      </c>
      <c r="T236" s="357" t="s">
        <v>474</v>
      </c>
      <c r="U236" s="357">
        <f ca="1">U1-M236</f>
        <v>55</v>
      </c>
    </row>
    <row r="237" spans="1:21" x14ac:dyDescent="0.35">
      <c r="A237" s="433"/>
      <c r="B237" s="435"/>
      <c r="C237" s="417"/>
      <c r="D237" s="418"/>
      <c r="E237" s="386"/>
      <c r="F237" s="386"/>
      <c r="G237" s="386"/>
      <c r="H237" s="427"/>
      <c r="I237" s="386"/>
      <c r="J237" s="386"/>
      <c r="K237" s="322" t="s">
        <v>470</v>
      </c>
      <c r="L237" s="351"/>
      <c r="M237" s="351"/>
      <c r="N237" s="322"/>
      <c r="O237" s="322"/>
      <c r="P237" s="322"/>
      <c r="Q237" s="386"/>
      <c r="R237" s="386"/>
      <c r="S237" s="386"/>
      <c r="T237" s="386"/>
      <c r="U237" s="386"/>
    </row>
    <row r="238" spans="1:21" ht="21" x14ac:dyDescent="0.35">
      <c r="A238" s="432">
        <v>60</v>
      </c>
      <c r="B238" s="436" t="s">
        <v>703</v>
      </c>
      <c r="C238" s="401" t="s">
        <v>773</v>
      </c>
      <c r="D238" s="403" t="s">
        <v>826</v>
      </c>
      <c r="E238" s="322" t="s">
        <v>827</v>
      </c>
      <c r="F238" s="437" t="s">
        <v>467</v>
      </c>
      <c r="G238" s="420">
        <v>45900</v>
      </c>
      <c r="H238" s="422">
        <v>45900</v>
      </c>
      <c r="I238" s="437"/>
      <c r="J238" s="437"/>
      <c r="K238" s="322"/>
      <c r="L238" s="351"/>
      <c r="M238" s="351"/>
      <c r="N238" s="322"/>
      <c r="O238" s="322"/>
      <c r="P238" s="322"/>
      <c r="Q238" s="322"/>
      <c r="R238" s="322"/>
      <c r="S238" s="322"/>
      <c r="T238" s="322"/>
      <c r="U238" s="322"/>
    </row>
    <row r="239" spans="1:21" ht="31.5" x14ac:dyDescent="0.35">
      <c r="A239" s="432">
        <v>61</v>
      </c>
      <c r="B239" s="438" t="s">
        <v>703</v>
      </c>
      <c r="C239" s="439" t="s">
        <v>773</v>
      </c>
      <c r="D239" s="440" t="s">
        <v>828</v>
      </c>
      <c r="E239" s="372" t="s">
        <v>829</v>
      </c>
      <c r="F239" s="441" t="s">
        <v>467</v>
      </c>
      <c r="G239" s="442">
        <v>45826</v>
      </c>
      <c r="H239" s="422">
        <v>45853</v>
      </c>
      <c r="I239" s="441"/>
      <c r="J239" s="441"/>
      <c r="K239" s="372"/>
      <c r="L239" s="388"/>
      <c r="M239" s="388"/>
      <c r="N239" s="372"/>
      <c r="O239" s="372"/>
      <c r="P239" s="372"/>
      <c r="Q239" s="372"/>
      <c r="R239" s="372"/>
      <c r="S239" s="372"/>
      <c r="T239" s="372"/>
      <c r="U239" s="372"/>
    </row>
    <row r="240" spans="1:21" x14ac:dyDescent="0.35">
      <c r="A240" s="443">
        <v>62</v>
      </c>
      <c r="B240" s="444" t="s">
        <v>703</v>
      </c>
      <c r="C240" s="445" t="s">
        <v>773</v>
      </c>
      <c r="D240" s="446" t="s">
        <v>830</v>
      </c>
      <c r="E240" s="443" t="s">
        <v>829</v>
      </c>
      <c r="F240" s="443" t="s">
        <v>467</v>
      </c>
      <c r="G240" s="447">
        <v>45803</v>
      </c>
      <c r="H240" s="447">
        <f>L240</f>
        <v>45803</v>
      </c>
      <c r="I240" s="443"/>
      <c r="J240" s="443"/>
      <c r="K240" s="448" t="s">
        <v>468</v>
      </c>
      <c r="L240" s="368">
        <v>45803</v>
      </c>
      <c r="M240" s="368">
        <v>45810</v>
      </c>
      <c r="N240" s="367" t="s">
        <v>469</v>
      </c>
      <c r="O240" s="367">
        <f>M240-L240</f>
        <v>7</v>
      </c>
      <c r="P240" s="449">
        <f>L241-M240</f>
        <v>8</v>
      </c>
      <c r="Q240" s="443"/>
      <c r="R240" s="333" t="s">
        <v>492</v>
      </c>
      <c r="S240" s="333" t="str">
        <f>N242</f>
        <v>CAT - I</v>
      </c>
      <c r="T240" s="333" t="s">
        <v>398</v>
      </c>
      <c r="U240" s="444">
        <f ca="1">U1-M241</f>
        <v>42</v>
      </c>
    </row>
    <row r="241" spans="1:21" x14ac:dyDescent="0.35">
      <c r="A241" s="443"/>
      <c r="B241" s="444"/>
      <c r="C241" s="445"/>
      <c r="D241" s="446"/>
      <c r="E241" s="443"/>
      <c r="F241" s="443"/>
      <c r="G241" s="447"/>
      <c r="H241" s="447"/>
      <c r="I241" s="443"/>
      <c r="J241" s="443"/>
      <c r="K241" s="448" t="s">
        <v>470</v>
      </c>
      <c r="L241" s="368">
        <v>45818</v>
      </c>
      <c r="M241" s="368">
        <v>45820</v>
      </c>
      <c r="N241" s="367" t="s">
        <v>469</v>
      </c>
      <c r="O241" s="367">
        <f>M241-L241</f>
        <v>2</v>
      </c>
      <c r="P241" s="449">
        <f ca="1">O1-M241</f>
        <v>42</v>
      </c>
      <c r="Q241" s="443"/>
      <c r="R241" s="333"/>
      <c r="S241" s="333"/>
      <c r="T241" s="333"/>
      <c r="U241" s="444"/>
    </row>
    <row r="242" spans="1:21" x14ac:dyDescent="0.35">
      <c r="A242" s="443"/>
      <c r="B242" s="444"/>
      <c r="C242" s="445"/>
      <c r="D242" s="446"/>
      <c r="E242" s="443"/>
      <c r="F242" s="443"/>
      <c r="G242" s="447"/>
      <c r="H242" s="447"/>
      <c r="I242" s="443"/>
      <c r="J242" s="443"/>
      <c r="K242" s="367" t="s">
        <v>472</v>
      </c>
      <c r="L242" s="368">
        <v>45835</v>
      </c>
      <c r="M242" s="368">
        <v>45839</v>
      </c>
      <c r="N242" s="367" t="s">
        <v>482</v>
      </c>
      <c r="O242" s="367"/>
      <c r="P242" s="367"/>
      <c r="Q242" s="443"/>
      <c r="R242" s="333"/>
      <c r="S242" s="333"/>
      <c r="T242" s="333"/>
      <c r="U242" s="450"/>
    </row>
  </sheetData>
  <mergeCells count="532">
    <mergeCell ref="T240:T242"/>
    <mergeCell ref="U240:U241"/>
    <mergeCell ref="H240:H242"/>
    <mergeCell ref="I240:I242"/>
    <mergeCell ref="J240:J242"/>
    <mergeCell ref="Q240:Q242"/>
    <mergeCell ref="R240:R242"/>
    <mergeCell ref="S240:S242"/>
    <mergeCell ref="S236:S237"/>
    <mergeCell ref="T236:T237"/>
    <mergeCell ref="U236:U237"/>
    <mergeCell ref="A240:A242"/>
    <mergeCell ref="B240:B242"/>
    <mergeCell ref="C240:C242"/>
    <mergeCell ref="D240:D242"/>
    <mergeCell ref="E240:E242"/>
    <mergeCell ref="F240:F242"/>
    <mergeCell ref="G240:G242"/>
    <mergeCell ref="G236:G237"/>
    <mergeCell ref="H236:H237"/>
    <mergeCell ref="I236:I237"/>
    <mergeCell ref="J236:J237"/>
    <mergeCell ref="Q236:Q237"/>
    <mergeCell ref="R236:R237"/>
    <mergeCell ref="S208:S210"/>
    <mergeCell ref="T208:T210"/>
    <mergeCell ref="U208:U210"/>
    <mergeCell ref="A231:A232"/>
    <mergeCell ref="A236:A237"/>
    <mergeCell ref="B236:B237"/>
    <mergeCell ref="C236:C237"/>
    <mergeCell ref="D236:D237"/>
    <mergeCell ref="E236:E237"/>
    <mergeCell ref="F236:F237"/>
    <mergeCell ref="G208:G209"/>
    <mergeCell ref="H208:H209"/>
    <mergeCell ref="I208:I209"/>
    <mergeCell ref="J208:J209"/>
    <mergeCell ref="Q208:Q209"/>
    <mergeCell ref="R208:R210"/>
    <mergeCell ref="R183:R184"/>
    <mergeCell ref="S183:S184"/>
    <mergeCell ref="T183:T184"/>
    <mergeCell ref="U183:U184"/>
    <mergeCell ref="A208:A210"/>
    <mergeCell ref="B208:B209"/>
    <mergeCell ref="C208:C210"/>
    <mergeCell ref="D208:D210"/>
    <mergeCell ref="E208:E210"/>
    <mergeCell ref="F208:F209"/>
    <mergeCell ref="U177:U178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Q183:Q184"/>
    <mergeCell ref="G177:G178"/>
    <mergeCell ref="H177:H178"/>
    <mergeCell ref="Q177:Q178"/>
    <mergeCell ref="R177:R178"/>
    <mergeCell ref="S177:S178"/>
    <mergeCell ref="T177:T178"/>
    <mergeCell ref="R175:R176"/>
    <mergeCell ref="S175:S176"/>
    <mergeCell ref="T175:T176"/>
    <mergeCell ref="U175:U176"/>
    <mergeCell ref="A177:A178"/>
    <mergeCell ref="B177:B178"/>
    <mergeCell ref="C177:C178"/>
    <mergeCell ref="D177:D178"/>
    <mergeCell ref="E177:E178"/>
    <mergeCell ref="F177:F178"/>
    <mergeCell ref="T170:T172"/>
    <mergeCell ref="U170:U172"/>
    <mergeCell ref="A175:A176"/>
    <mergeCell ref="B175:B176"/>
    <mergeCell ref="C175:C176"/>
    <mergeCell ref="D175:D176"/>
    <mergeCell ref="E175:E176"/>
    <mergeCell ref="F175:F176"/>
    <mergeCell ref="G175:G176"/>
    <mergeCell ref="H175:H176"/>
    <mergeCell ref="H170:H172"/>
    <mergeCell ref="I170:I171"/>
    <mergeCell ref="J170:J171"/>
    <mergeCell ref="Q170:Q172"/>
    <mergeCell ref="R170:R172"/>
    <mergeCell ref="S170:S172"/>
    <mergeCell ref="S165:S167"/>
    <mergeCell ref="T165:T167"/>
    <mergeCell ref="U165:U167"/>
    <mergeCell ref="A170:A172"/>
    <mergeCell ref="B170:B172"/>
    <mergeCell ref="C170:C172"/>
    <mergeCell ref="D170:D172"/>
    <mergeCell ref="E170:E172"/>
    <mergeCell ref="F170:F172"/>
    <mergeCell ref="G170:G172"/>
    <mergeCell ref="G165:G167"/>
    <mergeCell ref="H165:H167"/>
    <mergeCell ref="I165:I167"/>
    <mergeCell ref="J165:J167"/>
    <mergeCell ref="Q165:Q167"/>
    <mergeCell ref="R165:R167"/>
    <mergeCell ref="A165:A167"/>
    <mergeCell ref="B165:B167"/>
    <mergeCell ref="C165:C167"/>
    <mergeCell ref="D165:D167"/>
    <mergeCell ref="E165:E167"/>
    <mergeCell ref="F165:F167"/>
    <mergeCell ref="J162:J164"/>
    <mergeCell ref="Q162:Q164"/>
    <mergeCell ref="R162:R164"/>
    <mergeCell ref="S162:S164"/>
    <mergeCell ref="T162:T164"/>
    <mergeCell ref="U162:U164"/>
    <mergeCell ref="T158:T160"/>
    <mergeCell ref="A162:A164"/>
    <mergeCell ref="B162:B164"/>
    <mergeCell ref="C162:C164"/>
    <mergeCell ref="D162:D164"/>
    <mergeCell ref="E162:E164"/>
    <mergeCell ref="F162:F164"/>
    <mergeCell ref="G162:G164"/>
    <mergeCell ref="H162:H164"/>
    <mergeCell ref="I162:I164"/>
    <mergeCell ref="H158:H160"/>
    <mergeCell ref="I158:I160"/>
    <mergeCell ref="J158:J160"/>
    <mergeCell ref="Q158:Q160"/>
    <mergeCell ref="R158:R160"/>
    <mergeCell ref="S158:S160"/>
    <mergeCell ref="S150:S153"/>
    <mergeCell ref="T150:T153"/>
    <mergeCell ref="U150:U153"/>
    <mergeCell ref="A158:A160"/>
    <mergeCell ref="B158:B160"/>
    <mergeCell ref="C158:C160"/>
    <mergeCell ref="D158:D160"/>
    <mergeCell ref="E158:E160"/>
    <mergeCell ref="F158:F160"/>
    <mergeCell ref="G158:G160"/>
    <mergeCell ref="G150:G152"/>
    <mergeCell ref="H150:H152"/>
    <mergeCell ref="I150:I152"/>
    <mergeCell ref="J150:J152"/>
    <mergeCell ref="Q150:Q152"/>
    <mergeCell ref="R150:R153"/>
    <mergeCell ref="A150:A153"/>
    <mergeCell ref="B150:B152"/>
    <mergeCell ref="C150:C153"/>
    <mergeCell ref="D150:D153"/>
    <mergeCell ref="E150:E153"/>
    <mergeCell ref="F150:F152"/>
    <mergeCell ref="J148:J149"/>
    <mergeCell ref="Q148:Q149"/>
    <mergeCell ref="R148:R149"/>
    <mergeCell ref="S148:S149"/>
    <mergeCell ref="T148:T149"/>
    <mergeCell ref="U148:U149"/>
    <mergeCell ref="U126:U128"/>
    <mergeCell ref="A148:A149"/>
    <mergeCell ref="B148:B149"/>
    <mergeCell ref="C148:C149"/>
    <mergeCell ref="D148:D149"/>
    <mergeCell ref="E148:E149"/>
    <mergeCell ref="F148:F149"/>
    <mergeCell ref="G148:G149"/>
    <mergeCell ref="H148:H149"/>
    <mergeCell ref="I148:I149"/>
    <mergeCell ref="H126:H128"/>
    <mergeCell ref="I126:I128"/>
    <mergeCell ref="J126:J128"/>
    <mergeCell ref="R126:R128"/>
    <mergeCell ref="S126:S128"/>
    <mergeCell ref="T126:T128"/>
    <mergeCell ref="S118:S121"/>
    <mergeCell ref="T118:T121"/>
    <mergeCell ref="U118:U121"/>
    <mergeCell ref="A126:A128"/>
    <mergeCell ref="B126:B128"/>
    <mergeCell ref="C126:C128"/>
    <mergeCell ref="D126:D128"/>
    <mergeCell ref="E126:E128"/>
    <mergeCell ref="F126:F128"/>
    <mergeCell ref="G126:G128"/>
    <mergeCell ref="G118:G121"/>
    <mergeCell ref="H118:H121"/>
    <mergeCell ref="I118:I120"/>
    <mergeCell ref="J118:J120"/>
    <mergeCell ref="Q118:Q121"/>
    <mergeCell ref="R118:R121"/>
    <mergeCell ref="J116:J117"/>
    <mergeCell ref="R116:R117"/>
    <mergeCell ref="S116:S117"/>
    <mergeCell ref="T116:T117"/>
    <mergeCell ref="A118:A121"/>
    <mergeCell ref="B118:B121"/>
    <mergeCell ref="C118:C121"/>
    <mergeCell ref="D118:D121"/>
    <mergeCell ref="E118:E121"/>
    <mergeCell ref="F118:F121"/>
    <mergeCell ref="U114:U115"/>
    <mergeCell ref="A116:A117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I114:I115"/>
    <mergeCell ref="J114:J115"/>
    <mergeCell ref="Q114:Q115"/>
    <mergeCell ref="R114:R115"/>
    <mergeCell ref="S114:S115"/>
    <mergeCell ref="T114:T115"/>
    <mergeCell ref="T110:T113"/>
    <mergeCell ref="U110:U113"/>
    <mergeCell ref="A114:A115"/>
    <mergeCell ref="B114:B115"/>
    <mergeCell ref="C114:C115"/>
    <mergeCell ref="D114:D115"/>
    <mergeCell ref="E114:E115"/>
    <mergeCell ref="F114:F115"/>
    <mergeCell ref="G114:G115"/>
    <mergeCell ref="H114:H115"/>
    <mergeCell ref="H110:H113"/>
    <mergeCell ref="I110:I113"/>
    <mergeCell ref="J110:J113"/>
    <mergeCell ref="Q110:Q113"/>
    <mergeCell ref="R110:R113"/>
    <mergeCell ref="S110:S113"/>
    <mergeCell ref="S82:S84"/>
    <mergeCell ref="T82:T84"/>
    <mergeCell ref="U82:U84"/>
    <mergeCell ref="A110:A113"/>
    <mergeCell ref="B110:B113"/>
    <mergeCell ref="C110:C113"/>
    <mergeCell ref="D110:D113"/>
    <mergeCell ref="E110:E113"/>
    <mergeCell ref="F110:F113"/>
    <mergeCell ref="G110:G113"/>
    <mergeCell ref="G82:G84"/>
    <mergeCell ref="H82:H84"/>
    <mergeCell ref="I82:I84"/>
    <mergeCell ref="J82:J84"/>
    <mergeCell ref="Q82:Q84"/>
    <mergeCell ref="R82:R84"/>
    <mergeCell ref="R80:R81"/>
    <mergeCell ref="S80:S81"/>
    <mergeCell ref="T80:T81"/>
    <mergeCell ref="U80:U81"/>
    <mergeCell ref="A82:A84"/>
    <mergeCell ref="B82:B84"/>
    <mergeCell ref="C82:C84"/>
    <mergeCell ref="D82:D84"/>
    <mergeCell ref="E82:E84"/>
    <mergeCell ref="F82:F84"/>
    <mergeCell ref="F80:F81"/>
    <mergeCell ref="G80:G81"/>
    <mergeCell ref="H80:H81"/>
    <mergeCell ref="I80:I81"/>
    <mergeCell ref="J80:J81"/>
    <mergeCell ref="Q80:Q81"/>
    <mergeCell ref="G69:G70"/>
    <mergeCell ref="H69:H70"/>
    <mergeCell ref="R69:R70"/>
    <mergeCell ref="S69:S70"/>
    <mergeCell ref="T69:T70"/>
    <mergeCell ref="A80:A81"/>
    <mergeCell ref="B80:B81"/>
    <mergeCell ref="C80:C81"/>
    <mergeCell ref="D80:D81"/>
    <mergeCell ref="E80:E81"/>
    <mergeCell ref="A69:A70"/>
    <mergeCell ref="B69:B70"/>
    <mergeCell ref="C69:C70"/>
    <mergeCell ref="D69:D70"/>
    <mergeCell ref="E69:E70"/>
    <mergeCell ref="F69:F70"/>
    <mergeCell ref="G67:G68"/>
    <mergeCell ref="H67:H68"/>
    <mergeCell ref="Q67:Q68"/>
    <mergeCell ref="R67:R68"/>
    <mergeCell ref="S67:S68"/>
    <mergeCell ref="T67:T68"/>
    <mergeCell ref="A67:A68"/>
    <mergeCell ref="B67:B68"/>
    <mergeCell ref="C67:C68"/>
    <mergeCell ref="D67:D68"/>
    <mergeCell ref="E67:E68"/>
    <mergeCell ref="F67:F68"/>
    <mergeCell ref="I54:I58"/>
    <mergeCell ref="J54:J58"/>
    <mergeCell ref="R54:R58"/>
    <mergeCell ref="S54:S58"/>
    <mergeCell ref="T54:T58"/>
    <mergeCell ref="U54:U58"/>
    <mergeCell ref="S49:S50"/>
    <mergeCell ref="T49:T50"/>
    <mergeCell ref="A54:A58"/>
    <mergeCell ref="B54:B58"/>
    <mergeCell ref="C54:C58"/>
    <mergeCell ref="D54:D58"/>
    <mergeCell ref="E54:E58"/>
    <mergeCell ref="F54:F58"/>
    <mergeCell ref="G54:G58"/>
    <mergeCell ref="H54:H58"/>
    <mergeCell ref="G49:G50"/>
    <mergeCell ref="H49:H50"/>
    <mergeCell ref="I49:I50"/>
    <mergeCell ref="J49:J50"/>
    <mergeCell ref="Q49:Q50"/>
    <mergeCell ref="R49:R50"/>
    <mergeCell ref="A49:A50"/>
    <mergeCell ref="B49:B50"/>
    <mergeCell ref="C49:C50"/>
    <mergeCell ref="D49:D50"/>
    <mergeCell ref="E49:E50"/>
    <mergeCell ref="F49:F50"/>
    <mergeCell ref="J44:J48"/>
    <mergeCell ref="Q44:Q48"/>
    <mergeCell ref="R44:R48"/>
    <mergeCell ref="S44:S48"/>
    <mergeCell ref="T44:T48"/>
    <mergeCell ref="U44:U47"/>
    <mergeCell ref="U42:U43"/>
    <mergeCell ref="A44:A48"/>
    <mergeCell ref="B44:B48"/>
    <mergeCell ref="C44:C48"/>
    <mergeCell ref="D44:D48"/>
    <mergeCell ref="E44:E48"/>
    <mergeCell ref="F44:F48"/>
    <mergeCell ref="G44:G48"/>
    <mergeCell ref="H44:H48"/>
    <mergeCell ref="I44:I48"/>
    <mergeCell ref="I42:I43"/>
    <mergeCell ref="J42:J43"/>
    <mergeCell ref="Q42:Q43"/>
    <mergeCell ref="R42:R43"/>
    <mergeCell ref="S42:S43"/>
    <mergeCell ref="T42:T43"/>
    <mergeCell ref="S40:S41"/>
    <mergeCell ref="T40:T41"/>
    <mergeCell ref="A42:A43"/>
    <mergeCell ref="B42:B43"/>
    <mergeCell ref="C42:C43"/>
    <mergeCell ref="D42:D43"/>
    <mergeCell ref="E42:E43"/>
    <mergeCell ref="F42:F43"/>
    <mergeCell ref="G42:G43"/>
    <mergeCell ref="H42:H43"/>
    <mergeCell ref="G40:G41"/>
    <mergeCell ref="H40:H41"/>
    <mergeCell ref="I40:I41"/>
    <mergeCell ref="J40:J41"/>
    <mergeCell ref="Q40:Q41"/>
    <mergeCell ref="R40:R41"/>
    <mergeCell ref="A40:A41"/>
    <mergeCell ref="B40:B41"/>
    <mergeCell ref="C40:C41"/>
    <mergeCell ref="D40:D41"/>
    <mergeCell ref="E40:E41"/>
    <mergeCell ref="F40:F41"/>
    <mergeCell ref="J34:J38"/>
    <mergeCell ref="Q34:Q39"/>
    <mergeCell ref="R34:R39"/>
    <mergeCell ref="S34:S39"/>
    <mergeCell ref="T34:T39"/>
    <mergeCell ref="U34:U39"/>
    <mergeCell ref="U32:U33"/>
    <mergeCell ref="A34:A39"/>
    <mergeCell ref="B34:B39"/>
    <mergeCell ref="C34:C39"/>
    <mergeCell ref="D34:D39"/>
    <mergeCell ref="E34:E39"/>
    <mergeCell ref="F34:F39"/>
    <mergeCell ref="G34:G39"/>
    <mergeCell ref="H34:H39"/>
    <mergeCell ref="I34:I38"/>
    <mergeCell ref="G32:G33"/>
    <mergeCell ref="H32:H33"/>
    <mergeCell ref="Q32:Q33"/>
    <mergeCell ref="R32:R33"/>
    <mergeCell ref="S32:S33"/>
    <mergeCell ref="T32:T33"/>
    <mergeCell ref="A32:A33"/>
    <mergeCell ref="B32:B33"/>
    <mergeCell ref="C32:C33"/>
    <mergeCell ref="D32:D33"/>
    <mergeCell ref="E32:E33"/>
    <mergeCell ref="F32:F33"/>
    <mergeCell ref="J30:J31"/>
    <mergeCell ref="Q30:Q31"/>
    <mergeCell ref="R30:R31"/>
    <mergeCell ref="S30:S31"/>
    <mergeCell ref="T30:T31"/>
    <mergeCell ref="U30:U31"/>
    <mergeCell ref="U27:U29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I27:I29"/>
    <mergeCell ref="J27:J29"/>
    <mergeCell ref="Q27:Q29"/>
    <mergeCell ref="R27:R29"/>
    <mergeCell ref="S27:S29"/>
    <mergeCell ref="T27:T29"/>
    <mergeCell ref="T21:T23"/>
    <mergeCell ref="U21:U23"/>
    <mergeCell ref="A27:A29"/>
    <mergeCell ref="B27:B29"/>
    <mergeCell ref="C27:C29"/>
    <mergeCell ref="D27:D29"/>
    <mergeCell ref="E27:E29"/>
    <mergeCell ref="F27:F29"/>
    <mergeCell ref="G27:G29"/>
    <mergeCell ref="H27:H29"/>
    <mergeCell ref="H21:H23"/>
    <mergeCell ref="I21:I23"/>
    <mergeCell ref="J21:J23"/>
    <mergeCell ref="Q21:Q23"/>
    <mergeCell ref="R21:R23"/>
    <mergeCell ref="S21:S23"/>
    <mergeCell ref="S19:S20"/>
    <mergeCell ref="T19:T20"/>
    <mergeCell ref="U19:U20"/>
    <mergeCell ref="A21:A23"/>
    <mergeCell ref="B21:B23"/>
    <mergeCell ref="C21:C23"/>
    <mergeCell ref="D21:D23"/>
    <mergeCell ref="E21:E23"/>
    <mergeCell ref="F21:F23"/>
    <mergeCell ref="G21:G23"/>
    <mergeCell ref="G19:G20"/>
    <mergeCell ref="H19:H20"/>
    <mergeCell ref="I19:I20"/>
    <mergeCell ref="J19:J20"/>
    <mergeCell ref="Q19:Q20"/>
    <mergeCell ref="R19:R20"/>
    <mergeCell ref="A19:A20"/>
    <mergeCell ref="B19:B20"/>
    <mergeCell ref="C19:C20"/>
    <mergeCell ref="D19:D20"/>
    <mergeCell ref="E19:E20"/>
    <mergeCell ref="F19:F20"/>
    <mergeCell ref="I15:I16"/>
    <mergeCell ref="J15:J16"/>
    <mergeCell ref="R15:R16"/>
    <mergeCell ref="S15:S16"/>
    <mergeCell ref="T15:T16"/>
    <mergeCell ref="U15:U16"/>
    <mergeCell ref="T13:T14"/>
    <mergeCell ref="U13:U14"/>
    <mergeCell ref="A15:A16"/>
    <mergeCell ref="B15:B16"/>
    <mergeCell ref="C15:C16"/>
    <mergeCell ref="D15:D16"/>
    <mergeCell ref="E15:E16"/>
    <mergeCell ref="F15:F16"/>
    <mergeCell ref="G15:G16"/>
    <mergeCell ref="H15:H16"/>
    <mergeCell ref="G13:G14"/>
    <mergeCell ref="H13:H14"/>
    <mergeCell ref="I13:I14"/>
    <mergeCell ref="J13:J14"/>
    <mergeCell ref="R13:R14"/>
    <mergeCell ref="S13:S14"/>
    <mergeCell ref="A13:A14"/>
    <mergeCell ref="B13:B14"/>
    <mergeCell ref="C13:C14"/>
    <mergeCell ref="D13:D14"/>
    <mergeCell ref="E13:E14"/>
    <mergeCell ref="F13:F14"/>
    <mergeCell ref="J10:J11"/>
    <mergeCell ref="Q10:Q11"/>
    <mergeCell ref="R10:R11"/>
    <mergeCell ref="S10:S11"/>
    <mergeCell ref="T10:T11"/>
    <mergeCell ref="U10:U11"/>
    <mergeCell ref="U7:U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I7:I8"/>
    <mergeCell ref="J7:J8"/>
    <mergeCell ref="Q7:Q8"/>
    <mergeCell ref="R7:R8"/>
    <mergeCell ref="S7:S8"/>
    <mergeCell ref="T7:T8"/>
    <mergeCell ref="T3:T6"/>
    <mergeCell ref="U3:U6"/>
    <mergeCell ref="A7:A8"/>
    <mergeCell ref="B7:B8"/>
    <mergeCell ref="C7:C8"/>
    <mergeCell ref="D7:D8"/>
    <mergeCell ref="E7:E8"/>
    <mergeCell ref="F7:F8"/>
    <mergeCell ref="G7:G8"/>
    <mergeCell ref="H7:H8"/>
    <mergeCell ref="H3:H6"/>
    <mergeCell ref="I3:I6"/>
    <mergeCell ref="J3:J6"/>
    <mergeCell ref="Q3:Q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50 F3 F230:F236 F85:F110 F7 F211:F228 F129:F148 F42 F24:F27 F114 F165 F15 F82 I51:J54 F44 F154:F159 F185:F208 F161:F162 F9:F10 F30 F12:F13 F116 F168:F170 F122:F126 Q24 F49 F21 I150:J150 I3:J3 I230:J236 I85:J110 I7:J7 I211:J228 I129:J148 I118:J126 I42:J42 I24:J27 I114:J114 I165:J165 I15:J15 I82:J82 I32:J34 I44:J44 I154:J159 I59:J80 I161:J162 I9:J10 I30:J30 I12:J13 I116:J116 I168:J170 I49:J49 I21:J21 I17:J19 F17:F19 F51:F54 F32 F34 I173:J208 F118 F71:F80 F59:F67 F69 F179:F183 F173:F175 F177" xr:uid="{6F054CFC-D7D5-49E5-BFC5-C8A816FD14E6}">
      <formula1>"Approval, Information"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EQ129"/>
  <sheetViews>
    <sheetView topLeftCell="B1" zoomScale="80" zoomScaleNormal="130" workbookViewId="0">
      <pane xSplit="16" ySplit="3" topLeftCell="DW26" activePane="bottomRight" state="frozen"/>
      <selection activeCell="B1" sqref="B1"/>
      <selection pane="topRight" activeCell="Q1" sqref="Q1"/>
      <selection pane="bottomLeft" activeCell="B4" sqref="B4"/>
      <selection pane="bottomRight" activeCell="DZ17" sqref="DZ17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32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9" width="9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10" width="4.90625" style="56" hidden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41" width="4.54296875" style="56" bestFit="1" customWidth="1"/>
    <col min="142" max="142" width="1.7265625" style="56" hidden="1" customWidth="1"/>
    <col min="143" max="143" width="12.1796875" style="56" hidden="1" customWidth="1"/>
    <col min="144" max="144" width="0.1796875" style="56" customWidth="1"/>
    <col min="145" max="147" width="12.1796875" style="56" hidden="1" customWidth="1"/>
    <col min="148" max="16384" width="12.1796875" style="56"/>
  </cols>
  <sheetData>
    <row r="1" spans="2:147" x14ac:dyDescent="0.4">
      <c r="C1" s="52" t="s">
        <v>10</v>
      </c>
      <c r="D1" s="228">
        <f>'Construction DASHBOARD'!B6</f>
        <v>45861</v>
      </c>
      <c r="E1" s="121"/>
      <c r="F1" s="121"/>
      <c r="G1" s="121"/>
      <c r="H1" s="121"/>
      <c r="I1" s="121"/>
      <c r="U1" s="170"/>
    </row>
    <row r="2" spans="2:147" s="22" customFormat="1" ht="72" customHeight="1" x14ac:dyDescent="0.35">
      <c r="B2" s="299" t="s">
        <v>96</v>
      </c>
      <c r="C2" s="300" t="s">
        <v>97</v>
      </c>
      <c r="D2" s="301" t="s">
        <v>98</v>
      </c>
      <c r="E2" s="296" t="s">
        <v>306</v>
      </c>
      <c r="F2" s="296" t="s">
        <v>307</v>
      </c>
      <c r="G2" s="306" t="s">
        <v>432</v>
      </c>
      <c r="H2" s="296" t="s">
        <v>427</v>
      </c>
      <c r="I2" s="296" t="s">
        <v>428</v>
      </c>
      <c r="J2" s="300" t="s">
        <v>3</v>
      </c>
      <c r="K2" s="294" t="s">
        <v>1</v>
      </c>
      <c r="L2" s="298" t="s">
        <v>100</v>
      </c>
      <c r="M2" s="304" t="s">
        <v>404</v>
      </c>
      <c r="N2" s="296" t="s">
        <v>102</v>
      </c>
      <c r="O2" s="296" t="s">
        <v>103</v>
      </c>
      <c r="P2" s="296" t="s">
        <v>255</v>
      </c>
      <c r="Q2" s="294" t="s">
        <v>104</v>
      </c>
      <c r="R2" s="294" t="s">
        <v>105</v>
      </c>
      <c r="S2" s="295" t="s">
        <v>254</v>
      </c>
      <c r="T2" s="310" t="s">
        <v>409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</row>
    <row r="3" spans="2:147" s="22" customFormat="1" ht="24" customHeight="1" x14ac:dyDescent="0.35">
      <c r="B3" s="299"/>
      <c r="C3" s="300"/>
      <c r="D3" s="301"/>
      <c r="E3" s="296"/>
      <c r="F3" s="296"/>
      <c r="G3" s="307"/>
      <c r="H3" s="296"/>
      <c r="I3" s="296"/>
      <c r="J3" s="300"/>
      <c r="K3" s="294"/>
      <c r="L3" s="298"/>
      <c r="M3" s="305"/>
      <c r="N3" s="296"/>
      <c r="O3" s="296"/>
      <c r="P3" s="296"/>
      <c r="Q3" s="294"/>
      <c r="R3" s="294"/>
      <c r="S3" s="295"/>
      <c r="T3" s="310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K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</row>
    <row r="4" spans="2:147" s="23" customFormat="1" x14ac:dyDescent="0.35">
      <c r="B4" s="297" t="s">
        <v>106</v>
      </c>
      <c r="C4" s="60">
        <v>1</v>
      </c>
      <c r="D4" s="229" t="s">
        <v>405</v>
      </c>
      <c r="E4" s="198">
        <v>45750</v>
      </c>
      <c r="F4" s="198">
        <v>45870</v>
      </c>
      <c r="G4" s="199">
        <f>F4-E4</f>
        <v>120</v>
      </c>
      <c r="H4" s="198">
        <v>45754</v>
      </c>
      <c r="I4" s="198">
        <v>45870</v>
      </c>
      <c r="J4" s="200" t="s">
        <v>5</v>
      </c>
      <c r="K4" s="201">
        <v>1033</v>
      </c>
      <c r="L4" s="202">
        <v>45754</v>
      </c>
      <c r="M4" s="202">
        <v>45796</v>
      </c>
      <c r="N4" s="199">
        <f t="shared" ref="N4:N27" si="3">IF(OR(M4="",L4=""),"",INT(M4-L4+1))</f>
        <v>43</v>
      </c>
      <c r="O4" s="203">
        <f t="shared" ref="O4:O27" si="4">IFERROR(K4/N4,"-")</f>
        <v>24.023255813953487</v>
      </c>
      <c r="P4" s="204">
        <f>Q4/K4</f>
        <v>0.84414327202323325</v>
      </c>
      <c r="Q4" s="205">
        <f>S4</f>
        <v>872</v>
      </c>
      <c r="R4" s="205">
        <f t="shared" ref="R4:R27" si="5">K4-Q4</f>
        <v>161</v>
      </c>
      <c r="S4" s="158">
        <f t="shared" ref="S4:S27" si="6">SUM(U4:XFD4)</f>
        <v>872</v>
      </c>
      <c r="T4" s="158">
        <f t="shared" ref="T4:T9" si="7">SUM(U4:CB4)</f>
        <v>486</v>
      </c>
      <c r="U4" s="149">
        <v>0</v>
      </c>
      <c r="V4" s="149">
        <v>0</v>
      </c>
      <c r="W4" s="149"/>
      <c r="X4" s="149"/>
      <c r="Y4" s="149"/>
      <c r="Z4" s="153">
        <v>1.5</v>
      </c>
      <c r="AA4" s="153">
        <v>3.5</v>
      </c>
      <c r="AB4" s="153">
        <v>4</v>
      </c>
      <c r="AC4" s="153">
        <v>4</v>
      </c>
      <c r="AD4" s="153">
        <v>4</v>
      </c>
      <c r="AE4" s="153">
        <v>4</v>
      </c>
      <c r="AF4" s="153">
        <v>3</v>
      </c>
      <c r="AG4" s="153">
        <v>2</v>
      </c>
      <c r="AH4" s="153"/>
      <c r="AI4" s="153">
        <v>10</v>
      </c>
      <c r="AJ4" s="153">
        <v>20</v>
      </c>
      <c r="AK4" s="153">
        <v>20</v>
      </c>
      <c r="AL4" s="153">
        <v>20</v>
      </c>
      <c r="AM4" s="153">
        <v>21</v>
      </c>
      <c r="AN4" s="153">
        <v>40</v>
      </c>
      <c r="AO4" s="153">
        <v>40</v>
      </c>
      <c r="AP4" s="153">
        <v>40</v>
      </c>
      <c r="AQ4" s="153">
        <v>38</v>
      </c>
      <c r="AR4" s="153"/>
      <c r="AS4" s="153"/>
      <c r="AT4" s="153"/>
      <c r="AU4" s="150"/>
      <c r="AV4" s="150"/>
      <c r="AW4" s="150"/>
      <c r="AX4" s="150"/>
      <c r="AY4" s="150"/>
      <c r="AZ4" s="150"/>
      <c r="BA4" s="150"/>
      <c r="BB4" s="150"/>
      <c r="BC4" s="150">
        <v>5</v>
      </c>
      <c r="BD4" s="150">
        <v>10</v>
      </c>
      <c r="BE4" s="150">
        <v>10</v>
      </c>
      <c r="BF4" s="150">
        <v>10</v>
      </c>
      <c r="BG4" s="150">
        <v>5</v>
      </c>
      <c r="BH4" s="150">
        <v>7</v>
      </c>
      <c r="BI4" s="150">
        <v>5</v>
      </c>
      <c r="BJ4" s="150">
        <v>0</v>
      </c>
      <c r="BK4" s="150">
        <v>0</v>
      </c>
      <c r="BL4" s="150">
        <v>7</v>
      </c>
      <c r="BM4" s="150">
        <v>0</v>
      </c>
      <c r="BN4" s="150">
        <v>17</v>
      </c>
      <c r="BO4" s="168">
        <v>19</v>
      </c>
      <c r="BP4" s="168">
        <v>24</v>
      </c>
      <c r="BQ4" s="168">
        <v>9</v>
      </c>
      <c r="BR4" s="168">
        <v>12</v>
      </c>
      <c r="BS4" s="168">
        <v>0</v>
      </c>
      <c r="BT4" s="168">
        <v>16</v>
      </c>
      <c r="BU4" s="168">
        <v>0</v>
      </c>
      <c r="BV4" s="168">
        <v>0</v>
      </c>
      <c r="BW4" s="168">
        <v>0</v>
      </c>
      <c r="BX4" s="168">
        <v>0</v>
      </c>
      <c r="BY4" s="168">
        <v>6</v>
      </c>
      <c r="BZ4" s="168">
        <v>16</v>
      </c>
      <c r="CA4" s="168">
        <v>15</v>
      </c>
      <c r="CB4" s="168">
        <v>18</v>
      </c>
      <c r="CC4" s="168">
        <v>14</v>
      </c>
      <c r="CD4" s="168">
        <v>16</v>
      </c>
      <c r="CE4" s="168">
        <v>15</v>
      </c>
      <c r="CF4" s="168">
        <v>14</v>
      </c>
      <c r="CG4" s="168">
        <v>18</v>
      </c>
      <c r="CH4" s="168">
        <v>14</v>
      </c>
      <c r="CI4" s="168">
        <v>15</v>
      </c>
      <c r="CJ4" s="168">
        <v>10</v>
      </c>
      <c r="CK4" s="168">
        <v>11</v>
      </c>
      <c r="CL4" s="168">
        <v>16</v>
      </c>
      <c r="CM4" s="168">
        <v>13</v>
      </c>
      <c r="CN4" s="168">
        <v>15</v>
      </c>
      <c r="CO4" s="168">
        <v>17</v>
      </c>
      <c r="CP4" s="168">
        <v>5</v>
      </c>
      <c r="CQ4" s="168">
        <v>14</v>
      </c>
      <c r="CR4" s="168">
        <v>16</v>
      </c>
      <c r="CS4" s="168">
        <v>13</v>
      </c>
      <c r="CT4" s="168">
        <v>13</v>
      </c>
      <c r="CU4" s="168">
        <v>11</v>
      </c>
      <c r="CV4" s="168">
        <v>7</v>
      </c>
      <c r="CW4" s="168">
        <v>5</v>
      </c>
      <c r="CX4" s="168">
        <v>5</v>
      </c>
      <c r="CY4" s="168">
        <v>5</v>
      </c>
      <c r="CZ4" s="168">
        <v>5</v>
      </c>
      <c r="DA4" s="168">
        <v>5</v>
      </c>
      <c r="DB4" s="168">
        <v>7</v>
      </c>
      <c r="DC4" s="168">
        <v>10</v>
      </c>
      <c r="DD4" s="168">
        <v>7</v>
      </c>
      <c r="DE4" s="168">
        <v>6</v>
      </c>
      <c r="DF4" s="168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</row>
    <row r="5" spans="2:147" s="23" customFormat="1" x14ac:dyDescent="0.35">
      <c r="B5" s="297"/>
      <c r="C5" s="60">
        <v>2</v>
      </c>
      <c r="D5" s="229" t="s">
        <v>406</v>
      </c>
      <c r="E5" s="198">
        <v>45750</v>
      </c>
      <c r="F5" s="198">
        <v>45870</v>
      </c>
      <c r="G5" s="199">
        <f>F5-E5</f>
        <v>120</v>
      </c>
      <c r="H5" s="198">
        <v>45754</v>
      </c>
      <c r="I5" s="198">
        <v>45870</v>
      </c>
      <c r="J5" s="200" t="s">
        <v>5</v>
      </c>
      <c r="K5" s="201">
        <v>1033</v>
      </c>
      <c r="L5" s="202">
        <v>45754</v>
      </c>
      <c r="M5" s="202">
        <v>45796</v>
      </c>
      <c r="N5" s="199">
        <f t="shared" si="3"/>
        <v>43</v>
      </c>
      <c r="O5" s="203">
        <f t="shared" si="4"/>
        <v>24.023255813953487</v>
      </c>
      <c r="P5" s="204">
        <f>Q5/K5</f>
        <v>0.84414327202323325</v>
      </c>
      <c r="Q5" s="205">
        <f>S5</f>
        <v>872</v>
      </c>
      <c r="R5" s="205">
        <f t="shared" si="5"/>
        <v>161</v>
      </c>
      <c r="S5" s="158">
        <f t="shared" si="6"/>
        <v>872</v>
      </c>
      <c r="T5" s="158">
        <f t="shared" si="7"/>
        <v>486</v>
      </c>
      <c r="U5" s="149"/>
      <c r="V5" s="149"/>
      <c r="W5" s="149"/>
      <c r="X5" s="149"/>
      <c r="Y5" s="149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>
        <v>10</v>
      </c>
      <c r="AS5" s="153">
        <v>10</v>
      </c>
      <c r="AT5" s="153">
        <v>10</v>
      </c>
      <c r="AU5" s="150">
        <v>10</v>
      </c>
      <c r="AV5" s="150">
        <v>12</v>
      </c>
      <c r="AW5" s="150">
        <v>13</v>
      </c>
      <c r="AX5" s="150">
        <v>10</v>
      </c>
      <c r="AY5" s="150">
        <v>12</v>
      </c>
      <c r="AZ5" s="150">
        <v>11</v>
      </c>
      <c r="BA5" s="150">
        <v>20</v>
      </c>
      <c r="BB5" s="150">
        <v>14</v>
      </c>
      <c r="BC5" s="150">
        <v>16</v>
      </c>
      <c r="BD5" s="150">
        <v>10</v>
      </c>
      <c r="BE5" s="150">
        <v>6</v>
      </c>
      <c r="BF5" s="150">
        <v>10</v>
      </c>
      <c r="BG5" s="150">
        <v>5</v>
      </c>
      <c r="BH5" s="150">
        <v>7</v>
      </c>
      <c r="BI5" s="150">
        <v>5</v>
      </c>
      <c r="BJ5" s="150">
        <v>7</v>
      </c>
      <c r="BK5" s="150">
        <v>7</v>
      </c>
      <c r="BL5" s="150">
        <v>7</v>
      </c>
      <c r="BM5" s="150">
        <v>12</v>
      </c>
      <c r="BN5" s="150">
        <v>17</v>
      </c>
      <c r="BO5" s="168">
        <v>19</v>
      </c>
      <c r="BP5" s="168">
        <v>24</v>
      </c>
      <c r="BQ5" s="168">
        <v>9</v>
      </c>
      <c r="BR5" s="168">
        <v>12</v>
      </c>
      <c r="BS5" s="168">
        <v>18</v>
      </c>
      <c r="BT5" s="168">
        <v>16</v>
      </c>
      <c r="BU5" s="168">
        <v>15</v>
      </c>
      <c r="BV5" s="168">
        <v>23</v>
      </c>
      <c r="BW5" s="168">
        <v>22</v>
      </c>
      <c r="BX5" s="168">
        <v>20</v>
      </c>
      <c r="BY5" s="168">
        <v>18</v>
      </c>
      <c r="BZ5" s="168">
        <v>16</v>
      </c>
      <c r="CA5" s="168">
        <v>15</v>
      </c>
      <c r="CB5" s="168">
        <v>18</v>
      </c>
      <c r="CC5" s="168">
        <v>14</v>
      </c>
      <c r="CD5" s="168">
        <v>16</v>
      </c>
      <c r="CE5" s="168">
        <v>15</v>
      </c>
      <c r="CF5" s="168">
        <v>14</v>
      </c>
      <c r="CG5" s="168">
        <v>18</v>
      </c>
      <c r="CH5" s="168">
        <v>14</v>
      </c>
      <c r="CI5" s="168">
        <v>15</v>
      </c>
      <c r="CJ5" s="168">
        <v>10</v>
      </c>
      <c r="CK5" s="168">
        <v>11</v>
      </c>
      <c r="CL5" s="168">
        <v>16</v>
      </c>
      <c r="CM5" s="168">
        <v>13</v>
      </c>
      <c r="CN5" s="168">
        <v>15</v>
      </c>
      <c r="CO5" s="168">
        <v>17</v>
      </c>
      <c r="CP5" s="168">
        <v>5</v>
      </c>
      <c r="CQ5" s="168">
        <v>14</v>
      </c>
      <c r="CR5" s="168">
        <v>16</v>
      </c>
      <c r="CS5" s="168">
        <v>13</v>
      </c>
      <c r="CT5" s="168">
        <v>13</v>
      </c>
      <c r="CU5" s="168">
        <v>11</v>
      </c>
      <c r="CV5" s="168">
        <v>7</v>
      </c>
      <c r="CW5" s="168">
        <v>5</v>
      </c>
      <c r="CX5" s="168">
        <v>5</v>
      </c>
      <c r="CY5" s="168">
        <v>5</v>
      </c>
      <c r="CZ5" s="168">
        <v>5</v>
      </c>
      <c r="DA5" s="168">
        <v>5</v>
      </c>
      <c r="DB5" s="168">
        <v>7</v>
      </c>
      <c r="DC5" s="168">
        <v>10</v>
      </c>
      <c r="DD5" s="168">
        <v>7</v>
      </c>
      <c r="DE5" s="168">
        <v>6</v>
      </c>
      <c r="DF5" s="168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</row>
    <row r="6" spans="2:147" x14ac:dyDescent="0.4">
      <c r="B6" s="297" t="s">
        <v>19</v>
      </c>
      <c r="C6" s="60">
        <v>3</v>
      </c>
      <c r="D6" s="230" t="s">
        <v>310</v>
      </c>
      <c r="E6" s="198">
        <v>45700</v>
      </c>
      <c r="F6" s="198">
        <v>45709</v>
      </c>
      <c r="G6" s="199">
        <f t="shared" ref="G6:G27" si="8">F6-E6</f>
        <v>9</v>
      </c>
      <c r="H6" s="198">
        <v>45700</v>
      </c>
      <c r="I6" s="198">
        <v>45709</v>
      </c>
      <c r="J6" s="200" t="s">
        <v>256</v>
      </c>
      <c r="K6" s="201">
        <v>1</v>
      </c>
      <c r="L6" s="202">
        <v>45700</v>
      </c>
      <c r="M6" s="202">
        <v>45710</v>
      </c>
      <c r="N6" s="199">
        <f t="shared" si="3"/>
        <v>11</v>
      </c>
      <c r="O6" s="203">
        <f t="shared" si="4"/>
        <v>9.0909090909090912E-2</v>
      </c>
      <c r="P6" s="206">
        <f>IFERROR(SUMIF($U$2:$AT$2,"&lt;="&amp;$D$1,U6:BN6)/K6,"-")</f>
        <v>1</v>
      </c>
      <c r="Q6" s="205">
        <f>SUMIF($U$2:$CC$2,"&lt;="&amp;$D$1,U6:CC6)</f>
        <v>1</v>
      </c>
      <c r="R6" s="205">
        <f t="shared" si="5"/>
        <v>0</v>
      </c>
      <c r="S6" s="158">
        <f t="shared" si="6"/>
        <v>1</v>
      </c>
      <c r="T6" s="158">
        <f t="shared" si="7"/>
        <v>1</v>
      </c>
      <c r="U6" s="157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69"/>
      <c r="CY6" s="169"/>
      <c r="CZ6" s="169"/>
      <c r="DA6" s="169"/>
      <c r="DB6" s="169"/>
      <c r="DC6" s="169"/>
      <c r="DD6" s="169"/>
      <c r="DE6" s="169"/>
      <c r="DF6" s="169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</row>
    <row r="7" spans="2:147" x14ac:dyDescent="0.4">
      <c r="B7" s="297"/>
      <c r="C7" s="60">
        <v>4</v>
      </c>
      <c r="D7" s="230" t="s">
        <v>108</v>
      </c>
      <c r="E7" s="198">
        <v>45711</v>
      </c>
      <c r="F7" s="198">
        <v>45730</v>
      </c>
      <c r="G7" s="199">
        <f t="shared" si="8"/>
        <v>19</v>
      </c>
      <c r="H7" s="198">
        <v>45711</v>
      </c>
      <c r="I7" s="198">
        <v>45730</v>
      </c>
      <c r="J7" s="200" t="s">
        <v>256</v>
      </c>
      <c r="K7" s="201">
        <v>1</v>
      </c>
      <c r="L7" s="202">
        <v>45703</v>
      </c>
      <c r="M7" s="202">
        <v>45730</v>
      </c>
      <c r="N7" s="199">
        <f t="shared" si="3"/>
        <v>28</v>
      </c>
      <c r="O7" s="203">
        <f t="shared" si="4"/>
        <v>3.5714285714285712E-2</v>
      </c>
      <c r="P7" s="206">
        <f>IFERROR(SUMIF($U$2:$AT$2,"&lt;="&amp;$D$1,U7:BN7)/K7,"-")</f>
        <v>1</v>
      </c>
      <c r="Q7" s="205">
        <f>SUMIF($U$2:$CC$2,"&lt;="&amp;$D$1,U7:CC7)</f>
        <v>1</v>
      </c>
      <c r="R7" s="205">
        <f t="shared" si="5"/>
        <v>0</v>
      </c>
      <c r="S7" s="158">
        <f t="shared" si="6"/>
        <v>1</v>
      </c>
      <c r="T7" s="158">
        <f t="shared" si="7"/>
        <v>1</v>
      </c>
      <c r="U7" s="157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69"/>
      <c r="CY7" s="169"/>
      <c r="CZ7" s="169"/>
      <c r="DA7" s="169"/>
      <c r="DB7" s="169"/>
      <c r="DC7" s="169"/>
      <c r="DD7" s="169"/>
      <c r="DE7" s="169"/>
      <c r="DF7" s="169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</row>
    <row r="8" spans="2:147" x14ac:dyDescent="0.4">
      <c r="B8" s="297"/>
      <c r="C8" s="60">
        <v>5</v>
      </c>
      <c r="D8" s="230" t="s">
        <v>311</v>
      </c>
      <c r="E8" s="198">
        <v>45703</v>
      </c>
      <c r="F8" s="198">
        <v>45762</v>
      </c>
      <c r="G8" s="199">
        <f t="shared" si="8"/>
        <v>59</v>
      </c>
      <c r="H8" s="198">
        <v>45703</v>
      </c>
      <c r="I8" s="198">
        <v>45776</v>
      </c>
      <c r="J8" s="200" t="s">
        <v>315</v>
      </c>
      <c r="K8" s="201">
        <v>79</v>
      </c>
      <c r="L8" s="202">
        <v>45711</v>
      </c>
      <c r="M8" s="202">
        <v>45778</v>
      </c>
      <c r="N8" s="199">
        <f t="shared" si="3"/>
        <v>68</v>
      </c>
      <c r="O8" s="203">
        <f t="shared" si="4"/>
        <v>1.161764705882353</v>
      </c>
      <c r="P8" s="206">
        <f>Q8/K8</f>
        <v>1</v>
      </c>
      <c r="Q8" s="205">
        <f>SUMIF($U$2:$CC$2,"&lt;="&amp;$D$1,U8:CC8)</f>
        <v>79</v>
      </c>
      <c r="R8" s="205">
        <f t="shared" si="5"/>
        <v>0</v>
      </c>
      <c r="S8" s="158">
        <f t="shared" si="6"/>
        <v>79</v>
      </c>
      <c r="T8" s="158">
        <f t="shared" si="7"/>
        <v>79</v>
      </c>
      <c r="U8" s="157">
        <v>52</v>
      </c>
      <c r="V8" s="157">
        <v>2</v>
      </c>
      <c r="W8" s="157">
        <v>2</v>
      </c>
      <c r="X8" s="157">
        <v>2</v>
      </c>
      <c r="Y8" s="157">
        <v>2</v>
      </c>
      <c r="Z8" s="157">
        <v>2</v>
      </c>
      <c r="AA8" s="157">
        <v>1</v>
      </c>
      <c r="AB8" s="157">
        <v>1</v>
      </c>
      <c r="AC8" s="157">
        <v>1</v>
      </c>
      <c r="AD8" s="157">
        <v>1</v>
      </c>
      <c r="AE8" s="157">
        <v>1</v>
      </c>
      <c r="AF8" s="157">
        <v>1</v>
      </c>
      <c r="AG8" s="157"/>
      <c r="AH8" s="157">
        <v>1</v>
      </c>
      <c r="AI8" s="157">
        <v>1</v>
      </c>
      <c r="AJ8" s="157"/>
      <c r="AK8" s="157"/>
      <c r="AL8" s="157">
        <v>1</v>
      </c>
      <c r="AM8" s="157">
        <v>1</v>
      </c>
      <c r="AN8" s="157">
        <v>1</v>
      </c>
      <c r="AO8" s="157">
        <v>1</v>
      </c>
      <c r="AP8" s="157">
        <v>1</v>
      </c>
      <c r="AQ8" s="157"/>
      <c r="AR8" s="155"/>
      <c r="AS8" s="157">
        <v>1</v>
      </c>
      <c r="AT8" s="157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69"/>
      <c r="CY8" s="169"/>
      <c r="CZ8" s="169"/>
      <c r="DA8" s="169"/>
      <c r="DB8" s="169"/>
      <c r="DC8" s="169"/>
      <c r="DD8" s="169"/>
      <c r="DE8" s="169"/>
      <c r="DF8" s="169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</row>
    <row r="9" spans="2:147" x14ac:dyDescent="0.4">
      <c r="B9" s="297"/>
      <c r="C9" s="60">
        <v>6</v>
      </c>
      <c r="D9" s="230" t="s">
        <v>312</v>
      </c>
      <c r="E9" s="198">
        <v>45749</v>
      </c>
      <c r="F9" s="198">
        <v>45760</v>
      </c>
      <c r="G9" s="199">
        <f t="shared" si="8"/>
        <v>11</v>
      </c>
      <c r="H9" s="198">
        <v>45753</v>
      </c>
      <c r="I9" s="198">
        <v>45757</v>
      </c>
      <c r="J9" s="200" t="s">
        <v>256</v>
      </c>
      <c r="K9" s="201">
        <v>36</v>
      </c>
      <c r="L9" s="202">
        <v>45753</v>
      </c>
      <c r="M9" s="202">
        <v>45757</v>
      </c>
      <c r="N9" s="199">
        <f t="shared" si="3"/>
        <v>5</v>
      </c>
      <c r="O9" s="203">
        <f t="shared" si="4"/>
        <v>7.2</v>
      </c>
      <c r="P9" s="206">
        <f>IFERROR(SUMIF($U$2:$AT$2,"&lt;="&amp;$D$1,U9:BN9)/K9,"-")</f>
        <v>1</v>
      </c>
      <c r="Q9" s="205">
        <f>SUMIF($U$2:$CC$2,"&lt;="&amp;$D$1,U9:CC9)</f>
        <v>36</v>
      </c>
      <c r="R9" s="205">
        <f t="shared" si="5"/>
        <v>0</v>
      </c>
      <c r="S9" s="158">
        <f t="shared" si="6"/>
        <v>36</v>
      </c>
      <c r="T9" s="158">
        <f t="shared" si="7"/>
        <v>36</v>
      </c>
      <c r="U9" s="66">
        <v>0</v>
      </c>
      <c r="V9" s="66">
        <v>0</v>
      </c>
      <c r="W9" s="66"/>
      <c r="X9" s="66"/>
      <c r="Y9" s="156">
        <v>4</v>
      </c>
      <c r="Z9" s="156">
        <v>8</v>
      </c>
      <c r="AA9" s="156">
        <v>8</v>
      </c>
      <c r="AB9" s="156">
        <v>10</v>
      </c>
      <c r="AC9" s="156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69"/>
      <c r="CY9" s="169"/>
      <c r="CZ9" s="169"/>
      <c r="DA9" s="169"/>
      <c r="DB9" s="169"/>
      <c r="DC9" s="169"/>
      <c r="DD9" s="169"/>
      <c r="DE9" s="169"/>
      <c r="DF9" s="169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</row>
    <row r="10" spans="2:147" x14ac:dyDescent="0.4">
      <c r="B10" s="297"/>
      <c r="C10" s="60">
        <v>7</v>
      </c>
      <c r="D10" s="230" t="s">
        <v>313</v>
      </c>
      <c r="E10" s="198">
        <v>45759</v>
      </c>
      <c r="F10" s="198">
        <v>45773</v>
      </c>
      <c r="G10" s="199">
        <f t="shared" si="8"/>
        <v>14</v>
      </c>
      <c r="H10" s="198">
        <v>45806</v>
      </c>
      <c r="I10" s="198">
        <v>45811</v>
      </c>
      <c r="J10" s="200" t="s">
        <v>256</v>
      </c>
      <c r="K10" s="201">
        <v>240</v>
      </c>
      <c r="L10" s="202"/>
      <c r="M10" s="202"/>
      <c r="N10" s="199" t="str">
        <f t="shared" si="3"/>
        <v/>
      </c>
      <c r="O10" s="203" t="str">
        <f t="shared" si="4"/>
        <v>-</v>
      </c>
      <c r="P10" s="206">
        <f>Q10/K10</f>
        <v>1</v>
      </c>
      <c r="Q10" s="205">
        <f>S10</f>
        <v>240</v>
      </c>
      <c r="R10" s="205">
        <f t="shared" si="5"/>
        <v>0</v>
      </c>
      <c r="S10" s="158">
        <f t="shared" si="6"/>
        <v>240</v>
      </c>
      <c r="T10" s="158">
        <f t="shared" ref="T10:T54" si="9">SUM(U10:CB10)</f>
        <v>108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>
        <v>34</v>
      </c>
      <c r="CA10" s="169">
        <v>38</v>
      </c>
      <c r="CB10" s="169">
        <v>36</v>
      </c>
      <c r="CC10" s="169">
        <v>40</v>
      </c>
      <c r="CD10" s="169"/>
      <c r="CE10" s="169"/>
      <c r="CF10" s="169"/>
      <c r="CG10" s="169">
        <v>40</v>
      </c>
      <c r="CH10" s="169">
        <v>32</v>
      </c>
      <c r="CI10" s="169">
        <v>20</v>
      </c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69"/>
      <c r="CY10" s="169"/>
      <c r="CZ10" s="169"/>
      <c r="DA10" s="169"/>
      <c r="DB10" s="169"/>
      <c r="DC10" s="169"/>
      <c r="DD10" s="169"/>
      <c r="DE10" s="169"/>
      <c r="DF10" s="169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</row>
    <row r="11" spans="2:147" x14ac:dyDescent="0.4">
      <c r="B11" s="297"/>
      <c r="C11" s="60">
        <v>8</v>
      </c>
      <c r="D11" s="230" t="s">
        <v>834</v>
      </c>
      <c r="E11" s="198">
        <f>F10+28</f>
        <v>45801</v>
      </c>
      <c r="F11" s="198">
        <f>E11+G11-1</f>
        <v>45807</v>
      </c>
      <c r="G11" s="199">
        <v>7</v>
      </c>
      <c r="H11" s="198">
        <v>45824</v>
      </c>
      <c r="I11" s="198">
        <f>H11+60</f>
        <v>45884</v>
      </c>
      <c r="J11" s="200" t="s">
        <v>256</v>
      </c>
      <c r="K11" s="201">
        <v>180</v>
      </c>
      <c r="L11" s="202"/>
      <c r="M11" s="202"/>
      <c r="N11" s="199" t="str">
        <f t="shared" si="3"/>
        <v/>
      </c>
      <c r="O11" s="203" t="str">
        <f t="shared" si="4"/>
        <v>-</v>
      </c>
      <c r="P11" s="206">
        <f>Q11/K11</f>
        <v>0.73333333333333328</v>
      </c>
      <c r="Q11" s="205">
        <f>S11</f>
        <v>132</v>
      </c>
      <c r="R11" s="205">
        <f t="shared" si="5"/>
        <v>48</v>
      </c>
      <c r="S11" s="158">
        <f t="shared" si="6"/>
        <v>132</v>
      </c>
      <c r="T11" s="158">
        <f t="shared" si="9"/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>
        <v>3</v>
      </c>
      <c r="CW11" s="169">
        <v>4</v>
      </c>
      <c r="CX11" s="169">
        <v>4</v>
      </c>
      <c r="CY11" s="169">
        <v>4</v>
      </c>
      <c r="CZ11" s="169">
        <v>0</v>
      </c>
      <c r="DA11" s="169">
        <v>6</v>
      </c>
      <c r="DB11" s="169">
        <v>2</v>
      </c>
      <c r="DC11" s="169">
        <v>2</v>
      </c>
      <c r="DD11" s="169">
        <v>0</v>
      </c>
      <c r="DE11" s="169">
        <v>7</v>
      </c>
      <c r="DF11" s="169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</row>
    <row r="12" spans="2:147" x14ac:dyDescent="0.4">
      <c r="B12" s="297" t="s">
        <v>109</v>
      </c>
      <c r="C12" s="60">
        <v>9</v>
      </c>
      <c r="D12" s="230" t="s">
        <v>110</v>
      </c>
      <c r="E12" s="207">
        <v>45824</v>
      </c>
      <c r="F12" s="207">
        <v>45971</v>
      </c>
      <c r="G12" s="199">
        <f t="shared" si="8"/>
        <v>147</v>
      </c>
      <c r="H12" s="207">
        <v>45838</v>
      </c>
      <c r="I12" s="207">
        <v>45971</v>
      </c>
      <c r="J12" s="200" t="s">
        <v>13</v>
      </c>
      <c r="K12" s="201">
        <v>117000</v>
      </c>
      <c r="L12" s="202"/>
      <c r="M12" s="202"/>
      <c r="N12" s="199" t="str">
        <f t="shared" si="3"/>
        <v/>
      </c>
      <c r="O12" s="203" t="str">
        <f t="shared" si="4"/>
        <v>-</v>
      </c>
      <c r="P12" s="206">
        <f>Q12/K12</f>
        <v>3.7393162393162392E-2</v>
      </c>
      <c r="Q12" s="205">
        <f>S12</f>
        <v>4375</v>
      </c>
      <c r="R12" s="205">
        <f t="shared" si="5"/>
        <v>112625</v>
      </c>
      <c r="S12" s="65">
        <f>SUM(U12:XFD12)</f>
        <v>4375</v>
      </c>
      <c r="T12" s="158">
        <f t="shared" si="9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</row>
    <row r="13" spans="2:147" x14ac:dyDescent="0.4">
      <c r="B13" s="297"/>
      <c r="C13" s="60">
        <v>10</v>
      </c>
      <c r="D13" s="230" t="s">
        <v>111</v>
      </c>
      <c r="E13" s="207">
        <v>45848</v>
      </c>
      <c r="F13" s="207">
        <v>45976</v>
      </c>
      <c r="G13" s="199">
        <f t="shared" si="8"/>
        <v>128</v>
      </c>
      <c r="H13" s="207">
        <f>E13</f>
        <v>45848</v>
      </c>
      <c r="I13" s="207">
        <f>F13</f>
        <v>45976</v>
      </c>
      <c r="J13" s="200" t="s">
        <v>13</v>
      </c>
      <c r="K13" s="201">
        <v>117000</v>
      </c>
      <c r="L13" s="202"/>
      <c r="M13" s="202"/>
      <c r="N13" s="199" t="str">
        <f t="shared" si="3"/>
        <v/>
      </c>
      <c r="O13" s="203" t="str">
        <f t="shared" si="4"/>
        <v>-</v>
      </c>
      <c r="P13" s="206">
        <f>Q13/K13</f>
        <v>2.6854700854700854E-2</v>
      </c>
      <c r="Q13" s="205">
        <f>S13</f>
        <v>3142</v>
      </c>
      <c r="R13" s="205">
        <f t="shared" si="5"/>
        <v>113858</v>
      </c>
      <c r="S13" s="65">
        <f t="shared" si="6"/>
        <v>3142</v>
      </c>
      <c r="T13" s="158">
        <f t="shared" si="9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69"/>
      <c r="CY13" s="169"/>
      <c r="CZ13" s="169"/>
      <c r="DA13" s="169"/>
      <c r="DB13" s="169"/>
      <c r="DC13" s="169"/>
      <c r="DD13" s="169"/>
      <c r="DE13" s="169"/>
      <c r="DF13" s="169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</row>
    <row r="14" spans="2:147" x14ac:dyDescent="0.4">
      <c r="B14" s="297"/>
      <c r="C14" s="60">
        <v>11</v>
      </c>
      <c r="D14" s="230" t="s">
        <v>112</v>
      </c>
      <c r="E14" s="207">
        <v>45858</v>
      </c>
      <c r="F14" s="207">
        <v>45986</v>
      </c>
      <c r="G14" s="199">
        <f t="shared" si="8"/>
        <v>128</v>
      </c>
      <c r="H14" s="207">
        <f t="shared" ref="H14:I20" si="10">E14</f>
        <v>45858</v>
      </c>
      <c r="I14" s="207">
        <f t="shared" ref="I14:I15" si="11">F14</f>
        <v>45986</v>
      </c>
      <c r="J14" s="200" t="s">
        <v>13</v>
      </c>
      <c r="K14" s="201">
        <v>117000</v>
      </c>
      <c r="L14" s="202"/>
      <c r="M14" s="202"/>
      <c r="N14" s="199" t="str">
        <f t="shared" si="3"/>
        <v/>
      </c>
      <c r="O14" s="203" t="str">
        <f t="shared" si="4"/>
        <v>-</v>
      </c>
      <c r="P14" s="206">
        <f t="shared" ref="P14:P35" si="12">IFERROR(SUMIF($U$2:$AT$2,"&lt;="&amp;$D$1,U14:BN14)/K14,"-")</f>
        <v>0</v>
      </c>
      <c r="Q14" s="205">
        <f t="shared" ref="Q14:Q40" si="13">S14</f>
        <v>35</v>
      </c>
      <c r="R14" s="205">
        <f t="shared" si="5"/>
        <v>116965</v>
      </c>
      <c r="S14" s="65">
        <f t="shared" si="6"/>
        <v>35</v>
      </c>
      <c r="T14" s="158">
        <f t="shared" si="9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69"/>
      <c r="CY14" s="169"/>
      <c r="CZ14" s="169"/>
      <c r="DA14" s="169"/>
      <c r="DB14" s="169"/>
      <c r="DC14" s="169"/>
      <c r="DD14" s="169"/>
      <c r="DE14" s="169"/>
      <c r="DF14" s="169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</row>
    <row r="15" spans="2:147" x14ac:dyDescent="0.4">
      <c r="B15" s="297"/>
      <c r="C15" s="60">
        <v>12</v>
      </c>
      <c r="D15" s="230" t="s">
        <v>113</v>
      </c>
      <c r="E15" s="207">
        <v>45863</v>
      </c>
      <c r="F15" s="207">
        <v>45995</v>
      </c>
      <c r="G15" s="199">
        <f t="shared" si="8"/>
        <v>132</v>
      </c>
      <c r="H15" s="207">
        <f t="shared" si="10"/>
        <v>45863</v>
      </c>
      <c r="I15" s="207">
        <f t="shared" si="11"/>
        <v>45995</v>
      </c>
      <c r="J15" s="200" t="s">
        <v>13</v>
      </c>
      <c r="K15" s="201">
        <v>117000</v>
      </c>
      <c r="L15" s="202"/>
      <c r="M15" s="202"/>
      <c r="N15" s="199" t="str">
        <f t="shared" si="3"/>
        <v/>
      </c>
      <c r="O15" s="203" t="str">
        <f t="shared" si="4"/>
        <v>-</v>
      </c>
      <c r="P15" s="206">
        <f t="shared" si="12"/>
        <v>0</v>
      </c>
      <c r="Q15" s="205">
        <f t="shared" si="13"/>
        <v>0</v>
      </c>
      <c r="R15" s="205">
        <f t="shared" si="5"/>
        <v>117000</v>
      </c>
      <c r="S15" s="65">
        <f t="shared" si="6"/>
        <v>0</v>
      </c>
      <c r="T15" s="158">
        <f t="shared" si="9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69"/>
      <c r="CY15" s="169"/>
      <c r="CZ15" s="169"/>
      <c r="DA15" s="169"/>
      <c r="DB15" s="169"/>
      <c r="DC15" s="169"/>
      <c r="DD15" s="169"/>
      <c r="DE15" s="169"/>
      <c r="DF15" s="169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</row>
    <row r="16" spans="2:147" x14ac:dyDescent="0.4">
      <c r="B16" s="297" t="s">
        <v>114</v>
      </c>
      <c r="C16" s="60">
        <v>13</v>
      </c>
      <c r="D16" s="230" t="s">
        <v>120</v>
      </c>
      <c r="E16" s="207">
        <v>45821</v>
      </c>
      <c r="F16" s="207">
        <v>45923</v>
      </c>
      <c r="G16" s="199">
        <f t="shared" si="8"/>
        <v>102</v>
      </c>
      <c r="H16" s="207">
        <f t="shared" si="10"/>
        <v>45821</v>
      </c>
      <c r="I16" s="207">
        <f t="shared" si="10"/>
        <v>45923</v>
      </c>
      <c r="J16" s="200" t="s">
        <v>2</v>
      </c>
      <c r="K16" s="201">
        <v>26</v>
      </c>
      <c r="L16" s="202"/>
      <c r="M16" s="202"/>
      <c r="N16" s="199" t="str">
        <f t="shared" si="3"/>
        <v/>
      </c>
      <c r="O16" s="203" t="str">
        <f t="shared" si="4"/>
        <v>-</v>
      </c>
      <c r="P16" s="206">
        <f t="shared" si="12"/>
        <v>0</v>
      </c>
      <c r="Q16" s="205">
        <f t="shared" si="13"/>
        <v>0</v>
      </c>
      <c r="R16" s="205">
        <f t="shared" si="5"/>
        <v>26</v>
      </c>
      <c r="S16" s="65">
        <f t="shared" si="6"/>
        <v>0</v>
      </c>
      <c r="T16" s="158">
        <f t="shared" si="9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</row>
    <row r="17" spans="2:133" x14ac:dyDescent="0.4">
      <c r="B17" s="297"/>
      <c r="C17" s="60">
        <v>14</v>
      </c>
      <c r="D17" s="230" t="s">
        <v>121</v>
      </c>
      <c r="E17" s="207">
        <v>45840</v>
      </c>
      <c r="F17" s="207">
        <f>F16+6</f>
        <v>45929</v>
      </c>
      <c r="G17" s="199">
        <f t="shared" si="8"/>
        <v>89</v>
      </c>
      <c r="H17" s="207">
        <f t="shared" si="10"/>
        <v>45840</v>
      </c>
      <c r="I17" s="207">
        <f t="shared" si="10"/>
        <v>45929</v>
      </c>
      <c r="J17" s="200" t="s">
        <v>2</v>
      </c>
      <c r="K17" s="201">
        <v>26</v>
      </c>
      <c r="L17" s="202"/>
      <c r="M17" s="202"/>
      <c r="N17" s="199" t="str">
        <f t="shared" si="3"/>
        <v/>
      </c>
      <c r="O17" s="203" t="str">
        <f t="shared" si="4"/>
        <v>-</v>
      </c>
      <c r="P17" s="206">
        <f t="shared" si="12"/>
        <v>0</v>
      </c>
      <c r="Q17" s="205">
        <f t="shared" si="13"/>
        <v>0</v>
      </c>
      <c r="R17" s="205">
        <f t="shared" si="5"/>
        <v>26</v>
      </c>
      <c r="S17" s="65">
        <f t="shared" si="6"/>
        <v>0</v>
      </c>
      <c r="T17" s="158">
        <f t="shared" si="9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</row>
    <row r="18" spans="2:133" x14ac:dyDescent="0.4">
      <c r="B18" s="297"/>
      <c r="C18" s="60">
        <v>15</v>
      </c>
      <c r="D18" s="230" t="s">
        <v>122</v>
      </c>
      <c r="E18" s="207">
        <f>E17+7</f>
        <v>45847</v>
      </c>
      <c r="F18" s="207">
        <f>F17+7</f>
        <v>45936</v>
      </c>
      <c r="G18" s="199">
        <f t="shared" si="8"/>
        <v>89</v>
      </c>
      <c r="H18" s="207">
        <f t="shared" si="10"/>
        <v>45847</v>
      </c>
      <c r="I18" s="207">
        <f t="shared" si="10"/>
        <v>45936</v>
      </c>
      <c r="J18" s="200" t="s">
        <v>2</v>
      </c>
      <c r="K18" s="201">
        <v>26</v>
      </c>
      <c r="L18" s="202"/>
      <c r="M18" s="202"/>
      <c r="N18" s="199" t="str">
        <f t="shared" si="3"/>
        <v/>
      </c>
      <c r="O18" s="203" t="str">
        <f t="shared" si="4"/>
        <v>-</v>
      </c>
      <c r="P18" s="206">
        <f t="shared" si="12"/>
        <v>0</v>
      </c>
      <c r="Q18" s="205">
        <f t="shared" si="13"/>
        <v>0</v>
      </c>
      <c r="R18" s="205">
        <f t="shared" si="5"/>
        <v>26</v>
      </c>
      <c r="S18" s="65">
        <f t="shared" si="6"/>
        <v>0</v>
      </c>
      <c r="T18" s="158">
        <f t="shared" si="9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69"/>
      <c r="CY18" s="169"/>
      <c r="CZ18" s="169"/>
      <c r="DA18" s="169"/>
      <c r="DB18" s="169"/>
      <c r="DC18" s="169"/>
      <c r="DD18" s="169"/>
      <c r="DE18" s="169"/>
      <c r="DF18" s="169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</row>
    <row r="19" spans="2:133" x14ac:dyDescent="0.4">
      <c r="B19" s="297"/>
      <c r="C19" s="60">
        <v>16</v>
      </c>
      <c r="D19" s="230" t="s">
        <v>123</v>
      </c>
      <c r="E19" s="207">
        <f>E18+15</f>
        <v>45862</v>
      </c>
      <c r="F19" s="207">
        <f>F18+15</f>
        <v>45951</v>
      </c>
      <c r="G19" s="199">
        <f t="shared" si="8"/>
        <v>89</v>
      </c>
      <c r="H19" s="207">
        <f t="shared" si="10"/>
        <v>45862</v>
      </c>
      <c r="I19" s="207">
        <f t="shared" si="10"/>
        <v>45951</v>
      </c>
      <c r="J19" s="200" t="s">
        <v>2</v>
      </c>
      <c r="K19" s="201">
        <v>26</v>
      </c>
      <c r="L19" s="202"/>
      <c r="M19" s="202"/>
      <c r="N19" s="199" t="str">
        <f t="shared" si="3"/>
        <v/>
      </c>
      <c r="O19" s="203" t="str">
        <f t="shared" si="4"/>
        <v>-</v>
      </c>
      <c r="P19" s="206">
        <f t="shared" si="12"/>
        <v>0</v>
      </c>
      <c r="Q19" s="205">
        <f t="shared" si="13"/>
        <v>0</v>
      </c>
      <c r="R19" s="205">
        <f t="shared" si="5"/>
        <v>26</v>
      </c>
      <c r="S19" s="65">
        <f t="shared" si="6"/>
        <v>0</v>
      </c>
      <c r="T19" s="158">
        <f t="shared" si="9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69"/>
      <c r="CY19" s="169"/>
      <c r="CZ19" s="169"/>
      <c r="DA19" s="169"/>
      <c r="DB19" s="169"/>
      <c r="DC19" s="169"/>
      <c r="DD19" s="169"/>
      <c r="DE19" s="169"/>
      <c r="DF19" s="169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</row>
    <row r="20" spans="2:133" x14ac:dyDescent="0.4">
      <c r="B20" s="297"/>
      <c r="C20" s="60">
        <v>17</v>
      </c>
      <c r="D20" s="230" t="s">
        <v>124</v>
      </c>
      <c r="E20" s="207">
        <f>E19+21</f>
        <v>45883</v>
      </c>
      <c r="F20" s="207">
        <f>F19+21</f>
        <v>45972</v>
      </c>
      <c r="G20" s="199">
        <f t="shared" si="8"/>
        <v>89</v>
      </c>
      <c r="H20" s="207">
        <f t="shared" si="10"/>
        <v>45883</v>
      </c>
      <c r="I20" s="207">
        <f t="shared" si="10"/>
        <v>45972</v>
      </c>
      <c r="J20" s="200" t="s">
        <v>2</v>
      </c>
      <c r="K20" s="201">
        <v>26</v>
      </c>
      <c r="L20" s="202"/>
      <c r="M20" s="202"/>
      <c r="N20" s="199" t="str">
        <f t="shared" si="3"/>
        <v/>
      </c>
      <c r="O20" s="203" t="str">
        <f t="shared" si="4"/>
        <v>-</v>
      </c>
      <c r="P20" s="206">
        <f t="shared" si="12"/>
        <v>0</v>
      </c>
      <c r="Q20" s="205">
        <f t="shared" si="13"/>
        <v>0</v>
      </c>
      <c r="R20" s="205">
        <f t="shared" si="5"/>
        <v>26</v>
      </c>
      <c r="S20" s="65">
        <f t="shared" si="6"/>
        <v>0</v>
      </c>
      <c r="T20" s="158">
        <f t="shared" si="9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69"/>
      <c r="CY20" s="169"/>
      <c r="CZ20" s="169"/>
      <c r="DA20" s="169"/>
      <c r="DB20" s="169"/>
      <c r="DC20" s="169"/>
      <c r="DD20" s="169"/>
      <c r="DE20" s="169"/>
      <c r="DF20" s="169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</row>
    <row r="21" spans="2:133" x14ac:dyDescent="0.4">
      <c r="B21" s="297"/>
      <c r="C21" s="60">
        <v>18</v>
      </c>
      <c r="D21" s="230" t="s">
        <v>126</v>
      </c>
      <c r="E21" s="207">
        <v>45838</v>
      </c>
      <c r="F21" s="207">
        <v>45925</v>
      </c>
      <c r="G21" s="199">
        <f t="shared" si="8"/>
        <v>87</v>
      </c>
      <c r="H21" s="207">
        <f t="shared" ref="H21:H27" si="14">E21</f>
        <v>45838</v>
      </c>
      <c r="I21" s="207">
        <f t="shared" ref="I21:I27" si="15">F21</f>
        <v>45925</v>
      </c>
      <c r="J21" s="200" t="s">
        <v>2</v>
      </c>
      <c r="K21" s="201">
        <v>26</v>
      </c>
      <c r="L21" s="202"/>
      <c r="M21" s="202"/>
      <c r="N21" s="199" t="str">
        <f t="shared" si="3"/>
        <v/>
      </c>
      <c r="O21" s="203" t="str">
        <f t="shared" si="4"/>
        <v>-</v>
      </c>
      <c r="P21" s="206">
        <f t="shared" si="12"/>
        <v>0</v>
      </c>
      <c r="Q21" s="205">
        <f t="shared" si="13"/>
        <v>0</v>
      </c>
      <c r="R21" s="205">
        <f t="shared" si="5"/>
        <v>26</v>
      </c>
      <c r="S21" s="65">
        <f t="shared" si="6"/>
        <v>0</v>
      </c>
      <c r="T21" s="158">
        <f t="shared" si="9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69"/>
      <c r="CY21" s="169"/>
      <c r="CZ21" s="169"/>
      <c r="DA21" s="169"/>
      <c r="DB21" s="169"/>
      <c r="DC21" s="169"/>
      <c r="DD21" s="169"/>
      <c r="DE21" s="169"/>
      <c r="DF21" s="169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</row>
    <row r="22" spans="2:133" x14ac:dyDescent="0.4">
      <c r="B22" s="297"/>
      <c r="C22" s="60">
        <v>19</v>
      </c>
      <c r="D22" s="230" t="s">
        <v>127</v>
      </c>
      <c r="E22" s="207">
        <f>E21+2</f>
        <v>45840</v>
      </c>
      <c r="F22" s="207">
        <f>F21+2</f>
        <v>45927</v>
      </c>
      <c r="G22" s="199">
        <f t="shared" si="8"/>
        <v>87</v>
      </c>
      <c r="H22" s="207">
        <f t="shared" si="14"/>
        <v>45840</v>
      </c>
      <c r="I22" s="207">
        <f t="shared" si="15"/>
        <v>45927</v>
      </c>
      <c r="J22" s="200" t="s">
        <v>2</v>
      </c>
      <c r="K22" s="201">
        <v>26</v>
      </c>
      <c r="L22" s="202"/>
      <c r="M22" s="202"/>
      <c r="N22" s="199" t="str">
        <f t="shared" si="3"/>
        <v/>
      </c>
      <c r="O22" s="203" t="str">
        <f t="shared" si="4"/>
        <v>-</v>
      </c>
      <c r="P22" s="206">
        <f t="shared" si="12"/>
        <v>0</v>
      </c>
      <c r="Q22" s="205">
        <f t="shared" si="13"/>
        <v>0</v>
      </c>
      <c r="R22" s="205">
        <f t="shared" si="5"/>
        <v>26</v>
      </c>
      <c r="S22" s="65">
        <f t="shared" si="6"/>
        <v>0</v>
      </c>
      <c r="T22" s="158">
        <f t="shared" si="9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</row>
    <row r="23" spans="2:133" x14ac:dyDescent="0.4">
      <c r="B23" s="297"/>
      <c r="C23" s="60">
        <v>20</v>
      </c>
      <c r="D23" s="230" t="s">
        <v>128</v>
      </c>
      <c r="E23" s="207">
        <f t="shared" ref="E23:F25" si="16">E22+7</f>
        <v>45847</v>
      </c>
      <c r="F23" s="207">
        <f t="shared" si="16"/>
        <v>45934</v>
      </c>
      <c r="G23" s="199">
        <f t="shared" si="8"/>
        <v>87</v>
      </c>
      <c r="H23" s="207">
        <f t="shared" si="14"/>
        <v>45847</v>
      </c>
      <c r="I23" s="207">
        <f t="shared" si="15"/>
        <v>45934</v>
      </c>
      <c r="J23" s="200" t="s">
        <v>2</v>
      </c>
      <c r="K23" s="201">
        <v>26</v>
      </c>
      <c r="L23" s="202"/>
      <c r="M23" s="202"/>
      <c r="N23" s="199" t="str">
        <f t="shared" si="3"/>
        <v/>
      </c>
      <c r="O23" s="203" t="str">
        <f t="shared" si="4"/>
        <v>-</v>
      </c>
      <c r="P23" s="206">
        <f t="shared" si="12"/>
        <v>0</v>
      </c>
      <c r="Q23" s="205">
        <f t="shared" si="13"/>
        <v>0</v>
      </c>
      <c r="R23" s="205">
        <f t="shared" si="5"/>
        <v>26</v>
      </c>
      <c r="S23" s="65">
        <f t="shared" si="6"/>
        <v>0</v>
      </c>
      <c r="T23" s="158">
        <f t="shared" si="9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69"/>
      <c r="CY23" s="169"/>
      <c r="CZ23" s="169"/>
      <c r="DA23" s="169"/>
      <c r="DB23" s="169"/>
      <c r="DC23" s="169"/>
      <c r="DD23" s="169"/>
      <c r="DE23" s="169"/>
      <c r="DF23" s="169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</row>
    <row r="24" spans="2:133" x14ac:dyDescent="0.4">
      <c r="B24" s="297"/>
      <c r="C24" s="60">
        <v>21</v>
      </c>
      <c r="D24" s="230" t="s">
        <v>129</v>
      </c>
      <c r="E24" s="207">
        <f t="shared" si="16"/>
        <v>45854</v>
      </c>
      <c r="F24" s="207">
        <f t="shared" si="16"/>
        <v>45941</v>
      </c>
      <c r="G24" s="199">
        <f t="shared" si="8"/>
        <v>87</v>
      </c>
      <c r="H24" s="207">
        <f t="shared" si="14"/>
        <v>45854</v>
      </c>
      <c r="I24" s="207">
        <f t="shared" si="15"/>
        <v>45941</v>
      </c>
      <c r="J24" s="200" t="s">
        <v>2</v>
      </c>
      <c r="K24" s="201">
        <v>26</v>
      </c>
      <c r="L24" s="202"/>
      <c r="M24" s="202"/>
      <c r="N24" s="199" t="str">
        <f t="shared" si="3"/>
        <v/>
      </c>
      <c r="O24" s="203" t="str">
        <f t="shared" si="4"/>
        <v>-</v>
      </c>
      <c r="P24" s="206">
        <f t="shared" si="12"/>
        <v>0</v>
      </c>
      <c r="Q24" s="205">
        <f t="shared" si="13"/>
        <v>0</v>
      </c>
      <c r="R24" s="205">
        <f t="shared" si="5"/>
        <v>26</v>
      </c>
      <c r="S24" s="65">
        <f t="shared" si="6"/>
        <v>0</v>
      </c>
      <c r="T24" s="158">
        <f t="shared" si="9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</row>
    <row r="25" spans="2:133" x14ac:dyDescent="0.4">
      <c r="B25" s="297"/>
      <c r="C25" s="60">
        <v>22</v>
      </c>
      <c r="D25" s="230" t="s">
        <v>130</v>
      </c>
      <c r="E25" s="207">
        <f t="shared" si="16"/>
        <v>45861</v>
      </c>
      <c r="F25" s="207">
        <f t="shared" si="16"/>
        <v>45948</v>
      </c>
      <c r="G25" s="199">
        <f t="shared" si="8"/>
        <v>87</v>
      </c>
      <c r="H25" s="207">
        <f t="shared" si="14"/>
        <v>45861</v>
      </c>
      <c r="I25" s="207">
        <f t="shared" si="15"/>
        <v>45948</v>
      </c>
      <c r="J25" s="200" t="s">
        <v>2</v>
      </c>
      <c r="K25" s="201">
        <v>26</v>
      </c>
      <c r="L25" s="202"/>
      <c r="M25" s="202"/>
      <c r="N25" s="199" t="str">
        <f t="shared" si="3"/>
        <v/>
      </c>
      <c r="O25" s="203" t="str">
        <f t="shared" si="4"/>
        <v>-</v>
      </c>
      <c r="P25" s="206">
        <f t="shared" si="12"/>
        <v>0</v>
      </c>
      <c r="Q25" s="205">
        <f t="shared" si="13"/>
        <v>0</v>
      </c>
      <c r="R25" s="205">
        <f t="shared" si="5"/>
        <v>26</v>
      </c>
      <c r="S25" s="65">
        <f t="shared" si="6"/>
        <v>0</v>
      </c>
      <c r="T25" s="158">
        <f t="shared" si="9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</row>
    <row r="26" spans="2:133" x14ac:dyDescent="0.4">
      <c r="B26" s="297"/>
      <c r="C26" s="60">
        <v>23</v>
      </c>
      <c r="D26" s="235" t="s">
        <v>131</v>
      </c>
      <c r="E26" s="207">
        <f>E25+15</f>
        <v>45876</v>
      </c>
      <c r="F26" s="207">
        <f>F25+15</f>
        <v>45963</v>
      </c>
      <c r="G26" s="199">
        <f t="shared" si="8"/>
        <v>87</v>
      </c>
      <c r="H26" s="207">
        <f t="shared" si="14"/>
        <v>45876</v>
      </c>
      <c r="I26" s="207">
        <f>F26</f>
        <v>45963</v>
      </c>
      <c r="J26" s="200" t="s">
        <v>2</v>
      </c>
      <c r="K26" s="201">
        <v>26</v>
      </c>
      <c r="L26" s="202"/>
      <c r="M26" s="202"/>
      <c r="N26" s="199" t="str">
        <f t="shared" si="3"/>
        <v/>
      </c>
      <c r="O26" s="203" t="str">
        <f t="shared" si="4"/>
        <v>-</v>
      </c>
      <c r="P26" s="206">
        <f t="shared" si="12"/>
        <v>0</v>
      </c>
      <c r="Q26" s="205">
        <f t="shared" si="13"/>
        <v>0</v>
      </c>
      <c r="R26" s="205">
        <f t="shared" si="5"/>
        <v>26</v>
      </c>
      <c r="S26" s="65">
        <f t="shared" si="6"/>
        <v>0</v>
      </c>
      <c r="T26" s="158">
        <f t="shared" si="9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9"/>
      <c r="BP26" s="169"/>
      <c r="BQ26" s="169"/>
      <c r="BR26" s="169"/>
      <c r="BS26" s="169"/>
      <c r="BT26" s="169"/>
      <c r="BU26" s="169"/>
      <c r="BV26" s="169"/>
      <c r="BW26" s="169"/>
      <c r="BX26" s="169"/>
      <c r="BY26" s="169"/>
      <c r="BZ26" s="169"/>
      <c r="CA26" s="169"/>
      <c r="CB26" s="169"/>
      <c r="CC26" s="169"/>
      <c r="CD26" s="169"/>
      <c r="CE26" s="169"/>
      <c r="CF26" s="169"/>
      <c r="CG26" s="169"/>
      <c r="CH26" s="169"/>
      <c r="CI26" s="169"/>
      <c r="CJ26" s="169"/>
      <c r="CK26" s="169"/>
      <c r="CL26" s="169"/>
      <c r="CM26" s="169"/>
      <c r="CN26" s="169"/>
      <c r="CO26" s="169"/>
      <c r="CP26" s="169"/>
      <c r="CQ26" s="169"/>
      <c r="CR26" s="169"/>
      <c r="CS26" s="169"/>
      <c r="CT26" s="169"/>
      <c r="CU26" s="169"/>
      <c r="CV26" s="169"/>
      <c r="CW26" s="169"/>
      <c r="CX26" s="169"/>
      <c r="CY26" s="169"/>
      <c r="CZ26" s="169"/>
      <c r="DA26" s="169"/>
      <c r="DB26" s="169"/>
      <c r="DC26" s="169"/>
      <c r="DD26" s="169"/>
      <c r="DE26" s="169"/>
      <c r="DF26" s="169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</row>
    <row r="27" spans="2:133" x14ac:dyDescent="0.4">
      <c r="B27" s="297"/>
      <c r="C27" s="233">
        <v>24</v>
      </c>
      <c r="D27" s="237" t="s">
        <v>132</v>
      </c>
      <c r="E27" s="234">
        <f>F27-30</f>
        <v>45942</v>
      </c>
      <c r="F27" s="207">
        <v>45972</v>
      </c>
      <c r="G27" s="199">
        <f t="shared" si="8"/>
        <v>30</v>
      </c>
      <c r="H27" s="207">
        <f t="shared" si="14"/>
        <v>45942</v>
      </c>
      <c r="I27" s="207">
        <f t="shared" si="15"/>
        <v>45972</v>
      </c>
      <c r="J27" s="200" t="s">
        <v>2</v>
      </c>
      <c r="K27" s="201">
        <v>26</v>
      </c>
      <c r="L27" s="202"/>
      <c r="M27" s="202"/>
      <c r="N27" s="199" t="str">
        <f t="shared" si="3"/>
        <v/>
      </c>
      <c r="O27" s="203" t="str">
        <f t="shared" si="4"/>
        <v>-</v>
      </c>
      <c r="P27" s="206">
        <f t="shared" si="12"/>
        <v>0</v>
      </c>
      <c r="Q27" s="205">
        <f t="shared" si="13"/>
        <v>0</v>
      </c>
      <c r="R27" s="205">
        <f t="shared" si="5"/>
        <v>26</v>
      </c>
      <c r="S27" s="65">
        <f t="shared" si="6"/>
        <v>0</v>
      </c>
      <c r="T27" s="158">
        <f t="shared" si="9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9"/>
      <c r="BP27" s="169"/>
      <c r="BQ27" s="169"/>
      <c r="BR27" s="169"/>
      <c r="BS27" s="169"/>
      <c r="BT27" s="169"/>
      <c r="BU27" s="169"/>
      <c r="BV27" s="169"/>
      <c r="BW27" s="169"/>
      <c r="BX27" s="169"/>
      <c r="BY27" s="169"/>
      <c r="BZ27" s="169"/>
      <c r="CA27" s="169"/>
      <c r="CB27" s="169"/>
      <c r="CC27" s="169"/>
      <c r="CD27" s="169"/>
      <c r="CE27" s="169"/>
      <c r="CF27" s="169"/>
      <c r="CG27" s="169"/>
      <c r="CH27" s="169"/>
      <c r="CI27" s="169"/>
      <c r="CJ27" s="169"/>
      <c r="CK27" s="169"/>
      <c r="CL27" s="169"/>
      <c r="CM27" s="169"/>
      <c r="CN27" s="169"/>
      <c r="CO27" s="169"/>
      <c r="CP27" s="169"/>
      <c r="CQ27" s="169"/>
      <c r="CR27" s="169"/>
      <c r="CS27" s="169"/>
      <c r="CT27" s="169"/>
      <c r="CU27" s="169"/>
      <c r="CV27" s="169"/>
      <c r="CW27" s="169"/>
      <c r="CX27" s="169"/>
      <c r="CY27" s="169"/>
      <c r="CZ27" s="169"/>
      <c r="DA27" s="169"/>
      <c r="DB27" s="169"/>
      <c r="DC27" s="169"/>
      <c r="DD27" s="169"/>
      <c r="DE27" s="169"/>
      <c r="DF27" s="169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</row>
    <row r="28" spans="2:133" x14ac:dyDescent="0.4">
      <c r="B28" s="308" t="s">
        <v>152</v>
      </c>
      <c r="C28" s="233">
        <v>49</v>
      </c>
      <c r="D28" s="237" t="s">
        <v>159</v>
      </c>
      <c r="E28" s="234">
        <v>45858</v>
      </c>
      <c r="F28" s="207">
        <v>45945</v>
      </c>
      <c r="G28" s="199">
        <f t="shared" ref="G28:G91" si="17">F28-E28</f>
        <v>87</v>
      </c>
      <c r="H28" s="207">
        <f>E28</f>
        <v>45858</v>
      </c>
      <c r="I28" s="207">
        <f>F28</f>
        <v>45945</v>
      </c>
      <c r="J28" s="200" t="s">
        <v>154</v>
      </c>
      <c r="K28" s="201"/>
      <c r="L28" s="202"/>
      <c r="M28" s="202"/>
      <c r="N28" s="199" t="str">
        <f t="shared" ref="N28:N42" si="18">IF(OR(M28="",L28=""),"",INT(M28-L28+1))</f>
        <v/>
      </c>
      <c r="O28" s="203" t="str">
        <f t="shared" ref="O28:O42" si="19">IFERROR(K28/N28,"-")</f>
        <v>-</v>
      </c>
      <c r="P28" s="206" t="str">
        <f t="shared" si="12"/>
        <v>-</v>
      </c>
      <c r="Q28" s="205">
        <f t="shared" si="13"/>
        <v>0</v>
      </c>
      <c r="R28" s="205">
        <f t="shared" ref="R28:R42" si="20">K28-Q28</f>
        <v>0</v>
      </c>
      <c r="S28" s="65">
        <f t="shared" ref="S28:S42" si="21">SUM(U28:XFD28)</f>
        <v>0</v>
      </c>
      <c r="T28" s="158">
        <f t="shared" si="9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9"/>
      <c r="BP28" s="169"/>
      <c r="BQ28" s="169"/>
      <c r="BR28" s="169"/>
      <c r="BS28" s="169"/>
      <c r="BT28" s="169"/>
      <c r="BU28" s="169"/>
      <c r="BV28" s="169"/>
      <c r="BW28" s="169"/>
      <c r="BX28" s="169"/>
      <c r="BY28" s="169"/>
      <c r="BZ28" s="169"/>
      <c r="CA28" s="169"/>
      <c r="CB28" s="169"/>
      <c r="CC28" s="169"/>
      <c r="CD28" s="169"/>
      <c r="CE28" s="169"/>
      <c r="CF28" s="169"/>
      <c r="CG28" s="169"/>
      <c r="CH28" s="169"/>
      <c r="CI28" s="169"/>
      <c r="CJ28" s="169"/>
      <c r="CK28" s="169"/>
      <c r="CL28" s="169"/>
      <c r="CM28" s="169"/>
      <c r="CN28" s="169"/>
      <c r="CO28" s="169"/>
      <c r="CP28" s="169"/>
      <c r="CQ28" s="169"/>
      <c r="CR28" s="169"/>
      <c r="CS28" s="169"/>
      <c r="CT28" s="169"/>
      <c r="CU28" s="169"/>
      <c r="CV28" s="169"/>
      <c r="CW28" s="169"/>
      <c r="CX28" s="169"/>
      <c r="CY28" s="169"/>
      <c r="CZ28" s="169"/>
      <c r="DA28" s="169"/>
      <c r="DB28" s="169"/>
      <c r="DC28" s="169"/>
      <c r="DD28" s="169"/>
      <c r="DE28" s="169"/>
      <c r="DF28" s="169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</row>
    <row r="29" spans="2:133" x14ac:dyDescent="0.4">
      <c r="B29" s="309"/>
      <c r="C29" s="233">
        <v>50</v>
      </c>
      <c r="D29" s="237" t="s">
        <v>160</v>
      </c>
      <c r="E29" s="234">
        <v>45863</v>
      </c>
      <c r="F29" s="207">
        <v>45950</v>
      </c>
      <c r="G29" s="199">
        <f t="shared" si="17"/>
        <v>87</v>
      </c>
      <c r="H29" s="207">
        <f t="shared" ref="H29:H33" si="22">E29</f>
        <v>45863</v>
      </c>
      <c r="I29" s="207">
        <f t="shared" ref="I29:I33" si="23">F29</f>
        <v>45950</v>
      </c>
      <c r="J29" s="200" t="s">
        <v>154</v>
      </c>
      <c r="K29" s="201"/>
      <c r="L29" s="202"/>
      <c r="M29" s="202"/>
      <c r="N29" s="199" t="str">
        <f t="shared" si="18"/>
        <v/>
      </c>
      <c r="O29" s="203" t="str">
        <f t="shared" si="19"/>
        <v>-</v>
      </c>
      <c r="P29" s="206" t="str">
        <f t="shared" si="12"/>
        <v>-</v>
      </c>
      <c r="Q29" s="205">
        <f t="shared" si="13"/>
        <v>0</v>
      </c>
      <c r="R29" s="205">
        <f t="shared" si="20"/>
        <v>0</v>
      </c>
      <c r="S29" s="65">
        <f t="shared" si="21"/>
        <v>0</v>
      </c>
      <c r="T29" s="158">
        <f t="shared" si="9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9"/>
      <c r="BP29" s="169"/>
      <c r="BQ29" s="169"/>
      <c r="BR29" s="169"/>
      <c r="BS29" s="169"/>
      <c r="BT29" s="169"/>
      <c r="BU29" s="169"/>
      <c r="BV29" s="169"/>
      <c r="BW29" s="169"/>
      <c r="BX29" s="169"/>
      <c r="BY29" s="169"/>
      <c r="BZ29" s="169"/>
      <c r="CA29" s="169"/>
      <c r="CB29" s="169"/>
      <c r="CC29" s="169"/>
      <c r="CD29" s="169"/>
      <c r="CE29" s="169"/>
      <c r="CF29" s="169"/>
      <c r="CG29" s="169"/>
      <c r="CH29" s="169"/>
      <c r="CI29" s="169"/>
      <c r="CJ29" s="169"/>
      <c r="CK29" s="169"/>
      <c r="CL29" s="169"/>
      <c r="CM29" s="169"/>
      <c r="CN29" s="169"/>
      <c r="CO29" s="169"/>
      <c r="CP29" s="169"/>
      <c r="CQ29" s="169"/>
      <c r="CR29" s="169"/>
      <c r="CS29" s="169"/>
      <c r="CT29" s="169"/>
      <c r="CU29" s="169"/>
      <c r="CV29" s="169"/>
      <c r="CW29" s="169"/>
      <c r="CX29" s="169"/>
      <c r="CY29" s="169"/>
      <c r="CZ29" s="169"/>
      <c r="DA29" s="169"/>
      <c r="DB29" s="169"/>
      <c r="DC29" s="169"/>
      <c r="DD29" s="169"/>
      <c r="DE29" s="169"/>
      <c r="DF29" s="169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</row>
    <row r="30" spans="2:133" x14ac:dyDescent="0.4">
      <c r="B30" s="309"/>
      <c r="C30" s="233">
        <v>51</v>
      </c>
      <c r="D30" s="237" t="s">
        <v>161</v>
      </c>
      <c r="E30" s="234">
        <v>45966</v>
      </c>
      <c r="F30" s="207">
        <v>46001</v>
      </c>
      <c r="G30" s="199">
        <f t="shared" si="17"/>
        <v>35</v>
      </c>
      <c r="H30" s="207">
        <f t="shared" si="22"/>
        <v>45966</v>
      </c>
      <c r="I30" s="207">
        <f t="shared" si="23"/>
        <v>46001</v>
      </c>
      <c r="J30" s="200" t="s">
        <v>154</v>
      </c>
      <c r="K30" s="201"/>
      <c r="L30" s="202"/>
      <c r="M30" s="202"/>
      <c r="N30" s="199" t="str">
        <f t="shared" si="18"/>
        <v/>
      </c>
      <c r="O30" s="203" t="str">
        <f t="shared" si="19"/>
        <v>-</v>
      </c>
      <c r="P30" s="206" t="str">
        <f t="shared" si="12"/>
        <v>-</v>
      </c>
      <c r="Q30" s="205">
        <f t="shared" si="13"/>
        <v>0</v>
      </c>
      <c r="R30" s="205">
        <f t="shared" si="20"/>
        <v>0</v>
      </c>
      <c r="S30" s="65">
        <f t="shared" si="21"/>
        <v>0</v>
      </c>
      <c r="T30" s="158">
        <f t="shared" si="9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</row>
    <row r="31" spans="2:133" x14ac:dyDescent="0.4">
      <c r="B31" s="309"/>
      <c r="C31" s="233">
        <v>52</v>
      </c>
      <c r="D31" s="237" t="s">
        <v>162</v>
      </c>
      <c r="E31" s="234">
        <v>45981</v>
      </c>
      <c r="F31" s="207">
        <v>46009</v>
      </c>
      <c r="G31" s="199">
        <f t="shared" si="17"/>
        <v>28</v>
      </c>
      <c r="H31" s="207">
        <f t="shared" si="22"/>
        <v>45981</v>
      </c>
      <c r="I31" s="207">
        <f t="shared" si="23"/>
        <v>46009</v>
      </c>
      <c r="J31" s="200" t="s">
        <v>154</v>
      </c>
      <c r="K31" s="201"/>
      <c r="L31" s="202"/>
      <c r="M31" s="202"/>
      <c r="N31" s="199" t="str">
        <f t="shared" si="18"/>
        <v/>
      </c>
      <c r="O31" s="203" t="str">
        <f t="shared" si="19"/>
        <v>-</v>
      </c>
      <c r="P31" s="206" t="str">
        <f t="shared" si="12"/>
        <v>-</v>
      </c>
      <c r="Q31" s="205">
        <f t="shared" si="13"/>
        <v>0</v>
      </c>
      <c r="R31" s="205">
        <f t="shared" si="20"/>
        <v>0</v>
      </c>
      <c r="S31" s="65">
        <f t="shared" si="21"/>
        <v>0</v>
      </c>
      <c r="T31" s="158">
        <f t="shared" si="9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</row>
    <row r="32" spans="2:133" x14ac:dyDescent="0.4">
      <c r="B32" s="309"/>
      <c r="C32" s="60">
        <v>53</v>
      </c>
      <c r="D32" s="236" t="s">
        <v>163</v>
      </c>
      <c r="E32" s="207">
        <v>45971</v>
      </c>
      <c r="F32" s="207">
        <v>46006</v>
      </c>
      <c r="G32" s="199">
        <f t="shared" si="17"/>
        <v>35</v>
      </c>
      <c r="H32" s="207">
        <f t="shared" si="22"/>
        <v>45971</v>
      </c>
      <c r="I32" s="207">
        <f t="shared" si="23"/>
        <v>46006</v>
      </c>
      <c r="J32" s="200" t="s">
        <v>154</v>
      </c>
      <c r="K32" s="201"/>
      <c r="L32" s="202"/>
      <c r="M32" s="202"/>
      <c r="N32" s="199" t="str">
        <f t="shared" si="18"/>
        <v/>
      </c>
      <c r="O32" s="203" t="str">
        <f t="shared" si="19"/>
        <v>-</v>
      </c>
      <c r="P32" s="206" t="str">
        <f t="shared" si="12"/>
        <v>-</v>
      </c>
      <c r="Q32" s="205">
        <f t="shared" si="13"/>
        <v>0</v>
      </c>
      <c r="R32" s="205">
        <f t="shared" si="20"/>
        <v>0</v>
      </c>
      <c r="S32" s="65">
        <f t="shared" si="21"/>
        <v>0</v>
      </c>
      <c r="T32" s="158">
        <f t="shared" si="9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9"/>
      <c r="BP32" s="169"/>
      <c r="BQ32" s="169"/>
      <c r="BR32" s="169"/>
      <c r="BS32" s="169"/>
      <c r="BT32" s="169"/>
      <c r="BU32" s="169"/>
      <c r="BV32" s="169"/>
      <c r="BW32" s="169"/>
      <c r="BX32" s="169"/>
      <c r="BY32" s="169"/>
      <c r="BZ32" s="169"/>
      <c r="CA32" s="169"/>
      <c r="CB32" s="169"/>
      <c r="CC32" s="169"/>
      <c r="CD32" s="169"/>
      <c r="CE32" s="169"/>
      <c r="CF32" s="169"/>
      <c r="CG32" s="169"/>
      <c r="CH32" s="169"/>
      <c r="CI32" s="169"/>
      <c r="CJ32" s="169"/>
      <c r="CK32" s="169"/>
      <c r="CL32" s="169"/>
      <c r="CM32" s="169"/>
      <c r="CN32" s="169"/>
      <c r="CO32" s="169"/>
      <c r="CP32" s="169"/>
      <c r="CQ32" s="169"/>
      <c r="CR32" s="169"/>
      <c r="CS32" s="169"/>
      <c r="CT32" s="169"/>
      <c r="CU32" s="169"/>
      <c r="CV32" s="169"/>
      <c r="CW32" s="169"/>
      <c r="CX32" s="169"/>
      <c r="CY32" s="169"/>
      <c r="CZ32" s="169"/>
      <c r="DA32" s="169"/>
      <c r="DB32" s="169"/>
      <c r="DC32" s="169"/>
      <c r="DD32" s="169"/>
      <c r="DE32" s="169"/>
      <c r="DF32" s="169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</row>
    <row r="33" spans="2:133" x14ac:dyDescent="0.4">
      <c r="B33" s="309"/>
      <c r="C33" s="60">
        <v>54</v>
      </c>
      <c r="D33" s="230" t="s">
        <v>164</v>
      </c>
      <c r="E33" s="207">
        <v>45996</v>
      </c>
      <c r="F33" s="207">
        <v>46008</v>
      </c>
      <c r="G33" s="199">
        <f t="shared" si="17"/>
        <v>12</v>
      </c>
      <c r="H33" s="207">
        <f t="shared" si="22"/>
        <v>45996</v>
      </c>
      <c r="I33" s="207">
        <f t="shared" si="23"/>
        <v>46008</v>
      </c>
      <c r="J33" s="200" t="s">
        <v>154</v>
      </c>
      <c r="K33" s="201"/>
      <c r="L33" s="202"/>
      <c r="M33" s="202"/>
      <c r="N33" s="199" t="str">
        <f t="shared" si="18"/>
        <v/>
      </c>
      <c r="O33" s="203" t="str">
        <f t="shared" si="19"/>
        <v>-</v>
      </c>
      <c r="P33" s="206" t="str">
        <f t="shared" si="12"/>
        <v>-</v>
      </c>
      <c r="Q33" s="205">
        <f t="shared" si="13"/>
        <v>0</v>
      </c>
      <c r="R33" s="205">
        <f t="shared" si="20"/>
        <v>0</v>
      </c>
      <c r="S33" s="65">
        <f t="shared" si="21"/>
        <v>0</v>
      </c>
      <c r="T33" s="158">
        <f t="shared" si="9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9"/>
      <c r="BP33" s="169"/>
      <c r="BQ33" s="169"/>
      <c r="BR33" s="169"/>
      <c r="BS33" s="169"/>
      <c r="BT33" s="169"/>
      <c r="BU33" s="169"/>
      <c r="BV33" s="169"/>
      <c r="BW33" s="169"/>
      <c r="BX33" s="169"/>
      <c r="BY33" s="169"/>
      <c r="BZ33" s="169"/>
      <c r="CA33" s="169"/>
      <c r="CB33" s="169"/>
      <c r="CC33" s="169"/>
      <c r="CD33" s="169"/>
      <c r="CE33" s="169"/>
      <c r="CF33" s="169"/>
      <c r="CG33" s="169"/>
      <c r="CH33" s="169"/>
      <c r="CI33" s="169"/>
      <c r="CJ33" s="169"/>
      <c r="CK33" s="169"/>
      <c r="CL33" s="169"/>
      <c r="CM33" s="169"/>
      <c r="CN33" s="169"/>
      <c r="CO33" s="169"/>
      <c r="CP33" s="169"/>
      <c r="CQ33" s="169"/>
      <c r="CR33" s="169"/>
      <c r="CS33" s="169"/>
      <c r="CT33" s="169"/>
      <c r="CU33" s="169"/>
      <c r="CV33" s="169"/>
      <c r="CW33" s="169"/>
      <c r="CX33" s="169"/>
      <c r="CY33" s="169"/>
      <c r="CZ33" s="169"/>
      <c r="DA33" s="169"/>
      <c r="DB33" s="169"/>
      <c r="DC33" s="169"/>
      <c r="DD33" s="169"/>
      <c r="DE33" s="169"/>
      <c r="DF33" s="169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</row>
    <row r="34" spans="2:133" x14ac:dyDescent="0.4">
      <c r="B34" s="309"/>
      <c r="C34" s="60">
        <v>55</v>
      </c>
      <c r="D34" s="230" t="s">
        <v>169</v>
      </c>
      <c r="E34" s="207">
        <v>45772</v>
      </c>
      <c r="F34" s="207">
        <v>45823</v>
      </c>
      <c r="G34" s="209">
        <f t="shared" si="17"/>
        <v>51</v>
      </c>
      <c r="H34" s="207">
        <v>45819</v>
      </c>
      <c r="I34" s="207">
        <f>H34+G34</f>
        <v>45870</v>
      </c>
      <c r="J34" s="200" t="s">
        <v>154</v>
      </c>
      <c r="K34" s="201">
        <v>21000</v>
      </c>
      <c r="L34" s="202"/>
      <c r="M34" s="202"/>
      <c r="N34" s="199" t="str">
        <f t="shared" si="18"/>
        <v/>
      </c>
      <c r="O34" s="203" t="str">
        <f t="shared" si="19"/>
        <v>-</v>
      </c>
      <c r="P34" s="206">
        <f>Q34/K34</f>
        <v>0.13333333333333333</v>
      </c>
      <c r="Q34" s="205">
        <f t="shared" si="13"/>
        <v>2800</v>
      </c>
      <c r="R34" s="205">
        <f t="shared" si="20"/>
        <v>18200</v>
      </c>
      <c r="S34" s="65">
        <f t="shared" si="21"/>
        <v>2800</v>
      </c>
      <c r="T34" s="158">
        <f t="shared" si="9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9"/>
      <c r="BP34" s="169"/>
      <c r="BQ34" s="169"/>
      <c r="BR34" s="169"/>
      <c r="BS34" s="169"/>
      <c r="BT34" s="169"/>
      <c r="BU34" s="169"/>
      <c r="BV34" s="169"/>
      <c r="BW34" s="169"/>
      <c r="BX34" s="169"/>
      <c r="BY34" s="169"/>
      <c r="BZ34" s="169"/>
      <c r="CA34" s="169"/>
      <c r="CB34" s="169"/>
      <c r="CC34" s="169"/>
      <c r="CD34" s="169"/>
      <c r="CE34" s="169"/>
      <c r="CF34" s="169"/>
      <c r="CG34" s="169"/>
      <c r="CH34" s="169"/>
      <c r="CI34" s="169"/>
      <c r="CJ34" s="169"/>
      <c r="CK34" s="169"/>
      <c r="CL34" s="169"/>
      <c r="CM34" s="169"/>
      <c r="CN34" s="169"/>
      <c r="CO34" s="169"/>
      <c r="CP34" s="169"/>
      <c r="CQ34" s="169"/>
      <c r="CR34" s="169"/>
      <c r="CS34" s="169"/>
      <c r="CT34" s="169"/>
      <c r="CU34" s="169"/>
      <c r="CV34" s="169"/>
      <c r="CW34" s="169"/>
      <c r="CX34" s="169"/>
      <c r="CY34" s="169"/>
      <c r="CZ34" s="169"/>
      <c r="DA34" s="169"/>
      <c r="DB34" s="169"/>
      <c r="DC34" s="169"/>
      <c r="DD34" s="169"/>
      <c r="DE34" s="169"/>
      <c r="DF34" s="169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0</v>
      </c>
      <c r="DQ34" s="56">
        <v>0</v>
      </c>
      <c r="DR34" s="56">
        <v>0</v>
      </c>
      <c r="DS34" s="56">
        <v>0</v>
      </c>
      <c r="DT34" s="56">
        <v>0</v>
      </c>
      <c r="DU34" s="56">
        <v>0</v>
      </c>
      <c r="DV34" s="56">
        <v>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</row>
    <row r="35" spans="2:133" x14ac:dyDescent="0.4">
      <c r="B35" s="309"/>
      <c r="C35" s="60">
        <v>56</v>
      </c>
      <c r="D35" s="230" t="s">
        <v>170</v>
      </c>
      <c r="E35" s="207">
        <v>45773</v>
      </c>
      <c r="F35" s="207">
        <v>45824</v>
      </c>
      <c r="G35" s="209">
        <f t="shared" si="17"/>
        <v>51</v>
      </c>
      <c r="H35" s="207">
        <v>45820</v>
      </c>
      <c r="I35" s="207">
        <v>45871</v>
      </c>
      <c r="J35" s="200" t="s">
        <v>154</v>
      </c>
      <c r="K35" s="201">
        <v>21000</v>
      </c>
      <c r="L35" s="202"/>
      <c r="M35" s="202"/>
      <c r="N35" s="199" t="str">
        <f t="shared" si="18"/>
        <v/>
      </c>
      <c r="O35" s="203" t="str">
        <f t="shared" si="19"/>
        <v>-</v>
      </c>
      <c r="P35" s="206">
        <f t="shared" ref="P35:P37" si="24">Q35/K35</f>
        <v>4.5666666666666668E-2</v>
      </c>
      <c r="Q35" s="205">
        <f t="shared" si="13"/>
        <v>959</v>
      </c>
      <c r="R35" s="205">
        <f t="shared" si="20"/>
        <v>20041</v>
      </c>
      <c r="S35" s="65">
        <f t="shared" si="21"/>
        <v>959</v>
      </c>
      <c r="T35" s="158">
        <f t="shared" si="9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</row>
    <row r="36" spans="2:133" x14ac:dyDescent="0.4">
      <c r="B36" s="309"/>
      <c r="C36" s="60">
        <v>57</v>
      </c>
      <c r="D36" s="230" t="s">
        <v>437</v>
      </c>
      <c r="E36" s="207">
        <v>45797</v>
      </c>
      <c r="F36" s="207">
        <v>45828</v>
      </c>
      <c r="G36" s="209">
        <f t="shared" si="17"/>
        <v>31</v>
      </c>
      <c r="H36" s="207">
        <v>45833</v>
      </c>
      <c r="I36" s="207">
        <v>45874</v>
      </c>
      <c r="J36" s="200" t="s">
        <v>154</v>
      </c>
      <c r="K36" s="201">
        <v>21000</v>
      </c>
      <c r="L36" s="202"/>
      <c r="M36" s="202"/>
      <c r="N36" s="199" t="str">
        <f t="shared" si="18"/>
        <v/>
      </c>
      <c r="O36" s="203" t="str">
        <f t="shared" si="19"/>
        <v>-</v>
      </c>
      <c r="P36" s="206">
        <f t="shared" si="24"/>
        <v>0</v>
      </c>
      <c r="Q36" s="205">
        <f t="shared" si="13"/>
        <v>0</v>
      </c>
      <c r="R36" s="205">
        <f t="shared" si="20"/>
        <v>21000</v>
      </c>
      <c r="S36" s="65">
        <f t="shared" si="21"/>
        <v>0</v>
      </c>
      <c r="T36" s="158">
        <f t="shared" si="9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</row>
    <row r="37" spans="2:133" x14ac:dyDescent="0.4">
      <c r="B37" s="309"/>
      <c r="C37" s="60">
        <v>58</v>
      </c>
      <c r="D37" s="230" t="s">
        <v>429</v>
      </c>
      <c r="E37" s="207">
        <v>45802</v>
      </c>
      <c r="F37" s="207">
        <v>45832</v>
      </c>
      <c r="G37" s="209">
        <f t="shared" si="17"/>
        <v>30</v>
      </c>
      <c r="H37" s="207">
        <v>45838</v>
      </c>
      <c r="I37" s="207">
        <v>45877</v>
      </c>
      <c r="J37" s="200" t="s">
        <v>154</v>
      </c>
      <c r="K37" s="201">
        <v>21000</v>
      </c>
      <c r="L37" s="202"/>
      <c r="M37" s="202"/>
      <c r="N37" s="199" t="str">
        <f t="shared" si="18"/>
        <v/>
      </c>
      <c r="O37" s="203" t="str">
        <f t="shared" si="19"/>
        <v>-</v>
      </c>
      <c r="P37" s="206">
        <f t="shared" si="24"/>
        <v>0</v>
      </c>
      <c r="Q37" s="205">
        <f t="shared" si="13"/>
        <v>0</v>
      </c>
      <c r="R37" s="205">
        <f t="shared" si="20"/>
        <v>21000</v>
      </c>
      <c r="S37" s="65">
        <f t="shared" si="21"/>
        <v>0</v>
      </c>
      <c r="T37" s="158">
        <f t="shared" si="9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</row>
    <row r="38" spans="2:133" x14ac:dyDescent="0.4">
      <c r="B38" s="309"/>
      <c r="C38" s="60">
        <v>59</v>
      </c>
      <c r="D38" s="230" t="s">
        <v>173</v>
      </c>
      <c r="E38" s="207">
        <v>45874</v>
      </c>
      <c r="F38" s="207">
        <v>45950</v>
      </c>
      <c r="G38" s="209">
        <f t="shared" si="17"/>
        <v>76</v>
      </c>
      <c r="H38" s="207">
        <f>E38</f>
        <v>45874</v>
      </c>
      <c r="I38" s="207">
        <f>F38</f>
        <v>45950</v>
      </c>
      <c r="J38" s="200" t="s">
        <v>154</v>
      </c>
      <c r="K38" s="201"/>
      <c r="L38" s="202"/>
      <c r="M38" s="202"/>
      <c r="N38" s="199" t="str">
        <f t="shared" si="18"/>
        <v/>
      </c>
      <c r="O38" s="203" t="str">
        <f t="shared" si="19"/>
        <v>-</v>
      </c>
      <c r="P38" s="206" t="str">
        <f t="shared" ref="P36:P42" si="25">IFERROR(SUMIF($U$2:$AT$2,"&lt;="&amp;$D$1,U38:BN38)/K38,"-")</f>
        <v>-</v>
      </c>
      <c r="Q38" s="205">
        <f t="shared" si="13"/>
        <v>0</v>
      </c>
      <c r="R38" s="205">
        <f t="shared" si="20"/>
        <v>0</v>
      </c>
      <c r="S38" s="65">
        <f t="shared" si="21"/>
        <v>0</v>
      </c>
      <c r="T38" s="158">
        <f t="shared" si="9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9"/>
      <c r="BP38" s="169"/>
      <c r="BQ38" s="169"/>
      <c r="BR38" s="169"/>
      <c r="BS38" s="169"/>
      <c r="BT38" s="169"/>
      <c r="BU38" s="169"/>
      <c r="BV38" s="169"/>
      <c r="BW38" s="169"/>
      <c r="BX38" s="169"/>
      <c r="BY38" s="169"/>
      <c r="BZ38" s="169"/>
      <c r="CA38" s="169"/>
      <c r="CB38" s="169"/>
      <c r="CC38" s="169"/>
      <c r="CD38" s="169"/>
      <c r="CE38" s="169"/>
      <c r="CF38" s="169"/>
      <c r="CG38" s="169"/>
      <c r="CH38" s="169"/>
      <c r="CI38" s="169"/>
      <c r="CJ38" s="169"/>
      <c r="CK38" s="169"/>
      <c r="CL38" s="169"/>
      <c r="CM38" s="169"/>
      <c r="CN38" s="169"/>
      <c r="CO38" s="169"/>
      <c r="CP38" s="169"/>
      <c r="CQ38" s="169"/>
      <c r="CR38" s="169"/>
      <c r="CS38" s="169"/>
      <c r="CT38" s="169"/>
      <c r="CU38" s="169"/>
      <c r="CV38" s="169"/>
      <c r="CW38" s="169"/>
      <c r="CX38" s="169"/>
      <c r="CY38" s="169"/>
      <c r="CZ38" s="169"/>
      <c r="DA38" s="169"/>
      <c r="DB38" s="169"/>
      <c r="DC38" s="169"/>
      <c r="DD38" s="169"/>
      <c r="DE38" s="169"/>
      <c r="DF38" s="169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</row>
    <row r="39" spans="2:133" x14ac:dyDescent="0.4">
      <c r="B39" s="309"/>
      <c r="C39" s="60">
        <v>60</v>
      </c>
      <c r="D39" s="230" t="s">
        <v>174</v>
      </c>
      <c r="E39" s="207">
        <v>45885</v>
      </c>
      <c r="F39" s="207">
        <v>45958</v>
      </c>
      <c r="G39" s="209">
        <f t="shared" si="17"/>
        <v>73</v>
      </c>
      <c r="H39" s="207">
        <f t="shared" ref="H39:H61" si="26">E39</f>
        <v>45885</v>
      </c>
      <c r="I39" s="207">
        <f t="shared" ref="I39:I61" si="27">F39</f>
        <v>45958</v>
      </c>
      <c r="J39" s="200" t="s">
        <v>154</v>
      </c>
      <c r="K39" s="201"/>
      <c r="L39" s="202"/>
      <c r="M39" s="202"/>
      <c r="N39" s="199" t="str">
        <f t="shared" si="18"/>
        <v/>
      </c>
      <c r="O39" s="203" t="str">
        <f t="shared" si="19"/>
        <v>-</v>
      </c>
      <c r="P39" s="206" t="str">
        <f t="shared" si="25"/>
        <v>-</v>
      </c>
      <c r="Q39" s="205">
        <f t="shared" si="13"/>
        <v>0</v>
      </c>
      <c r="R39" s="205">
        <f t="shared" si="20"/>
        <v>0</v>
      </c>
      <c r="S39" s="65">
        <f t="shared" si="21"/>
        <v>0</v>
      </c>
      <c r="T39" s="158">
        <f t="shared" si="9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9"/>
      <c r="BP39" s="169"/>
      <c r="BQ39" s="169"/>
      <c r="BR39" s="169"/>
      <c r="BS39" s="169"/>
      <c r="BT39" s="169"/>
      <c r="BU39" s="169"/>
      <c r="BV39" s="169"/>
      <c r="BW39" s="169"/>
      <c r="BX39" s="169"/>
      <c r="BY39" s="169"/>
      <c r="BZ39" s="169"/>
      <c r="CA39" s="169"/>
      <c r="CB39" s="169"/>
      <c r="CC39" s="169"/>
      <c r="CD39" s="169"/>
      <c r="CE39" s="169"/>
      <c r="CF39" s="169"/>
      <c r="CG39" s="169"/>
      <c r="CH39" s="169"/>
      <c r="CI39" s="169"/>
      <c r="CJ39" s="169"/>
      <c r="CK39" s="169"/>
      <c r="CL39" s="169"/>
      <c r="CM39" s="169"/>
      <c r="CN39" s="169"/>
      <c r="CO39" s="169"/>
      <c r="CP39" s="169"/>
      <c r="CQ39" s="169"/>
      <c r="CR39" s="169"/>
      <c r="CS39" s="169"/>
      <c r="CT39" s="169"/>
      <c r="CU39" s="169"/>
      <c r="CV39" s="169"/>
      <c r="CW39" s="169"/>
      <c r="CX39" s="169"/>
      <c r="CY39" s="169"/>
      <c r="CZ39" s="169"/>
      <c r="DA39" s="169"/>
      <c r="DB39" s="169"/>
      <c r="DC39" s="169"/>
      <c r="DD39" s="169"/>
      <c r="DE39" s="169"/>
      <c r="DF39" s="169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</row>
    <row r="40" spans="2:133" x14ac:dyDescent="0.4">
      <c r="B40" s="309"/>
      <c r="C40" s="60">
        <v>61</v>
      </c>
      <c r="D40" s="230" t="s">
        <v>175</v>
      </c>
      <c r="E40" s="207">
        <v>45905</v>
      </c>
      <c r="F40" s="207">
        <v>45976</v>
      </c>
      <c r="G40" s="209">
        <f t="shared" si="17"/>
        <v>71</v>
      </c>
      <c r="H40" s="207">
        <f t="shared" si="26"/>
        <v>45905</v>
      </c>
      <c r="I40" s="207">
        <f t="shared" si="27"/>
        <v>45976</v>
      </c>
      <c r="J40" s="200" t="s">
        <v>154</v>
      </c>
      <c r="K40" s="201"/>
      <c r="L40" s="202"/>
      <c r="M40" s="202"/>
      <c r="N40" s="199" t="str">
        <f t="shared" si="18"/>
        <v/>
      </c>
      <c r="O40" s="203" t="str">
        <f t="shared" si="19"/>
        <v>-</v>
      </c>
      <c r="P40" s="206" t="str">
        <f t="shared" si="25"/>
        <v>-</v>
      </c>
      <c r="Q40" s="205">
        <f t="shared" si="13"/>
        <v>0</v>
      </c>
      <c r="R40" s="205">
        <f t="shared" si="20"/>
        <v>0</v>
      </c>
      <c r="S40" s="65">
        <f t="shared" si="21"/>
        <v>0</v>
      </c>
      <c r="T40" s="158">
        <f t="shared" si="9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9"/>
      <c r="BP40" s="169"/>
      <c r="BQ40" s="169"/>
      <c r="BR40" s="169"/>
      <c r="BS40" s="169"/>
      <c r="BT40" s="169"/>
      <c r="BU40" s="169"/>
      <c r="BV40" s="169"/>
      <c r="BW40" s="169"/>
      <c r="BX40" s="169"/>
      <c r="BY40" s="169"/>
      <c r="BZ40" s="169"/>
      <c r="CA40" s="169"/>
      <c r="CB40" s="169"/>
      <c r="CC40" s="169"/>
      <c r="CD40" s="169"/>
      <c r="CE40" s="169"/>
      <c r="CF40" s="169"/>
      <c r="CG40" s="169"/>
      <c r="CH40" s="169"/>
      <c r="CI40" s="169"/>
      <c r="CJ40" s="169"/>
      <c r="CK40" s="169"/>
      <c r="CL40" s="169"/>
      <c r="CM40" s="169"/>
      <c r="CN40" s="169"/>
      <c r="CO40" s="169"/>
      <c r="CP40" s="169"/>
      <c r="CQ40" s="169"/>
      <c r="CR40" s="169"/>
      <c r="CS40" s="169"/>
      <c r="CT40" s="169"/>
      <c r="CU40" s="169"/>
      <c r="CV40" s="169"/>
      <c r="CW40" s="169"/>
      <c r="CX40" s="169"/>
      <c r="CY40" s="169"/>
      <c r="CZ40" s="169"/>
      <c r="DA40" s="169"/>
      <c r="DB40" s="169"/>
      <c r="DC40" s="169"/>
      <c r="DD40" s="169"/>
      <c r="DE40" s="169"/>
      <c r="DF40" s="169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</row>
    <row r="41" spans="2:133" ht="29" x14ac:dyDescent="0.4">
      <c r="B41" s="297" t="s">
        <v>176</v>
      </c>
      <c r="C41" s="60">
        <v>66</v>
      </c>
      <c r="D41" s="231" t="s">
        <v>439</v>
      </c>
      <c r="E41" s="196">
        <v>45879</v>
      </c>
      <c r="F41" s="196">
        <v>46006</v>
      </c>
      <c r="G41" s="197">
        <f t="shared" si="17"/>
        <v>127</v>
      </c>
      <c r="H41" s="207">
        <f t="shared" si="26"/>
        <v>45879</v>
      </c>
      <c r="I41" s="207">
        <f t="shared" si="27"/>
        <v>46006</v>
      </c>
      <c r="J41" s="200" t="s">
        <v>17</v>
      </c>
      <c r="K41" s="201">
        <v>1360</v>
      </c>
      <c r="L41" s="202"/>
      <c r="M41" s="202"/>
      <c r="N41" s="199" t="str">
        <f t="shared" si="18"/>
        <v/>
      </c>
      <c r="O41" s="203" t="str">
        <f t="shared" si="19"/>
        <v>-</v>
      </c>
      <c r="P41" s="206">
        <f t="shared" si="25"/>
        <v>0</v>
      </c>
      <c r="Q41" s="208">
        <f t="shared" ref="Q41:Q42" si="28">SUMIF($U$2:$AT$2,"&lt;="&amp;$D$1,U41:AT41)</f>
        <v>0</v>
      </c>
      <c r="R41" s="205">
        <f t="shared" si="20"/>
        <v>1360</v>
      </c>
      <c r="S41" s="65">
        <f t="shared" si="21"/>
        <v>0</v>
      </c>
      <c r="T41" s="158">
        <f t="shared" si="9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9"/>
      <c r="BP41" s="169"/>
      <c r="BQ41" s="169"/>
      <c r="BR41" s="169"/>
      <c r="BS41" s="169"/>
      <c r="BT41" s="169"/>
      <c r="BU41" s="169"/>
      <c r="BV41" s="169"/>
      <c r="BW41" s="169"/>
      <c r="BX41" s="169"/>
      <c r="BY41" s="169"/>
      <c r="BZ41" s="169"/>
      <c r="CA41" s="169"/>
      <c r="CB41" s="169"/>
      <c r="CC41" s="169"/>
      <c r="CD41" s="169"/>
      <c r="CE41" s="169"/>
      <c r="CF41" s="169"/>
      <c r="CG41" s="169"/>
      <c r="CH41" s="169"/>
      <c r="CI41" s="169"/>
      <c r="CJ41" s="169"/>
      <c r="CK41" s="169"/>
      <c r="CL41" s="169"/>
      <c r="CM41" s="169"/>
      <c r="CN41" s="169"/>
      <c r="CO41" s="169"/>
      <c r="CP41" s="169"/>
      <c r="CQ41" s="169"/>
      <c r="CR41" s="169"/>
      <c r="CS41" s="169"/>
      <c r="CT41" s="169"/>
      <c r="CU41" s="169"/>
      <c r="CV41" s="169"/>
      <c r="CW41" s="169"/>
      <c r="CX41" s="169"/>
      <c r="CY41" s="169"/>
      <c r="CZ41" s="169"/>
      <c r="DA41" s="169"/>
      <c r="DB41" s="169"/>
      <c r="DC41" s="169"/>
      <c r="DD41" s="169"/>
      <c r="DE41" s="169"/>
      <c r="DF41" s="169"/>
    </row>
    <row r="42" spans="2:133" x14ac:dyDescent="0.4">
      <c r="B42" s="297"/>
      <c r="C42" s="60">
        <v>67</v>
      </c>
      <c r="D42" s="231" t="s">
        <v>259</v>
      </c>
      <c r="E42" s="196">
        <v>45887</v>
      </c>
      <c r="F42" s="196">
        <v>46016</v>
      </c>
      <c r="G42" s="197">
        <f t="shared" si="17"/>
        <v>129</v>
      </c>
      <c r="H42" s="207">
        <f t="shared" si="26"/>
        <v>45887</v>
      </c>
      <c r="I42" s="207">
        <f t="shared" si="27"/>
        <v>46016</v>
      </c>
      <c r="J42" s="200" t="s">
        <v>17</v>
      </c>
      <c r="K42" s="201">
        <v>1360</v>
      </c>
      <c r="L42" s="202"/>
      <c r="M42" s="202"/>
      <c r="N42" s="199" t="str">
        <f t="shared" si="18"/>
        <v/>
      </c>
      <c r="O42" s="203" t="str">
        <f t="shared" si="19"/>
        <v>-</v>
      </c>
      <c r="P42" s="206">
        <f t="shared" si="25"/>
        <v>0</v>
      </c>
      <c r="Q42" s="208">
        <f t="shared" si="28"/>
        <v>0</v>
      </c>
      <c r="R42" s="205">
        <f t="shared" si="20"/>
        <v>1360</v>
      </c>
      <c r="S42" s="65">
        <f t="shared" si="21"/>
        <v>0</v>
      </c>
      <c r="T42" s="158">
        <f t="shared" si="9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9"/>
      <c r="BP42" s="169"/>
      <c r="BQ42" s="169"/>
      <c r="BR42" s="169"/>
      <c r="BS42" s="169"/>
      <c r="BT42" s="169"/>
      <c r="BU42" s="169"/>
      <c r="BV42" s="169"/>
      <c r="BW42" s="169"/>
      <c r="BX42" s="169"/>
      <c r="BY42" s="169"/>
      <c r="BZ42" s="169"/>
      <c r="CA42" s="169"/>
      <c r="CB42" s="169"/>
      <c r="CC42" s="169"/>
      <c r="CD42" s="169"/>
      <c r="CE42" s="169"/>
      <c r="CF42" s="169"/>
      <c r="CG42" s="169"/>
      <c r="CH42" s="169"/>
      <c r="CI42" s="169"/>
      <c r="CJ42" s="169"/>
      <c r="CK42" s="169"/>
      <c r="CL42" s="169"/>
      <c r="CM42" s="169"/>
      <c r="CN42" s="169"/>
      <c r="CO42" s="169"/>
      <c r="CP42" s="169"/>
      <c r="CQ42" s="169"/>
      <c r="CR42" s="169"/>
      <c r="CS42" s="169"/>
      <c r="CT42" s="169"/>
      <c r="CU42" s="169"/>
      <c r="CV42" s="169"/>
      <c r="CW42" s="169"/>
      <c r="CX42" s="169"/>
      <c r="CY42" s="169"/>
      <c r="CZ42" s="169"/>
      <c r="DA42" s="169"/>
      <c r="DB42" s="169"/>
      <c r="DC42" s="169"/>
      <c r="DD42" s="169"/>
      <c r="DE42" s="169"/>
      <c r="DF42" s="169"/>
    </row>
    <row r="43" spans="2:133" x14ac:dyDescent="0.4">
      <c r="B43" s="297"/>
      <c r="C43" s="60">
        <v>68</v>
      </c>
      <c r="D43" s="231" t="s">
        <v>258</v>
      </c>
      <c r="E43" s="196">
        <v>45849</v>
      </c>
      <c r="F43" s="196">
        <v>46010</v>
      </c>
      <c r="G43" s="197">
        <f t="shared" si="17"/>
        <v>161</v>
      </c>
      <c r="H43" s="207">
        <f t="shared" si="26"/>
        <v>45849</v>
      </c>
      <c r="I43" s="207">
        <f t="shared" si="27"/>
        <v>46010</v>
      </c>
      <c r="J43" s="200" t="s">
        <v>17</v>
      </c>
      <c r="K43" s="201">
        <v>1360</v>
      </c>
      <c r="L43" s="202"/>
      <c r="M43" s="202"/>
      <c r="N43" s="199" t="str">
        <f t="shared" ref="N43:N73" si="29">IF(OR(M43="",L43=""),"",INT(M43-L43+1))</f>
        <v/>
      </c>
      <c r="O43" s="203" t="str">
        <f t="shared" ref="O43:O73" si="30">IFERROR(K43/N43,"-")</f>
        <v>-</v>
      </c>
      <c r="P43" s="206">
        <f t="shared" ref="P43:P73" si="31">IFERROR(SUMIF($U$2:$AT$2,"&lt;="&amp;$D$1,U43:BN43)/K43,"-")</f>
        <v>0</v>
      </c>
      <c r="Q43" s="208">
        <f t="shared" ref="Q43:Q73" si="32">SUMIF($U$2:$AT$2,"&lt;="&amp;$D$1,U43:AT43)</f>
        <v>0</v>
      </c>
      <c r="R43" s="205">
        <f t="shared" ref="R43:R73" si="33">K43-Q43</f>
        <v>1360</v>
      </c>
      <c r="S43" s="65">
        <f t="shared" ref="S43:S55" si="34">SUM(U43:XFD43)</f>
        <v>0</v>
      </c>
      <c r="T43" s="158">
        <f t="shared" si="9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9"/>
      <c r="BP43" s="169"/>
      <c r="BQ43" s="169"/>
      <c r="BR43" s="169"/>
      <c r="BS43" s="169"/>
      <c r="BT43" s="169"/>
      <c r="BU43" s="169"/>
      <c r="BV43" s="169"/>
      <c r="BW43" s="169"/>
      <c r="BX43" s="169"/>
      <c r="BY43" s="169"/>
      <c r="BZ43" s="169"/>
      <c r="CA43" s="169"/>
      <c r="CB43" s="169"/>
      <c r="CC43" s="169"/>
      <c r="CD43" s="169"/>
      <c r="CE43" s="169"/>
      <c r="CF43" s="169"/>
      <c r="CG43" s="169"/>
      <c r="CH43" s="169"/>
      <c r="CI43" s="169"/>
      <c r="CJ43" s="169"/>
      <c r="CK43" s="169"/>
      <c r="CL43" s="169"/>
      <c r="CM43" s="169"/>
      <c r="CN43" s="169"/>
      <c r="CO43" s="169"/>
      <c r="CP43" s="169"/>
      <c r="CQ43" s="169"/>
      <c r="CR43" s="169"/>
      <c r="CS43" s="169"/>
      <c r="CT43" s="169"/>
      <c r="CU43" s="169"/>
      <c r="CV43" s="169"/>
      <c r="CW43" s="169"/>
      <c r="CX43" s="169"/>
      <c r="CY43" s="169"/>
      <c r="CZ43" s="169"/>
      <c r="DA43" s="169"/>
      <c r="DB43" s="169"/>
      <c r="DC43" s="169"/>
      <c r="DD43" s="169"/>
      <c r="DE43" s="169"/>
      <c r="DF43" s="169"/>
    </row>
    <row r="44" spans="2:133" x14ac:dyDescent="0.4">
      <c r="B44" s="297"/>
      <c r="C44" s="60">
        <v>69</v>
      </c>
      <c r="D44" s="231" t="s">
        <v>263</v>
      </c>
      <c r="E44" s="196">
        <v>45888</v>
      </c>
      <c r="F44" s="196">
        <v>46043</v>
      </c>
      <c r="G44" s="197">
        <f t="shared" si="17"/>
        <v>155</v>
      </c>
      <c r="H44" s="207">
        <f t="shared" si="26"/>
        <v>45888</v>
      </c>
      <c r="I44" s="207">
        <f t="shared" si="27"/>
        <v>46043</v>
      </c>
      <c r="J44" s="200" t="s">
        <v>17</v>
      </c>
      <c r="K44" s="201">
        <v>1360</v>
      </c>
      <c r="L44" s="202"/>
      <c r="M44" s="202"/>
      <c r="N44" s="199" t="str">
        <f t="shared" si="29"/>
        <v/>
      </c>
      <c r="O44" s="203" t="str">
        <f t="shared" si="30"/>
        <v>-</v>
      </c>
      <c r="P44" s="206">
        <f t="shared" si="31"/>
        <v>0</v>
      </c>
      <c r="Q44" s="208">
        <f t="shared" si="32"/>
        <v>0</v>
      </c>
      <c r="R44" s="205">
        <f t="shared" si="33"/>
        <v>1360</v>
      </c>
      <c r="S44" s="65">
        <f t="shared" si="34"/>
        <v>0</v>
      </c>
      <c r="T44" s="158">
        <f t="shared" si="9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9"/>
      <c r="BP44" s="169"/>
      <c r="BQ44" s="169"/>
      <c r="BR44" s="169"/>
      <c r="BS44" s="169"/>
      <c r="BT44" s="169"/>
      <c r="BU44" s="169"/>
      <c r="BV44" s="169"/>
      <c r="BW44" s="169"/>
      <c r="BX44" s="169"/>
      <c r="BY44" s="169"/>
      <c r="BZ44" s="169"/>
      <c r="CA44" s="169"/>
      <c r="CB44" s="169"/>
      <c r="CC44" s="169"/>
      <c r="CD44" s="169"/>
      <c r="CE44" s="169"/>
      <c r="CF44" s="169"/>
      <c r="CG44" s="169"/>
      <c r="CH44" s="169"/>
      <c r="CI44" s="169"/>
      <c r="CJ44" s="169"/>
      <c r="CK44" s="169"/>
      <c r="CL44" s="169"/>
      <c r="CM44" s="169"/>
      <c r="CN44" s="169"/>
      <c r="CO44" s="169"/>
      <c r="CP44" s="169"/>
      <c r="CQ44" s="169"/>
      <c r="CR44" s="169"/>
      <c r="CS44" s="169"/>
      <c r="CT44" s="169"/>
      <c r="CU44" s="169"/>
      <c r="CV44" s="169"/>
      <c r="CW44" s="169"/>
      <c r="CX44" s="169"/>
      <c r="CY44" s="169"/>
      <c r="CZ44" s="169"/>
      <c r="DA44" s="169"/>
      <c r="DB44" s="169"/>
      <c r="DC44" s="169"/>
      <c r="DD44" s="169"/>
      <c r="DE44" s="169"/>
      <c r="DF44" s="169"/>
    </row>
    <row r="45" spans="2:133" ht="29" x14ac:dyDescent="0.4">
      <c r="B45" s="297"/>
      <c r="C45" s="60">
        <v>70</v>
      </c>
      <c r="D45" s="231" t="s">
        <v>264</v>
      </c>
      <c r="E45" s="196">
        <f>E44+45</f>
        <v>45933</v>
      </c>
      <c r="F45" s="196">
        <f>F44+7</f>
        <v>46050</v>
      </c>
      <c r="G45" s="197">
        <f t="shared" si="17"/>
        <v>117</v>
      </c>
      <c r="H45" s="207">
        <f t="shared" si="26"/>
        <v>45933</v>
      </c>
      <c r="I45" s="207">
        <f t="shared" si="27"/>
        <v>46050</v>
      </c>
      <c r="J45" s="200" t="s">
        <v>17</v>
      </c>
      <c r="K45" s="201">
        <v>1360</v>
      </c>
      <c r="L45" s="202"/>
      <c r="M45" s="202"/>
      <c r="N45" s="199" t="str">
        <f t="shared" si="29"/>
        <v/>
      </c>
      <c r="O45" s="203" t="str">
        <f t="shared" si="30"/>
        <v>-</v>
      </c>
      <c r="P45" s="206">
        <f t="shared" si="31"/>
        <v>0</v>
      </c>
      <c r="Q45" s="208">
        <f t="shared" si="32"/>
        <v>0</v>
      </c>
      <c r="R45" s="205">
        <f t="shared" si="33"/>
        <v>1360</v>
      </c>
      <c r="S45" s="65">
        <f t="shared" si="34"/>
        <v>0</v>
      </c>
      <c r="T45" s="158">
        <f t="shared" si="9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</row>
    <row r="46" spans="2:133" x14ac:dyDescent="0.4">
      <c r="B46" s="297"/>
      <c r="C46" s="60">
        <v>71</v>
      </c>
      <c r="D46" s="231" t="s">
        <v>438</v>
      </c>
      <c r="E46" s="196">
        <f>E44+40</f>
        <v>45928</v>
      </c>
      <c r="F46" s="196">
        <v>46051</v>
      </c>
      <c r="G46" s="197">
        <f t="shared" si="17"/>
        <v>123</v>
      </c>
      <c r="H46" s="207">
        <f t="shared" si="26"/>
        <v>45928</v>
      </c>
      <c r="I46" s="207">
        <f t="shared" si="27"/>
        <v>46051</v>
      </c>
      <c r="J46" s="200" t="s">
        <v>17</v>
      </c>
      <c r="K46" s="201">
        <v>1360</v>
      </c>
      <c r="L46" s="202"/>
      <c r="M46" s="202"/>
      <c r="N46" s="199" t="str">
        <f t="shared" si="29"/>
        <v/>
      </c>
      <c r="O46" s="203" t="str">
        <f t="shared" si="30"/>
        <v>-</v>
      </c>
      <c r="P46" s="206">
        <f t="shared" si="31"/>
        <v>0</v>
      </c>
      <c r="Q46" s="208">
        <f t="shared" si="32"/>
        <v>0</v>
      </c>
      <c r="R46" s="205">
        <f t="shared" si="33"/>
        <v>1360</v>
      </c>
      <c r="S46" s="65">
        <f t="shared" si="34"/>
        <v>0</v>
      </c>
      <c r="T46" s="158">
        <f t="shared" si="9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9"/>
      <c r="BP46" s="169"/>
      <c r="BQ46" s="169"/>
      <c r="BR46" s="169"/>
      <c r="BS46" s="169"/>
      <c r="BT46" s="169"/>
      <c r="BU46" s="169"/>
      <c r="BV46" s="169"/>
      <c r="BW46" s="169"/>
      <c r="BX46" s="169"/>
      <c r="BY46" s="169"/>
      <c r="BZ46" s="169"/>
      <c r="CA46" s="169"/>
      <c r="CB46" s="169"/>
      <c r="CC46" s="169"/>
      <c r="CD46" s="169"/>
      <c r="CE46" s="169"/>
      <c r="CF46" s="169"/>
      <c r="CG46" s="169"/>
      <c r="CH46" s="169"/>
      <c r="CI46" s="169"/>
      <c r="CJ46" s="169"/>
      <c r="CK46" s="169"/>
      <c r="CL46" s="169"/>
      <c r="CM46" s="169"/>
      <c r="CN46" s="169"/>
      <c r="CO46" s="169"/>
      <c r="CP46" s="169"/>
      <c r="CQ46" s="169"/>
      <c r="CR46" s="169"/>
      <c r="CS46" s="169"/>
      <c r="CT46" s="169"/>
      <c r="CU46" s="169"/>
      <c r="CV46" s="169"/>
      <c r="CW46" s="169"/>
      <c r="CX46" s="169"/>
      <c r="CY46" s="169"/>
      <c r="CZ46" s="169"/>
      <c r="DA46" s="169"/>
      <c r="DB46" s="169"/>
      <c r="DC46" s="169"/>
      <c r="DD46" s="169"/>
      <c r="DE46" s="169"/>
      <c r="DF46" s="169"/>
    </row>
    <row r="47" spans="2:133" x14ac:dyDescent="0.4">
      <c r="B47" s="297"/>
      <c r="C47" s="60">
        <v>72</v>
      </c>
      <c r="D47" s="231" t="s">
        <v>260</v>
      </c>
      <c r="E47" s="196">
        <v>45856</v>
      </c>
      <c r="F47" s="196">
        <v>46011</v>
      </c>
      <c r="G47" s="197">
        <f t="shared" si="17"/>
        <v>155</v>
      </c>
      <c r="H47" s="207">
        <f t="shared" si="26"/>
        <v>45856</v>
      </c>
      <c r="I47" s="207">
        <f t="shared" si="27"/>
        <v>46011</v>
      </c>
      <c r="J47" s="200" t="s">
        <v>17</v>
      </c>
      <c r="K47" s="201">
        <v>1360</v>
      </c>
      <c r="L47" s="202"/>
      <c r="M47" s="202"/>
      <c r="N47" s="199" t="str">
        <f t="shared" si="29"/>
        <v/>
      </c>
      <c r="O47" s="203" t="str">
        <f t="shared" si="30"/>
        <v>-</v>
      </c>
      <c r="P47" s="206">
        <f t="shared" si="31"/>
        <v>0</v>
      </c>
      <c r="Q47" s="208">
        <f t="shared" si="32"/>
        <v>0</v>
      </c>
      <c r="R47" s="205">
        <f t="shared" si="33"/>
        <v>1360</v>
      </c>
      <c r="S47" s="65">
        <f t="shared" si="34"/>
        <v>0</v>
      </c>
      <c r="T47" s="158">
        <f t="shared" si="9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</row>
    <row r="48" spans="2:133" x14ac:dyDescent="0.4">
      <c r="B48" s="297"/>
      <c r="C48" s="60">
        <v>73</v>
      </c>
      <c r="D48" s="231" t="s">
        <v>261</v>
      </c>
      <c r="E48" s="196">
        <v>45859</v>
      </c>
      <c r="F48" s="196">
        <v>45996</v>
      </c>
      <c r="G48" s="197">
        <f t="shared" si="17"/>
        <v>137</v>
      </c>
      <c r="H48" s="207">
        <f t="shared" si="26"/>
        <v>45859</v>
      </c>
      <c r="I48" s="207">
        <f t="shared" si="27"/>
        <v>45996</v>
      </c>
      <c r="J48" s="200" t="s">
        <v>17</v>
      </c>
      <c r="K48" s="201">
        <v>1360</v>
      </c>
      <c r="L48" s="202"/>
      <c r="M48" s="202"/>
      <c r="N48" s="199" t="str">
        <f t="shared" si="29"/>
        <v/>
      </c>
      <c r="O48" s="203" t="str">
        <f t="shared" si="30"/>
        <v>-</v>
      </c>
      <c r="P48" s="206">
        <f t="shared" si="31"/>
        <v>0</v>
      </c>
      <c r="Q48" s="208">
        <f t="shared" si="32"/>
        <v>0</v>
      </c>
      <c r="R48" s="205">
        <f t="shared" si="33"/>
        <v>1360</v>
      </c>
      <c r="S48" s="65">
        <f t="shared" si="34"/>
        <v>0</v>
      </c>
      <c r="T48" s="158">
        <f t="shared" si="9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</row>
    <row r="49" spans="2:110" x14ac:dyDescent="0.4">
      <c r="B49" s="297"/>
      <c r="C49" s="60">
        <v>74</v>
      </c>
      <c r="D49" s="231" t="s">
        <v>179</v>
      </c>
      <c r="E49" s="196">
        <f>E48+45</f>
        <v>45904</v>
      </c>
      <c r="F49" s="196">
        <v>46001</v>
      </c>
      <c r="G49" s="197">
        <f t="shared" si="17"/>
        <v>97</v>
      </c>
      <c r="H49" s="207">
        <f t="shared" si="26"/>
        <v>45904</v>
      </c>
      <c r="I49" s="207">
        <f t="shared" si="27"/>
        <v>46001</v>
      </c>
      <c r="J49" s="200" t="s">
        <v>17</v>
      </c>
      <c r="K49" s="201">
        <v>1360</v>
      </c>
      <c r="L49" s="202"/>
      <c r="M49" s="202"/>
      <c r="N49" s="199" t="str">
        <f t="shared" si="29"/>
        <v/>
      </c>
      <c r="O49" s="203" t="str">
        <f t="shared" si="30"/>
        <v>-</v>
      </c>
      <c r="P49" s="206">
        <f t="shared" si="31"/>
        <v>0</v>
      </c>
      <c r="Q49" s="208">
        <f t="shared" si="32"/>
        <v>0</v>
      </c>
      <c r="R49" s="205">
        <f t="shared" si="33"/>
        <v>1360</v>
      </c>
      <c r="S49" s="65">
        <f t="shared" si="34"/>
        <v>0</v>
      </c>
      <c r="T49" s="158">
        <f t="shared" si="9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9"/>
      <c r="BP49" s="169"/>
      <c r="BQ49" s="169"/>
      <c r="BR49" s="169"/>
      <c r="BS49" s="169"/>
      <c r="BT49" s="169"/>
      <c r="BU49" s="169"/>
      <c r="BV49" s="169"/>
      <c r="BW49" s="169"/>
      <c r="BX49" s="169"/>
      <c r="BY49" s="169"/>
      <c r="BZ49" s="169"/>
      <c r="CA49" s="169"/>
      <c r="CB49" s="169"/>
      <c r="CC49" s="169"/>
      <c r="CD49" s="169"/>
      <c r="CE49" s="169"/>
      <c r="CF49" s="169"/>
      <c r="CG49" s="169"/>
      <c r="CH49" s="169"/>
      <c r="CI49" s="169"/>
      <c r="CJ49" s="169"/>
      <c r="CK49" s="169"/>
      <c r="CL49" s="169"/>
      <c r="CM49" s="169"/>
      <c r="CN49" s="169"/>
      <c r="CO49" s="169"/>
      <c r="CP49" s="169"/>
      <c r="CQ49" s="169"/>
      <c r="CR49" s="169"/>
      <c r="CS49" s="169"/>
      <c r="CT49" s="169"/>
      <c r="CU49" s="169"/>
      <c r="CV49" s="169"/>
      <c r="CW49" s="169"/>
      <c r="CX49" s="169"/>
      <c r="CY49" s="169"/>
      <c r="CZ49" s="169"/>
      <c r="DA49" s="169"/>
      <c r="DB49" s="169"/>
      <c r="DC49" s="169"/>
      <c r="DD49" s="169"/>
      <c r="DE49" s="169"/>
      <c r="DF49" s="169"/>
    </row>
    <row r="50" spans="2:110" x14ac:dyDescent="0.4">
      <c r="B50" s="297"/>
      <c r="C50" s="60">
        <v>75</v>
      </c>
      <c r="D50" s="231" t="s">
        <v>262</v>
      </c>
      <c r="E50" s="196">
        <v>45889</v>
      </c>
      <c r="F50" s="196">
        <v>46017</v>
      </c>
      <c r="G50" s="197">
        <f t="shared" si="17"/>
        <v>128</v>
      </c>
      <c r="H50" s="207">
        <f t="shared" si="26"/>
        <v>45889</v>
      </c>
      <c r="I50" s="207">
        <f t="shared" si="27"/>
        <v>46017</v>
      </c>
      <c r="J50" s="200" t="s">
        <v>17</v>
      </c>
      <c r="K50" s="201">
        <v>1360</v>
      </c>
      <c r="L50" s="202"/>
      <c r="M50" s="202"/>
      <c r="N50" s="199" t="str">
        <f t="shared" si="29"/>
        <v/>
      </c>
      <c r="O50" s="203" t="str">
        <f t="shared" si="30"/>
        <v>-</v>
      </c>
      <c r="P50" s="206">
        <f t="shared" si="31"/>
        <v>0</v>
      </c>
      <c r="Q50" s="208">
        <f t="shared" si="32"/>
        <v>0</v>
      </c>
      <c r="R50" s="205">
        <f t="shared" si="33"/>
        <v>1360</v>
      </c>
      <c r="S50" s="65">
        <f t="shared" si="34"/>
        <v>0</v>
      </c>
      <c r="T50" s="158">
        <f t="shared" si="9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9"/>
      <c r="BP50" s="169"/>
      <c r="BQ50" s="169"/>
      <c r="BR50" s="169"/>
      <c r="BS50" s="169"/>
      <c r="BT50" s="169"/>
      <c r="BU50" s="169"/>
      <c r="BV50" s="169"/>
      <c r="BW50" s="169"/>
      <c r="BX50" s="169"/>
      <c r="BY50" s="169"/>
      <c r="BZ50" s="169"/>
      <c r="CA50" s="169"/>
      <c r="CB50" s="169"/>
      <c r="CC50" s="169"/>
      <c r="CD50" s="169"/>
      <c r="CE50" s="169"/>
      <c r="CF50" s="169"/>
      <c r="CG50" s="169"/>
      <c r="CH50" s="169"/>
      <c r="CI50" s="169"/>
      <c r="CJ50" s="169"/>
      <c r="CK50" s="169"/>
      <c r="CL50" s="169"/>
      <c r="CM50" s="169"/>
      <c r="CN50" s="169"/>
      <c r="CO50" s="169"/>
      <c r="CP50" s="169"/>
      <c r="CQ50" s="169"/>
      <c r="CR50" s="169"/>
      <c r="CS50" s="169"/>
      <c r="CT50" s="169"/>
      <c r="CU50" s="169"/>
      <c r="CV50" s="169"/>
      <c r="CW50" s="169"/>
      <c r="CX50" s="169"/>
      <c r="CY50" s="169"/>
      <c r="CZ50" s="169"/>
      <c r="DA50" s="169"/>
      <c r="DB50" s="169"/>
      <c r="DC50" s="169"/>
      <c r="DD50" s="169"/>
      <c r="DE50" s="169"/>
      <c r="DF50" s="169"/>
    </row>
    <row r="51" spans="2:110" x14ac:dyDescent="0.4">
      <c r="B51" s="297" t="s">
        <v>180</v>
      </c>
      <c r="C51" s="60">
        <v>76</v>
      </c>
      <c r="D51" s="231" t="s">
        <v>265</v>
      </c>
      <c r="E51" s="196">
        <v>45912</v>
      </c>
      <c r="F51" s="196">
        <v>45982</v>
      </c>
      <c r="G51" s="197">
        <f t="shared" si="17"/>
        <v>70</v>
      </c>
      <c r="H51" s="207">
        <f t="shared" si="26"/>
        <v>45912</v>
      </c>
      <c r="I51" s="207">
        <f t="shared" si="27"/>
        <v>45982</v>
      </c>
      <c r="J51" s="200" t="s">
        <v>107</v>
      </c>
      <c r="K51" s="201">
        <v>74</v>
      </c>
      <c r="L51" s="202"/>
      <c r="M51" s="202"/>
      <c r="N51" s="199" t="str">
        <f t="shared" si="29"/>
        <v/>
      </c>
      <c r="O51" s="203" t="str">
        <f t="shared" si="30"/>
        <v>-</v>
      </c>
      <c r="P51" s="206">
        <f t="shared" si="31"/>
        <v>0</v>
      </c>
      <c r="Q51" s="208">
        <f t="shared" si="32"/>
        <v>0</v>
      </c>
      <c r="R51" s="205">
        <f t="shared" si="33"/>
        <v>74</v>
      </c>
      <c r="S51" s="65">
        <f t="shared" si="34"/>
        <v>0</v>
      </c>
      <c r="T51" s="158">
        <f t="shared" si="9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9"/>
      <c r="BP51" s="169"/>
      <c r="BQ51" s="169"/>
      <c r="BR51" s="169"/>
      <c r="BS51" s="169"/>
      <c r="BT51" s="169"/>
      <c r="BU51" s="169"/>
      <c r="BV51" s="169"/>
      <c r="BW51" s="169"/>
      <c r="BX51" s="169"/>
      <c r="BY51" s="169"/>
      <c r="BZ51" s="169"/>
      <c r="CA51" s="169"/>
      <c r="CB51" s="169"/>
      <c r="CC51" s="169"/>
      <c r="CD51" s="169"/>
      <c r="CE51" s="169"/>
      <c r="CF51" s="169"/>
      <c r="CG51" s="169"/>
      <c r="CH51" s="169"/>
      <c r="CI51" s="169"/>
      <c r="CJ51" s="169"/>
      <c r="CK51" s="169"/>
      <c r="CL51" s="169"/>
      <c r="CM51" s="169"/>
      <c r="CN51" s="169"/>
      <c r="CO51" s="169"/>
      <c r="CP51" s="169"/>
      <c r="CQ51" s="169"/>
      <c r="CR51" s="169"/>
      <c r="CS51" s="169"/>
      <c r="CT51" s="169"/>
      <c r="CU51" s="169"/>
      <c r="CV51" s="169"/>
      <c r="CW51" s="169"/>
      <c r="CX51" s="169"/>
      <c r="CY51" s="169"/>
      <c r="CZ51" s="169"/>
      <c r="DA51" s="169"/>
      <c r="DB51" s="169"/>
      <c r="DC51" s="169"/>
      <c r="DD51" s="169"/>
      <c r="DE51" s="169"/>
      <c r="DF51" s="169"/>
    </row>
    <row r="52" spans="2:110" x14ac:dyDescent="0.4">
      <c r="B52" s="297"/>
      <c r="C52" s="60">
        <v>77</v>
      </c>
      <c r="D52" s="231" t="s">
        <v>181</v>
      </c>
      <c r="E52" s="196">
        <v>45912</v>
      </c>
      <c r="F52" s="196">
        <v>45982</v>
      </c>
      <c r="G52" s="197">
        <f t="shared" si="17"/>
        <v>70</v>
      </c>
      <c r="H52" s="207">
        <f t="shared" si="26"/>
        <v>45912</v>
      </c>
      <c r="I52" s="207">
        <f t="shared" si="27"/>
        <v>45982</v>
      </c>
      <c r="J52" s="200" t="s">
        <v>107</v>
      </c>
      <c r="K52" s="201">
        <v>26</v>
      </c>
      <c r="L52" s="202"/>
      <c r="M52" s="202"/>
      <c r="N52" s="199" t="str">
        <f t="shared" si="29"/>
        <v/>
      </c>
      <c r="O52" s="203" t="str">
        <f t="shared" si="30"/>
        <v>-</v>
      </c>
      <c r="P52" s="206">
        <f t="shared" si="31"/>
        <v>0</v>
      </c>
      <c r="Q52" s="208">
        <f t="shared" si="32"/>
        <v>0</v>
      </c>
      <c r="R52" s="205">
        <f t="shared" si="33"/>
        <v>26</v>
      </c>
      <c r="S52" s="65">
        <f t="shared" si="34"/>
        <v>0</v>
      </c>
      <c r="T52" s="158">
        <f t="shared" si="9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9"/>
      <c r="BP52" s="169"/>
      <c r="BQ52" s="169"/>
      <c r="BR52" s="169"/>
      <c r="BS52" s="169"/>
      <c r="BT52" s="169"/>
      <c r="BU52" s="169"/>
      <c r="BV52" s="169"/>
      <c r="BW52" s="169"/>
      <c r="BX52" s="169"/>
      <c r="BY52" s="169"/>
      <c r="BZ52" s="169"/>
      <c r="CA52" s="169"/>
      <c r="CB52" s="169"/>
      <c r="CC52" s="169"/>
      <c r="CD52" s="169"/>
      <c r="CE52" s="169"/>
      <c r="CF52" s="169"/>
      <c r="CG52" s="169"/>
      <c r="CH52" s="169"/>
      <c r="CI52" s="169"/>
      <c r="CJ52" s="169"/>
      <c r="CK52" s="169"/>
      <c r="CL52" s="169"/>
      <c r="CM52" s="169"/>
      <c r="CN52" s="169"/>
      <c r="CO52" s="169"/>
      <c r="CP52" s="169"/>
      <c r="CQ52" s="169"/>
      <c r="CR52" s="169"/>
      <c r="CS52" s="169"/>
      <c r="CT52" s="169"/>
      <c r="CU52" s="169"/>
      <c r="CV52" s="169"/>
      <c r="CW52" s="169"/>
      <c r="CX52" s="169"/>
      <c r="CY52" s="169"/>
      <c r="CZ52" s="169"/>
      <c r="DA52" s="169"/>
      <c r="DB52" s="169"/>
      <c r="DC52" s="169"/>
      <c r="DD52" s="169"/>
      <c r="DE52" s="169"/>
      <c r="DF52" s="169"/>
    </row>
    <row r="53" spans="2:110" x14ac:dyDescent="0.4">
      <c r="B53" s="297"/>
      <c r="C53" s="60">
        <v>78</v>
      </c>
      <c r="D53" s="231" t="s">
        <v>182</v>
      </c>
      <c r="E53" s="196">
        <v>45919</v>
      </c>
      <c r="F53" s="196">
        <v>45994</v>
      </c>
      <c r="G53" s="197">
        <f t="shared" si="17"/>
        <v>75</v>
      </c>
      <c r="H53" s="207">
        <f t="shared" si="26"/>
        <v>45919</v>
      </c>
      <c r="I53" s="207">
        <f t="shared" si="27"/>
        <v>45994</v>
      </c>
      <c r="J53" s="200" t="s">
        <v>107</v>
      </c>
      <c r="K53" s="201">
        <v>26</v>
      </c>
      <c r="L53" s="202"/>
      <c r="M53" s="202"/>
      <c r="N53" s="199" t="str">
        <f t="shared" si="29"/>
        <v/>
      </c>
      <c r="O53" s="203" t="str">
        <f t="shared" si="30"/>
        <v>-</v>
      </c>
      <c r="P53" s="206">
        <f t="shared" si="31"/>
        <v>0</v>
      </c>
      <c r="Q53" s="208">
        <f t="shared" si="32"/>
        <v>0</v>
      </c>
      <c r="R53" s="205">
        <f t="shared" si="33"/>
        <v>26</v>
      </c>
      <c r="S53" s="65">
        <f t="shared" si="34"/>
        <v>0</v>
      </c>
      <c r="T53" s="158">
        <f t="shared" si="9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9"/>
      <c r="BP53" s="169"/>
      <c r="BQ53" s="169"/>
      <c r="BR53" s="169"/>
      <c r="BS53" s="169"/>
      <c r="BT53" s="169"/>
      <c r="BU53" s="169"/>
      <c r="BV53" s="169"/>
      <c r="BW53" s="169"/>
      <c r="BX53" s="169"/>
      <c r="BY53" s="169"/>
      <c r="BZ53" s="169"/>
      <c r="CA53" s="169"/>
      <c r="CB53" s="169"/>
      <c r="CC53" s="169"/>
      <c r="CD53" s="169"/>
      <c r="CE53" s="169"/>
      <c r="CF53" s="169"/>
      <c r="CG53" s="169"/>
      <c r="CH53" s="169"/>
      <c r="CI53" s="169"/>
      <c r="CJ53" s="169"/>
      <c r="CK53" s="169"/>
      <c r="CL53" s="169"/>
      <c r="CM53" s="169"/>
      <c r="CN53" s="169"/>
      <c r="CO53" s="169"/>
      <c r="CP53" s="169"/>
      <c r="CQ53" s="169"/>
      <c r="CR53" s="169"/>
      <c r="CS53" s="169"/>
      <c r="CT53" s="169"/>
      <c r="CU53" s="169"/>
      <c r="CV53" s="169"/>
      <c r="CW53" s="169"/>
      <c r="CX53" s="169"/>
      <c r="CY53" s="169"/>
      <c r="CZ53" s="169"/>
      <c r="DA53" s="169"/>
      <c r="DB53" s="169"/>
      <c r="DC53" s="169"/>
      <c r="DD53" s="169"/>
      <c r="DE53" s="169"/>
      <c r="DF53" s="169"/>
    </row>
    <row r="54" spans="2:110" x14ac:dyDescent="0.4">
      <c r="B54" s="297"/>
      <c r="C54" s="60">
        <v>79</v>
      </c>
      <c r="D54" s="231" t="s">
        <v>183</v>
      </c>
      <c r="E54" s="196">
        <v>45919</v>
      </c>
      <c r="F54" s="196">
        <v>45959</v>
      </c>
      <c r="G54" s="197">
        <f t="shared" si="17"/>
        <v>40</v>
      </c>
      <c r="H54" s="207">
        <f t="shared" si="26"/>
        <v>45919</v>
      </c>
      <c r="I54" s="207">
        <f t="shared" si="27"/>
        <v>45959</v>
      </c>
      <c r="J54" s="200" t="s">
        <v>107</v>
      </c>
      <c r="K54" s="201">
        <v>26</v>
      </c>
      <c r="L54" s="202"/>
      <c r="M54" s="202"/>
      <c r="N54" s="199" t="str">
        <f t="shared" si="29"/>
        <v/>
      </c>
      <c r="O54" s="203" t="str">
        <f t="shared" si="30"/>
        <v>-</v>
      </c>
      <c r="P54" s="206">
        <f t="shared" si="31"/>
        <v>0</v>
      </c>
      <c r="Q54" s="208">
        <f t="shared" si="32"/>
        <v>0</v>
      </c>
      <c r="R54" s="205">
        <f t="shared" si="33"/>
        <v>26</v>
      </c>
      <c r="S54" s="65">
        <f t="shared" si="34"/>
        <v>0</v>
      </c>
      <c r="T54" s="158">
        <f t="shared" si="9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9"/>
      <c r="BP54" s="169"/>
      <c r="BQ54" s="169"/>
      <c r="BR54" s="169"/>
      <c r="BS54" s="169"/>
      <c r="BT54" s="169"/>
      <c r="BU54" s="169"/>
      <c r="BV54" s="169"/>
      <c r="BW54" s="169"/>
      <c r="BX54" s="169"/>
      <c r="BY54" s="169"/>
      <c r="BZ54" s="169"/>
      <c r="CA54" s="169"/>
      <c r="CB54" s="169"/>
      <c r="CC54" s="169"/>
      <c r="CD54" s="169"/>
      <c r="CE54" s="169"/>
      <c r="CF54" s="169"/>
      <c r="CG54" s="169"/>
      <c r="CH54" s="169"/>
      <c r="CI54" s="169"/>
      <c r="CJ54" s="169"/>
      <c r="CK54" s="169"/>
      <c r="CL54" s="169"/>
      <c r="CM54" s="169"/>
      <c r="CN54" s="169"/>
      <c r="CO54" s="169"/>
      <c r="CP54" s="169"/>
      <c r="CQ54" s="169"/>
      <c r="CR54" s="169"/>
      <c r="CS54" s="169"/>
      <c r="CT54" s="169"/>
      <c r="CU54" s="169"/>
      <c r="CV54" s="169"/>
      <c r="CW54" s="169"/>
      <c r="CX54" s="169"/>
      <c r="CY54" s="169"/>
      <c r="CZ54" s="169"/>
      <c r="DA54" s="169"/>
      <c r="DB54" s="169"/>
      <c r="DC54" s="169"/>
      <c r="DD54" s="169"/>
      <c r="DE54" s="169"/>
      <c r="DF54" s="169"/>
    </row>
    <row r="55" spans="2:110" x14ac:dyDescent="0.4">
      <c r="B55" s="297"/>
      <c r="C55" s="60">
        <v>80</v>
      </c>
      <c r="D55" s="231" t="s">
        <v>184</v>
      </c>
      <c r="E55" s="196">
        <v>45913</v>
      </c>
      <c r="F55" s="196">
        <v>45943</v>
      </c>
      <c r="G55" s="197">
        <f t="shared" si="17"/>
        <v>30</v>
      </c>
      <c r="H55" s="207">
        <f t="shared" si="26"/>
        <v>45913</v>
      </c>
      <c r="I55" s="207">
        <f t="shared" si="27"/>
        <v>45943</v>
      </c>
      <c r="J55" s="200" t="s">
        <v>107</v>
      </c>
      <c r="K55" s="201">
        <v>26</v>
      </c>
      <c r="L55" s="202"/>
      <c r="M55" s="202"/>
      <c r="N55" s="199" t="str">
        <f t="shared" si="29"/>
        <v/>
      </c>
      <c r="O55" s="203" t="str">
        <f t="shared" si="30"/>
        <v>-</v>
      </c>
      <c r="P55" s="206">
        <f t="shared" si="31"/>
        <v>0</v>
      </c>
      <c r="Q55" s="208">
        <f t="shared" si="32"/>
        <v>0</v>
      </c>
      <c r="R55" s="205">
        <f t="shared" si="33"/>
        <v>26</v>
      </c>
      <c r="S55" s="65">
        <f t="shared" si="34"/>
        <v>0</v>
      </c>
      <c r="T55" s="158">
        <f t="shared" ref="T55:T118" si="35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9"/>
      <c r="BP55" s="169"/>
      <c r="BQ55" s="169"/>
      <c r="BR55" s="169"/>
      <c r="BS55" s="169"/>
      <c r="BT55" s="169"/>
      <c r="BU55" s="169"/>
      <c r="BV55" s="169"/>
      <c r="BW55" s="169"/>
      <c r="BX55" s="169"/>
      <c r="BY55" s="169"/>
      <c r="BZ55" s="169"/>
      <c r="CA55" s="169"/>
      <c r="CB55" s="169"/>
      <c r="CC55" s="169"/>
      <c r="CD55" s="169"/>
      <c r="CE55" s="169"/>
      <c r="CF55" s="169"/>
      <c r="CG55" s="169"/>
      <c r="CH55" s="169"/>
      <c r="CI55" s="169"/>
      <c r="CJ55" s="169"/>
      <c r="CK55" s="169"/>
      <c r="CL55" s="169"/>
      <c r="CM55" s="169"/>
      <c r="CN55" s="169"/>
      <c r="CO55" s="169"/>
      <c r="CP55" s="169"/>
      <c r="CQ55" s="169"/>
      <c r="CR55" s="169"/>
      <c r="CS55" s="169"/>
      <c r="CT55" s="169"/>
      <c r="CU55" s="169"/>
      <c r="CV55" s="169"/>
      <c r="CW55" s="169"/>
      <c r="CX55" s="169"/>
      <c r="CY55" s="169"/>
      <c r="CZ55" s="169"/>
      <c r="DA55" s="169"/>
      <c r="DB55" s="169"/>
      <c r="DC55" s="169"/>
      <c r="DD55" s="169"/>
      <c r="DE55" s="169"/>
      <c r="DF55" s="169"/>
    </row>
    <row r="56" spans="2:110" x14ac:dyDescent="0.4">
      <c r="B56" s="297"/>
      <c r="C56" s="60">
        <v>82</v>
      </c>
      <c r="D56" s="231" t="s">
        <v>266</v>
      </c>
      <c r="E56" s="196">
        <v>45912</v>
      </c>
      <c r="F56" s="196">
        <v>45942</v>
      </c>
      <c r="G56" s="197">
        <f t="shared" si="17"/>
        <v>30</v>
      </c>
      <c r="H56" s="207">
        <f t="shared" si="26"/>
        <v>45912</v>
      </c>
      <c r="I56" s="207">
        <f t="shared" si="27"/>
        <v>45942</v>
      </c>
      <c r="J56" s="200" t="s">
        <v>107</v>
      </c>
      <c r="K56" s="201">
        <v>26</v>
      </c>
      <c r="L56" s="202"/>
      <c r="M56" s="202"/>
      <c r="N56" s="199" t="str">
        <f t="shared" si="29"/>
        <v/>
      </c>
      <c r="O56" s="203" t="str">
        <f t="shared" si="30"/>
        <v>-</v>
      </c>
      <c r="P56" s="206">
        <f t="shared" si="31"/>
        <v>0</v>
      </c>
      <c r="Q56" s="208">
        <f t="shared" si="32"/>
        <v>0</v>
      </c>
      <c r="R56" s="205">
        <f t="shared" si="33"/>
        <v>26</v>
      </c>
      <c r="S56" s="65">
        <f t="shared" ref="S56:S73" si="36">SUM(U56:XFD56)</f>
        <v>0</v>
      </c>
      <c r="T56" s="158">
        <f t="shared" si="35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9"/>
      <c r="BP56" s="169"/>
      <c r="BQ56" s="169"/>
      <c r="BR56" s="169"/>
      <c r="BS56" s="169"/>
      <c r="BT56" s="169"/>
      <c r="BU56" s="169"/>
      <c r="BV56" s="169"/>
      <c r="BW56" s="169"/>
      <c r="BX56" s="169"/>
      <c r="BY56" s="169"/>
      <c r="BZ56" s="169"/>
      <c r="CA56" s="169"/>
      <c r="CB56" s="169"/>
      <c r="CC56" s="169"/>
      <c r="CD56" s="169"/>
      <c r="CE56" s="169"/>
      <c r="CF56" s="169"/>
      <c r="CG56" s="169"/>
      <c r="CH56" s="169"/>
      <c r="CI56" s="169"/>
      <c r="CJ56" s="169"/>
      <c r="CK56" s="169"/>
      <c r="CL56" s="169"/>
      <c r="CM56" s="169"/>
      <c r="CN56" s="169"/>
      <c r="CO56" s="169"/>
      <c r="CP56" s="169"/>
      <c r="CQ56" s="169"/>
      <c r="CR56" s="169"/>
      <c r="CS56" s="169"/>
      <c r="CT56" s="169"/>
      <c r="CU56" s="169"/>
      <c r="CV56" s="169"/>
      <c r="CW56" s="169"/>
      <c r="CX56" s="169"/>
      <c r="CY56" s="169"/>
      <c r="CZ56" s="169"/>
      <c r="DA56" s="169"/>
      <c r="DB56" s="169"/>
      <c r="DC56" s="169"/>
      <c r="DD56" s="169"/>
      <c r="DE56" s="169"/>
      <c r="DF56" s="169"/>
    </row>
    <row r="57" spans="2:110" x14ac:dyDescent="0.4">
      <c r="B57" s="297"/>
      <c r="C57" s="60">
        <v>83</v>
      </c>
      <c r="D57" s="231" t="s">
        <v>186</v>
      </c>
      <c r="E57" s="196">
        <v>45940</v>
      </c>
      <c r="F57" s="196">
        <v>45991</v>
      </c>
      <c r="G57" s="197">
        <f t="shared" si="17"/>
        <v>51</v>
      </c>
      <c r="H57" s="207">
        <f t="shared" si="26"/>
        <v>45940</v>
      </c>
      <c r="I57" s="207">
        <f t="shared" si="27"/>
        <v>45991</v>
      </c>
      <c r="J57" s="200" t="s">
        <v>2</v>
      </c>
      <c r="K57" s="201">
        <v>26</v>
      </c>
      <c r="L57" s="202"/>
      <c r="M57" s="202"/>
      <c r="N57" s="199" t="str">
        <f t="shared" si="29"/>
        <v/>
      </c>
      <c r="O57" s="203" t="str">
        <f t="shared" si="30"/>
        <v>-</v>
      </c>
      <c r="P57" s="206">
        <f t="shared" si="31"/>
        <v>0</v>
      </c>
      <c r="Q57" s="208">
        <f t="shared" si="32"/>
        <v>0</v>
      </c>
      <c r="R57" s="205">
        <f t="shared" si="33"/>
        <v>26</v>
      </c>
      <c r="S57" s="65">
        <f t="shared" si="36"/>
        <v>0</v>
      </c>
      <c r="T57" s="158">
        <f t="shared" si="35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9"/>
      <c r="BP57" s="169"/>
      <c r="BQ57" s="169"/>
      <c r="BR57" s="169"/>
      <c r="BS57" s="169"/>
      <c r="BT57" s="169"/>
      <c r="BU57" s="169"/>
      <c r="BV57" s="169"/>
      <c r="BW57" s="169"/>
      <c r="BX57" s="169"/>
      <c r="BY57" s="169"/>
      <c r="BZ57" s="169"/>
      <c r="CA57" s="169"/>
      <c r="CB57" s="169"/>
      <c r="CC57" s="169"/>
      <c r="CD57" s="169"/>
      <c r="CE57" s="169"/>
      <c r="CF57" s="169"/>
      <c r="CG57" s="169"/>
      <c r="CH57" s="169"/>
      <c r="CI57" s="169"/>
      <c r="CJ57" s="169"/>
      <c r="CK57" s="169"/>
      <c r="CL57" s="169"/>
      <c r="CM57" s="169"/>
      <c r="CN57" s="169"/>
      <c r="CO57" s="169"/>
      <c r="CP57" s="169"/>
      <c r="CQ57" s="169"/>
      <c r="CR57" s="169"/>
      <c r="CS57" s="169"/>
      <c r="CT57" s="169"/>
      <c r="CU57" s="169"/>
      <c r="CV57" s="169"/>
      <c r="CW57" s="169"/>
      <c r="CX57" s="169"/>
      <c r="CY57" s="169"/>
      <c r="CZ57" s="169"/>
      <c r="DA57" s="169"/>
      <c r="DB57" s="169"/>
      <c r="DC57" s="169"/>
      <c r="DD57" s="169"/>
      <c r="DE57" s="169"/>
      <c r="DF57" s="169"/>
    </row>
    <row r="58" spans="2:110" x14ac:dyDescent="0.4">
      <c r="B58" s="297"/>
      <c r="C58" s="60">
        <v>84</v>
      </c>
      <c r="D58" s="231" t="s">
        <v>187</v>
      </c>
      <c r="E58" s="196">
        <v>45945</v>
      </c>
      <c r="F58" s="196">
        <v>45996</v>
      </c>
      <c r="G58" s="197">
        <f t="shared" si="17"/>
        <v>51</v>
      </c>
      <c r="H58" s="207">
        <f t="shared" si="26"/>
        <v>45945</v>
      </c>
      <c r="I58" s="207">
        <f t="shared" si="27"/>
        <v>45996</v>
      </c>
      <c r="J58" s="200" t="s">
        <v>2</v>
      </c>
      <c r="K58" s="201">
        <v>26</v>
      </c>
      <c r="L58" s="202"/>
      <c r="M58" s="202"/>
      <c r="N58" s="199" t="str">
        <f t="shared" si="29"/>
        <v/>
      </c>
      <c r="O58" s="203" t="str">
        <f t="shared" si="30"/>
        <v>-</v>
      </c>
      <c r="P58" s="206">
        <f t="shared" si="31"/>
        <v>0</v>
      </c>
      <c r="Q58" s="208">
        <f t="shared" si="32"/>
        <v>0</v>
      </c>
      <c r="R58" s="205">
        <f t="shared" si="33"/>
        <v>26</v>
      </c>
      <c r="S58" s="65">
        <f t="shared" si="36"/>
        <v>0</v>
      </c>
      <c r="T58" s="158">
        <f t="shared" si="35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9"/>
      <c r="BP58" s="169"/>
      <c r="BQ58" s="169"/>
      <c r="BR58" s="169"/>
      <c r="BS58" s="169"/>
      <c r="BT58" s="169"/>
      <c r="BU58" s="169"/>
      <c r="BV58" s="169"/>
      <c r="BW58" s="169"/>
      <c r="BX58" s="169"/>
      <c r="BY58" s="169"/>
      <c r="BZ58" s="169"/>
      <c r="CA58" s="169"/>
      <c r="CB58" s="169"/>
      <c r="CC58" s="169"/>
      <c r="CD58" s="169"/>
      <c r="CE58" s="169"/>
      <c r="CF58" s="169"/>
      <c r="CG58" s="169"/>
      <c r="CH58" s="169"/>
      <c r="CI58" s="169"/>
      <c r="CJ58" s="169"/>
      <c r="CK58" s="169"/>
      <c r="CL58" s="169"/>
      <c r="CM58" s="169"/>
      <c r="CN58" s="169"/>
      <c r="CO58" s="169"/>
      <c r="CP58" s="169"/>
      <c r="CQ58" s="169"/>
      <c r="CR58" s="169"/>
      <c r="CS58" s="169"/>
      <c r="CT58" s="169"/>
      <c r="CU58" s="169"/>
      <c r="CV58" s="169"/>
      <c r="CW58" s="169"/>
      <c r="CX58" s="169"/>
      <c r="CY58" s="169"/>
      <c r="CZ58" s="169"/>
      <c r="DA58" s="169"/>
      <c r="DB58" s="169"/>
      <c r="DC58" s="169"/>
      <c r="DD58" s="169"/>
      <c r="DE58" s="169"/>
      <c r="DF58" s="169"/>
    </row>
    <row r="59" spans="2:110" x14ac:dyDescent="0.4">
      <c r="B59" s="297"/>
      <c r="C59" s="60">
        <v>85</v>
      </c>
      <c r="D59" s="231" t="s">
        <v>188</v>
      </c>
      <c r="E59" s="196">
        <v>45931</v>
      </c>
      <c r="F59" s="196">
        <v>45979</v>
      </c>
      <c r="G59" s="197">
        <f t="shared" si="17"/>
        <v>48</v>
      </c>
      <c r="H59" s="196">
        <f t="shared" si="26"/>
        <v>45931</v>
      </c>
      <c r="I59" s="196">
        <f t="shared" si="27"/>
        <v>45979</v>
      </c>
      <c r="J59" s="200" t="s">
        <v>2</v>
      </c>
      <c r="K59" s="201">
        <v>26</v>
      </c>
      <c r="L59" s="202"/>
      <c r="M59" s="202"/>
      <c r="N59" s="199" t="str">
        <f t="shared" si="29"/>
        <v/>
      </c>
      <c r="O59" s="203" t="str">
        <f t="shared" si="30"/>
        <v>-</v>
      </c>
      <c r="P59" s="206">
        <f t="shared" si="31"/>
        <v>0</v>
      </c>
      <c r="Q59" s="208">
        <f t="shared" si="32"/>
        <v>0</v>
      </c>
      <c r="R59" s="205">
        <f t="shared" si="33"/>
        <v>26</v>
      </c>
      <c r="S59" s="65">
        <f t="shared" si="36"/>
        <v>0</v>
      </c>
      <c r="T59" s="158">
        <f t="shared" si="35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</row>
    <row r="60" spans="2:110" x14ac:dyDescent="0.4">
      <c r="B60" s="297"/>
      <c r="C60" s="60">
        <v>86</v>
      </c>
      <c r="D60" s="231" t="s">
        <v>16</v>
      </c>
      <c r="E60" s="196">
        <v>45935</v>
      </c>
      <c r="F60" s="196">
        <v>46021</v>
      </c>
      <c r="G60" s="197">
        <f t="shared" si="17"/>
        <v>86</v>
      </c>
      <c r="H60" s="196">
        <f t="shared" si="26"/>
        <v>45935</v>
      </c>
      <c r="I60" s="196">
        <f t="shared" si="27"/>
        <v>46021</v>
      </c>
      <c r="J60" s="200" t="s">
        <v>2</v>
      </c>
      <c r="K60" s="201">
        <v>26</v>
      </c>
      <c r="L60" s="202"/>
      <c r="M60" s="202"/>
      <c r="N60" s="199" t="str">
        <f t="shared" si="29"/>
        <v/>
      </c>
      <c r="O60" s="203" t="str">
        <f t="shared" si="30"/>
        <v>-</v>
      </c>
      <c r="P60" s="206">
        <f t="shared" si="31"/>
        <v>0</v>
      </c>
      <c r="Q60" s="208">
        <f t="shared" si="32"/>
        <v>0</v>
      </c>
      <c r="R60" s="205">
        <f t="shared" si="33"/>
        <v>26</v>
      </c>
      <c r="S60" s="65">
        <f t="shared" si="36"/>
        <v>0</v>
      </c>
      <c r="T60" s="158">
        <f t="shared" si="35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9"/>
      <c r="BP60" s="169"/>
      <c r="BQ60" s="169"/>
      <c r="BR60" s="169"/>
      <c r="BS60" s="169"/>
      <c r="BT60" s="169"/>
      <c r="BU60" s="169"/>
      <c r="BV60" s="169"/>
      <c r="BW60" s="169"/>
      <c r="BX60" s="169"/>
      <c r="BY60" s="169"/>
      <c r="BZ60" s="169"/>
      <c r="CA60" s="169"/>
      <c r="CB60" s="169"/>
      <c r="CC60" s="169"/>
      <c r="CD60" s="169"/>
      <c r="CE60" s="169"/>
      <c r="CF60" s="169"/>
      <c r="CG60" s="169"/>
      <c r="CH60" s="169"/>
      <c r="CI60" s="169"/>
      <c r="CJ60" s="169"/>
      <c r="CK60" s="169"/>
      <c r="CL60" s="169"/>
      <c r="CM60" s="169"/>
      <c r="CN60" s="169"/>
      <c r="CO60" s="169"/>
      <c r="CP60" s="169"/>
      <c r="CQ60" s="169"/>
      <c r="CR60" s="169"/>
      <c r="CS60" s="169"/>
      <c r="CT60" s="169"/>
      <c r="CU60" s="169"/>
      <c r="CV60" s="169"/>
      <c r="CW60" s="169"/>
      <c r="CX60" s="169"/>
      <c r="CY60" s="169"/>
      <c r="CZ60" s="169"/>
      <c r="DA60" s="169"/>
      <c r="DB60" s="169"/>
      <c r="DC60" s="169"/>
      <c r="DD60" s="169"/>
      <c r="DE60" s="169"/>
      <c r="DF60" s="169"/>
    </row>
    <row r="61" spans="2:110" x14ac:dyDescent="0.4">
      <c r="B61" s="297"/>
      <c r="C61" s="60">
        <v>87</v>
      </c>
      <c r="D61" s="231" t="s">
        <v>189</v>
      </c>
      <c r="E61" s="196">
        <v>45940</v>
      </c>
      <c r="F61" s="196">
        <v>46021</v>
      </c>
      <c r="G61" s="197">
        <f t="shared" si="17"/>
        <v>81</v>
      </c>
      <c r="H61" s="196">
        <f t="shared" si="26"/>
        <v>45940</v>
      </c>
      <c r="I61" s="196">
        <f t="shared" si="27"/>
        <v>46021</v>
      </c>
      <c r="J61" s="200" t="s">
        <v>2</v>
      </c>
      <c r="K61" s="201">
        <v>26</v>
      </c>
      <c r="L61" s="202"/>
      <c r="M61" s="202"/>
      <c r="N61" s="199" t="str">
        <f t="shared" si="29"/>
        <v/>
      </c>
      <c r="O61" s="203" t="str">
        <f t="shared" si="30"/>
        <v>-</v>
      </c>
      <c r="P61" s="206">
        <f t="shared" si="31"/>
        <v>0</v>
      </c>
      <c r="Q61" s="208">
        <f t="shared" si="32"/>
        <v>0</v>
      </c>
      <c r="R61" s="205">
        <f t="shared" si="33"/>
        <v>26</v>
      </c>
      <c r="S61" s="65">
        <f t="shared" si="36"/>
        <v>0</v>
      </c>
      <c r="T61" s="158">
        <f t="shared" si="35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9"/>
      <c r="BP61" s="169"/>
      <c r="BQ61" s="169"/>
      <c r="BR61" s="169"/>
      <c r="BS61" s="169"/>
      <c r="BT61" s="169"/>
      <c r="BU61" s="169"/>
      <c r="BV61" s="169"/>
      <c r="BW61" s="169"/>
      <c r="BX61" s="169"/>
      <c r="BY61" s="169"/>
      <c r="BZ61" s="169"/>
      <c r="CA61" s="169"/>
      <c r="CB61" s="169"/>
      <c r="CC61" s="169"/>
      <c r="CD61" s="169"/>
      <c r="CE61" s="169"/>
      <c r="CF61" s="169"/>
      <c r="CG61" s="169"/>
      <c r="CH61" s="169"/>
      <c r="CI61" s="169"/>
      <c r="CJ61" s="169"/>
      <c r="CK61" s="169"/>
      <c r="CL61" s="169"/>
      <c r="CM61" s="169"/>
      <c r="CN61" s="169"/>
      <c r="CO61" s="169"/>
      <c r="CP61" s="169"/>
      <c r="CQ61" s="169"/>
      <c r="CR61" s="169"/>
      <c r="CS61" s="169"/>
      <c r="CT61" s="169"/>
      <c r="CU61" s="169"/>
      <c r="CV61" s="169"/>
      <c r="CW61" s="169"/>
      <c r="CX61" s="169"/>
      <c r="CY61" s="169"/>
      <c r="CZ61" s="169"/>
      <c r="DA61" s="169"/>
      <c r="DB61" s="169"/>
      <c r="DC61" s="169"/>
      <c r="DD61" s="169"/>
      <c r="DE61" s="169"/>
      <c r="DF61" s="169"/>
    </row>
    <row r="62" spans="2:110" x14ac:dyDescent="0.4">
      <c r="B62" s="297"/>
      <c r="C62" s="60">
        <v>88</v>
      </c>
      <c r="D62" s="231" t="s">
        <v>179</v>
      </c>
      <c r="E62" s="196">
        <v>45986</v>
      </c>
      <c r="F62" s="196">
        <v>46027</v>
      </c>
      <c r="G62" s="197">
        <f t="shared" si="17"/>
        <v>41</v>
      </c>
      <c r="H62" s="196">
        <f t="shared" ref="H62:H91" si="37">E62</f>
        <v>45986</v>
      </c>
      <c r="I62" s="196">
        <f t="shared" ref="I62:I91" si="38">F62</f>
        <v>46027</v>
      </c>
      <c r="J62" s="200" t="s">
        <v>2</v>
      </c>
      <c r="K62" s="201">
        <v>26</v>
      </c>
      <c r="L62" s="202"/>
      <c r="M62" s="202"/>
      <c r="N62" s="199" t="str">
        <f t="shared" si="29"/>
        <v/>
      </c>
      <c r="O62" s="203" t="str">
        <f t="shared" si="30"/>
        <v>-</v>
      </c>
      <c r="P62" s="206">
        <f t="shared" si="31"/>
        <v>0</v>
      </c>
      <c r="Q62" s="208">
        <f t="shared" si="32"/>
        <v>0</v>
      </c>
      <c r="R62" s="205">
        <f t="shared" si="33"/>
        <v>26</v>
      </c>
      <c r="S62" s="65">
        <f t="shared" si="36"/>
        <v>0</v>
      </c>
      <c r="T62" s="158">
        <f t="shared" si="35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9"/>
      <c r="BP62" s="169"/>
      <c r="BQ62" s="169"/>
      <c r="BR62" s="169"/>
      <c r="BS62" s="169"/>
      <c r="BT62" s="169"/>
      <c r="BU62" s="169"/>
      <c r="BV62" s="169"/>
      <c r="BW62" s="169"/>
      <c r="BX62" s="169"/>
      <c r="BY62" s="169"/>
      <c r="BZ62" s="169"/>
      <c r="CA62" s="169"/>
      <c r="CB62" s="169"/>
      <c r="CC62" s="169"/>
      <c r="CD62" s="169"/>
      <c r="CE62" s="169"/>
      <c r="CF62" s="169"/>
      <c r="CG62" s="169"/>
      <c r="CH62" s="169"/>
      <c r="CI62" s="169"/>
      <c r="CJ62" s="169"/>
      <c r="CK62" s="169"/>
      <c r="CL62" s="169"/>
      <c r="CM62" s="169"/>
      <c r="CN62" s="169"/>
      <c r="CO62" s="169"/>
      <c r="CP62" s="169"/>
      <c r="CQ62" s="169"/>
      <c r="CR62" s="169"/>
      <c r="CS62" s="169"/>
      <c r="CT62" s="169"/>
      <c r="CU62" s="169"/>
      <c r="CV62" s="169"/>
      <c r="CW62" s="169"/>
      <c r="CX62" s="169"/>
      <c r="CY62" s="169"/>
      <c r="CZ62" s="169"/>
      <c r="DA62" s="169"/>
      <c r="DB62" s="169"/>
      <c r="DC62" s="169"/>
      <c r="DD62" s="169"/>
      <c r="DE62" s="169"/>
      <c r="DF62" s="169"/>
    </row>
    <row r="63" spans="2:110" x14ac:dyDescent="0.4">
      <c r="B63" s="297" t="s">
        <v>190</v>
      </c>
      <c r="C63" s="60">
        <v>89</v>
      </c>
      <c r="D63" s="231" t="s">
        <v>191</v>
      </c>
      <c r="E63" s="196">
        <v>45950</v>
      </c>
      <c r="F63" s="196">
        <v>45976</v>
      </c>
      <c r="G63" s="197">
        <f t="shared" si="17"/>
        <v>26</v>
      </c>
      <c r="H63" s="196">
        <f t="shared" si="37"/>
        <v>45950</v>
      </c>
      <c r="I63" s="196">
        <f t="shared" si="38"/>
        <v>45976</v>
      </c>
      <c r="J63" s="200" t="s">
        <v>11</v>
      </c>
      <c r="K63" s="201">
        <v>1</v>
      </c>
      <c r="L63" s="202"/>
      <c r="M63" s="202"/>
      <c r="N63" s="199" t="str">
        <f t="shared" si="29"/>
        <v/>
      </c>
      <c r="O63" s="203" t="str">
        <f t="shared" si="30"/>
        <v>-</v>
      </c>
      <c r="P63" s="206">
        <f t="shared" si="31"/>
        <v>0</v>
      </c>
      <c r="Q63" s="208">
        <f t="shared" si="32"/>
        <v>0</v>
      </c>
      <c r="R63" s="205">
        <f t="shared" si="33"/>
        <v>1</v>
      </c>
      <c r="S63" s="65">
        <f t="shared" si="36"/>
        <v>0</v>
      </c>
      <c r="T63" s="158">
        <f t="shared" si="35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9"/>
      <c r="BP63" s="169"/>
      <c r="BQ63" s="169"/>
      <c r="BR63" s="169"/>
      <c r="BS63" s="169"/>
      <c r="BT63" s="169"/>
      <c r="BU63" s="169"/>
      <c r="BV63" s="169"/>
      <c r="BW63" s="169"/>
      <c r="BX63" s="169"/>
      <c r="BY63" s="169"/>
      <c r="BZ63" s="169"/>
      <c r="CA63" s="169"/>
      <c r="CB63" s="169"/>
      <c r="CC63" s="169"/>
      <c r="CD63" s="169"/>
      <c r="CE63" s="169"/>
      <c r="CF63" s="169"/>
      <c r="CG63" s="169"/>
      <c r="CH63" s="169"/>
      <c r="CI63" s="169"/>
      <c r="CJ63" s="169"/>
      <c r="CK63" s="169"/>
      <c r="CL63" s="169"/>
      <c r="CM63" s="169"/>
      <c r="CN63" s="169"/>
      <c r="CO63" s="169"/>
      <c r="CP63" s="169"/>
      <c r="CQ63" s="169"/>
      <c r="CR63" s="169"/>
      <c r="CS63" s="169"/>
      <c r="CT63" s="169"/>
      <c r="CU63" s="169"/>
      <c r="CV63" s="169"/>
      <c r="CW63" s="169"/>
      <c r="CX63" s="169"/>
      <c r="CY63" s="169"/>
      <c r="CZ63" s="169"/>
      <c r="DA63" s="169"/>
      <c r="DB63" s="169"/>
      <c r="DC63" s="169"/>
      <c r="DD63" s="169"/>
      <c r="DE63" s="169"/>
      <c r="DF63" s="169"/>
    </row>
    <row r="64" spans="2:110" x14ac:dyDescent="0.4">
      <c r="B64" s="297"/>
      <c r="C64" s="60">
        <v>90</v>
      </c>
      <c r="D64" s="231" t="s">
        <v>192</v>
      </c>
      <c r="E64" s="196">
        <v>45919</v>
      </c>
      <c r="F64" s="196">
        <v>45959</v>
      </c>
      <c r="G64" s="197">
        <f t="shared" si="17"/>
        <v>40</v>
      </c>
      <c r="H64" s="196">
        <f t="shared" si="37"/>
        <v>45919</v>
      </c>
      <c r="I64" s="196">
        <f t="shared" si="38"/>
        <v>45959</v>
      </c>
      <c r="J64" s="200" t="s">
        <v>11</v>
      </c>
      <c r="K64" s="201">
        <v>1</v>
      </c>
      <c r="L64" s="202"/>
      <c r="M64" s="202"/>
      <c r="N64" s="199" t="str">
        <f t="shared" si="29"/>
        <v/>
      </c>
      <c r="O64" s="203" t="str">
        <f t="shared" si="30"/>
        <v>-</v>
      </c>
      <c r="P64" s="206">
        <f t="shared" si="31"/>
        <v>0</v>
      </c>
      <c r="Q64" s="208">
        <f t="shared" si="32"/>
        <v>0</v>
      </c>
      <c r="R64" s="205">
        <f t="shared" si="33"/>
        <v>1</v>
      </c>
      <c r="S64" s="65">
        <f t="shared" si="36"/>
        <v>0</v>
      </c>
      <c r="T64" s="158">
        <f t="shared" si="35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9"/>
      <c r="BP64" s="169"/>
      <c r="BQ64" s="169"/>
      <c r="BR64" s="169"/>
      <c r="BS64" s="169"/>
      <c r="BT64" s="169"/>
      <c r="BU64" s="169"/>
      <c r="BV64" s="169"/>
      <c r="BW64" s="169"/>
      <c r="BX64" s="169"/>
      <c r="BY64" s="169"/>
      <c r="BZ64" s="169"/>
      <c r="CA64" s="169"/>
      <c r="CB64" s="169"/>
      <c r="CC64" s="169"/>
      <c r="CD64" s="169"/>
      <c r="CE64" s="169"/>
      <c r="CF64" s="169"/>
      <c r="CG64" s="169"/>
      <c r="CH64" s="169"/>
      <c r="CI64" s="169"/>
      <c r="CJ64" s="169"/>
      <c r="CK64" s="169"/>
      <c r="CL64" s="169"/>
      <c r="CM64" s="169"/>
      <c r="CN64" s="169"/>
      <c r="CO64" s="169"/>
      <c r="CP64" s="169"/>
      <c r="CQ64" s="169"/>
      <c r="CR64" s="169"/>
      <c r="CS64" s="169"/>
      <c r="CT64" s="169"/>
      <c r="CU64" s="169"/>
      <c r="CV64" s="169"/>
      <c r="CW64" s="169"/>
      <c r="CX64" s="169"/>
      <c r="CY64" s="169"/>
      <c r="CZ64" s="169"/>
      <c r="DA64" s="169"/>
      <c r="DB64" s="169"/>
      <c r="DC64" s="169"/>
      <c r="DD64" s="169"/>
      <c r="DE64" s="169"/>
      <c r="DF64" s="169"/>
    </row>
    <row r="65" spans="2:110" x14ac:dyDescent="0.4">
      <c r="B65" s="297"/>
      <c r="C65" s="60">
        <v>91</v>
      </c>
      <c r="D65" s="231" t="s">
        <v>193</v>
      </c>
      <c r="E65" s="196">
        <v>45935</v>
      </c>
      <c r="F65" s="196">
        <v>45971</v>
      </c>
      <c r="G65" s="197">
        <f t="shared" si="17"/>
        <v>36</v>
      </c>
      <c r="H65" s="196">
        <f t="shared" si="37"/>
        <v>45935</v>
      </c>
      <c r="I65" s="196">
        <f t="shared" si="38"/>
        <v>45971</v>
      </c>
      <c r="J65" s="200" t="s">
        <v>11</v>
      </c>
      <c r="K65" s="201">
        <v>1</v>
      </c>
      <c r="L65" s="202"/>
      <c r="M65" s="202"/>
      <c r="N65" s="199" t="str">
        <f t="shared" si="29"/>
        <v/>
      </c>
      <c r="O65" s="203" t="str">
        <f t="shared" si="30"/>
        <v>-</v>
      </c>
      <c r="P65" s="206">
        <f t="shared" si="31"/>
        <v>0</v>
      </c>
      <c r="Q65" s="208">
        <f t="shared" si="32"/>
        <v>0</v>
      </c>
      <c r="R65" s="205">
        <f t="shared" si="33"/>
        <v>1</v>
      </c>
      <c r="S65" s="65">
        <f t="shared" si="36"/>
        <v>0</v>
      </c>
      <c r="T65" s="158">
        <f t="shared" si="35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9"/>
      <c r="BP65" s="169"/>
      <c r="BQ65" s="169"/>
      <c r="BR65" s="169"/>
      <c r="BS65" s="169"/>
      <c r="BT65" s="169"/>
      <c r="BU65" s="169"/>
      <c r="BV65" s="169"/>
      <c r="BW65" s="169"/>
      <c r="BX65" s="169"/>
      <c r="BY65" s="169"/>
      <c r="BZ65" s="169"/>
      <c r="CA65" s="169"/>
      <c r="CB65" s="169"/>
      <c r="CC65" s="169"/>
      <c r="CD65" s="169"/>
      <c r="CE65" s="169"/>
      <c r="CF65" s="169"/>
      <c r="CG65" s="169"/>
      <c r="CH65" s="169"/>
      <c r="CI65" s="169"/>
      <c r="CJ65" s="169"/>
      <c r="CK65" s="169"/>
      <c r="CL65" s="169"/>
      <c r="CM65" s="169"/>
      <c r="CN65" s="169"/>
      <c r="CO65" s="169"/>
      <c r="CP65" s="169"/>
      <c r="CQ65" s="169"/>
      <c r="CR65" s="169"/>
      <c r="CS65" s="169"/>
      <c r="CT65" s="169"/>
      <c r="CU65" s="169"/>
      <c r="CV65" s="169"/>
      <c r="CW65" s="169"/>
      <c r="CX65" s="169"/>
      <c r="CY65" s="169"/>
      <c r="CZ65" s="169"/>
      <c r="DA65" s="169"/>
      <c r="DB65" s="169"/>
      <c r="DC65" s="169"/>
      <c r="DD65" s="169"/>
      <c r="DE65" s="169"/>
      <c r="DF65" s="169"/>
    </row>
    <row r="66" spans="2:110" ht="29" x14ac:dyDescent="0.4">
      <c r="B66" s="297"/>
      <c r="C66" s="60">
        <v>92</v>
      </c>
      <c r="D66" s="231" t="s">
        <v>194</v>
      </c>
      <c r="E66" s="196">
        <v>45996</v>
      </c>
      <c r="F66" s="196">
        <v>46027</v>
      </c>
      <c r="G66" s="197">
        <f t="shared" si="17"/>
        <v>31</v>
      </c>
      <c r="H66" s="196">
        <f t="shared" si="37"/>
        <v>45996</v>
      </c>
      <c r="I66" s="196">
        <f t="shared" si="38"/>
        <v>46027</v>
      </c>
      <c r="J66" s="200" t="s">
        <v>11</v>
      </c>
      <c r="K66" s="201">
        <v>1</v>
      </c>
      <c r="L66" s="202"/>
      <c r="M66" s="202"/>
      <c r="N66" s="199" t="str">
        <f t="shared" si="29"/>
        <v/>
      </c>
      <c r="O66" s="203" t="str">
        <f t="shared" si="30"/>
        <v>-</v>
      </c>
      <c r="P66" s="206">
        <f t="shared" si="31"/>
        <v>0</v>
      </c>
      <c r="Q66" s="208">
        <f t="shared" si="32"/>
        <v>0</v>
      </c>
      <c r="R66" s="205">
        <f t="shared" si="33"/>
        <v>1</v>
      </c>
      <c r="S66" s="65">
        <f t="shared" si="36"/>
        <v>0</v>
      </c>
      <c r="T66" s="158">
        <f t="shared" si="35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9"/>
      <c r="BP66" s="169"/>
      <c r="BQ66" s="169"/>
      <c r="BR66" s="169"/>
      <c r="BS66" s="169"/>
      <c r="BT66" s="169"/>
      <c r="BU66" s="169"/>
      <c r="BV66" s="169"/>
      <c r="BW66" s="169"/>
      <c r="BX66" s="169"/>
      <c r="BY66" s="169"/>
      <c r="BZ66" s="169"/>
      <c r="CA66" s="169"/>
      <c r="CB66" s="169"/>
      <c r="CC66" s="169"/>
      <c r="CD66" s="169"/>
      <c r="CE66" s="169"/>
      <c r="CF66" s="169"/>
      <c r="CG66" s="169"/>
      <c r="CH66" s="169"/>
      <c r="CI66" s="169"/>
      <c r="CJ66" s="169"/>
      <c r="CK66" s="169"/>
      <c r="CL66" s="169"/>
      <c r="CM66" s="169"/>
      <c r="CN66" s="169"/>
      <c r="CO66" s="169"/>
      <c r="CP66" s="169"/>
      <c r="CQ66" s="169"/>
      <c r="CR66" s="169"/>
      <c r="CS66" s="169"/>
      <c r="CT66" s="169"/>
      <c r="CU66" s="169"/>
      <c r="CV66" s="169"/>
      <c r="CW66" s="169"/>
      <c r="CX66" s="169"/>
      <c r="CY66" s="169"/>
      <c r="CZ66" s="169"/>
      <c r="DA66" s="169"/>
      <c r="DB66" s="169"/>
      <c r="DC66" s="169"/>
      <c r="DD66" s="169"/>
      <c r="DE66" s="169"/>
      <c r="DF66" s="169"/>
    </row>
    <row r="67" spans="2:110" x14ac:dyDescent="0.4">
      <c r="B67" s="297"/>
      <c r="C67" s="60">
        <v>93</v>
      </c>
      <c r="D67" s="231" t="s">
        <v>430</v>
      </c>
      <c r="E67" s="196">
        <v>46024</v>
      </c>
      <c r="F67" s="196">
        <v>46042</v>
      </c>
      <c r="G67" s="197">
        <f t="shared" si="17"/>
        <v>18</v>
      </c>
      <c r="H67" s="196">
        <f t="shared" si="37"/>
        <v>46024</v>
      </c>
      <c r="I67" s="196">
        <f t="shared" si="38"/>
        <v>46042</v>
      </c>
      <c r="J67" s="200" t="s">
        <v>11</v>
      </c>
      <c r="K67" s="201">
        <v>1</v>
      </c>
      <c r="L67" s="202"/>
      <c r="M67" s="202"/>
      <c r="N67" s="199" t="str">
        <f t="shared" si="29"/>
        <v/>
      </c>
      <c r="O67" s="203" t="str">
        <f t="shared" si="30"/>
        <v>-</v>
      </c>
      <c r="P67" s="206">
        <f t="shared" si="31"/>
        <v>0</v>
      </c>
      <c r="Q67" s="208">
        <f t="shared" si="32"/>
        <v>0</v>
      </c>
      <c r="R67" s="205">
        <f t="shared" si="33"/>
        <v>1</v>
      </c>
      <c r="S67" s="65">
        <f t="shared" si="36"/>
        <v>0</v>
      </c>
      <c r="T67" s="158">
        <f t="shared" si="35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9"/>
      <c r="BP67" s="169"/>
      <c r="BQ67" s="169"/>
      <c r="BR67" s="169"/>
      <c r="BS67" s="169"/>
      <c r="BT67" s="169"/>
      <c r="BU67" s="169"/>
      <c r="BV67" s="169"/>
      <c r="BW67" s="169"/>
      <c r="BX67" s="169"/>
      <c r="BY67" s="169"/>
      <c r="BZ67" s="169"/>
      <c r="CA67" s="169"/>
      <c r="CB67" s="169"/>
      <c r="CC67" s="169"/>
      <c r="CD67" s="169"/>
      <c r="CE67" s="169"/>
      <c r="CF67" s="169"/>
      <c r="CG67" s="169"/>
      <c r="CH67" s="169"/>
      <c r="CI67" s="169"/>
      <c r="CJ67" s="169"/>
      <c r="CK67" s="169"/>
      <c r="CL67" s="169"/>
      <c r="CM67" s="169"/>
      <c r="CN67" s="169"/>
      <c r="CO67" s="169"/>
      <c r="CP67" s="169"/>
      <c r="CQ67" s="169"/>
      <c r="CR67" s="169"/>
      <c r="CS67" s="169"/>
      <c r="CT67" s="169"/>
      <c r="CU67" s="169"/>
      <c r="CV67" s="169"/>
      <c r="CW67" s="169"/>
      <c r="CX67" s="169"/>
      <c r="CY67" s="169"/>
      <c r="CZ67" s="169"/>
      <c r="DA67" s="169"/>
      <c r="DB67" s="169"/>
      <c r="DC67" s="169"/>
      <c r="DD67" s="169"/>
      <c r="DE67" s="169"/>
      <c r="DF67" s="169"/>
    </row>
    <row r="68" spans="2:110" ht="29" x14ac:dyDescent="0.4">
      <c r="B68" s="297"/>
      <c r="C68" s="60">
        <v>94</v>
      </c>
      <c r="D68" s="231" t="s">
        <v>196</v>
      </c>
      <c r="E68" s="196">
        <v>46016</v>
      </c>
      <c r="F68" s="196">
        <f>E68+8</f>
        <v>46024</v>
      </c>
      <c r="G68" s="197">
        <f t="shared" si="17"/>
        <v>8</v>
      </c>
      <c r="H68" s="196">
        <f t="shared" si="37"/>
        <v>46016</v>
      </c>
      <c r="I68" s="196">
        <f t="shared" si="38"/>
        <v>46024</v>
      </c>
      <c r="J68" s="200" t="s">
        <v>11</v>
      </c>
      <c r="K68" s="201">
        <v>1</v>
      </c>
      <c r="L68" s="202"/>
      <c r="M68" s="202"/>
      <c r="N68" s="199" t="str">
        <f t="shared" si="29"/>
        <v/>
      </c>
      <c r="O68" s="203" t="str">
        <f t="shared" si="30"/>
        <v>-</v>
      </c>
      <c r="P68" s="206">
        <f t="shared" si="31"/>
        <v>0</v>
      </c>
      <c r="Q68" s="208">
        <f t="shared" si="32"/>
        <v>0</v>
      </c>
      <c r="R68" s="205">
        <f t="shared" si="33"/>
        <v>1</v>
      </c>
      <c r="S68" s="65">
        <f t="shared" si="36"/>
        <v>0</v>
      </c>
      <c r="T68" s="158">
        <f t="shared" si="35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9"/>
      <c r="BP68" s="169"/>
      <c r="BQ68" s="169"/>
      <c r="BR68" s="169"/>
      <c r="BS68" s="169"/>
      <c r="BT68" s="169"/>
      <c r="BU68" s="169"/>
      <c r="BV68" s="169"/>
      <c r="BW68" s="169"/>
      <c r="BX68" s="169"/>
      <c r="BY68" s="169"/>
      <c r="BZ68" s="169"/>
      <c r="CA68" s="169"/>
      <c r="CB68" s="169"/>
      <c r="CC68" s="169"/>
      <c r="CD68" s="169"/>
      <c r="CE68" s="169"/>
      <c r="CF68" s="169"/>
      <c r="CG68" s="169"/>
      <c r="CH68" s="169"/>
      <c r="CI68" s="169"/>
      <c r="CJ68" s="169"/>
      <c r="CK68" s="169"/>
      <c r="CL68" s="169"/>
      <c r="CM68" s="169"/>
      <c r="CN68" s="169"/>
      <c r="CO68" s="169"/>
      <c r="CP68" s="169"/>
      <c r="CQ68" s="169"/>
      <c r="CR68" s="169"/>
      <c r="CS68" s="169"/>
      <c r="CT68" s="169"/>
      <c r="CU68" s="169"/>
      <c r="CV68" s="169"/>
      <c r="CW68" s="169"/>
      <c r="CX68" s="169"/>
      <c r="CY68" s="169"/>
      <c r="CZ68" s="169"/>
      <c r="DA68" s="169"/>
      <c r="DB68" s="169"/>
      <c r="DC68" s="169"/>
      <c r="DD68" s="169"/>
      <c r="DE68" s="169"/>
      <c r="DF68" s="169"/>
    </row>
    <row r="69" spans="2:110" ht="29" x14ac:dyDescent="0.4">
      <c r="B69" s="297"/>
      <c r="C69" s="60">
        <v>95</v>
      </c>
      <c r="D69" s="231" t="s">
        <v>197</v>
      </c>
      <c r="E69" s="196">
        <v>46011</v>
      </c>
      <c r="F69" s="196">
        <f>E69+8</f>
        <v>46019</v>
      </c>
      <c r="G69" s="197">
        <f t="shared" si="17"/>
        <v>8</v>
      </c>
      <c r="H69" s="196">
        <f t="shared" si="37"/>
        <v>46011</v>
      </c>
      <c r="I69" s="196">
        <f t="shared" si="38"/>
        <v>46019</v>
      </c>
      <c r="J69" s="200" t="s">
        <v>11</v>
      </c>
      <c r="K69" s="201">
        <v>1</v>
      </c>
      <c r="L69" s="202"/>
      <c r="M69" s="202"/>
      <c r="N69" s="199" t="str">
        <f t="shared" si="29"/>
        <v/>
      </c>
      <c r="O69" s="203" t="str">
        <f t="shared" si="30"/>
        <v>-</v>
      </c>
      <c r="P69" s="206">
        <f t="shared" si="31"/>
        <v>0</v>
      </c>
      <c r="Q69" s="208">
        <f t="shared" si="32"/>
        <v>0</v>
      </c>
      <c r="R69" s="205">
        <f t="shared" si="33"/>
        <v>1</v>
      </c>
      <c r="S69" s="65">
        <f t="shared" si="36"/>
        <v>0</v>
      </c>
      <c r="T69" s="158">
        <f t="shared" si="35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9"/>
      <c r="BP69" s="169"/>
      <c r="BQ69" s="169"/>
      <c r="BR69" s="169"/>
      <c r="BS69" s="169"/>
      <c r="BT69" s="169"/>
      <c r="BU69" s="169"/>
      <c r="BV69" s="169"/>
      <c r="BW69" s="169"/>
      <c r="BX69" s="169"/>
      <c r="BY69" s="169"/>
      <c r="BZ69" s="169"/>
      <c r="CA69" s="169"/>
      <c r="CB69" s="169"/>
      <c r="CC69" s="169"/>
      <c r="CD69" s="169"/>
      <c r="CE69" s="169"/>
      <c r="CF69" s="169"/>
      <c r="CG69" s="169"/>
      <c r="CH69" s="169"/>
      <c r="CI69" s="169"/>
      <c r="CJ69" s="169"/>
      <c r="CK69" s="169"/>
      <c r="CL69" s="169"/>
      <c r="CM69" s="169"/>
      <c r="CN69" s="169"/>
      <c r="CO69" s="169"/>
      <c r="CP69" s="169"/>
      <c r="CQ69" s="169"/>
      <c r="CR69" s="169"/>
      <c r="CS69" s="169"/>
      <c r="CT69" s="169"/>
      <c r="CU69" s="169"/>
      <c r="CV69" s="169"/>
      <c r="CW69" s="169"/>
      <c r="CX69" s="169"/>
      <c r="CY69" s="169"/>
      <c r="CZ69" s="169"/>
      <c r="DA69" s="169"/>
      <c r="DB69" s="169"/>
      <c r="DC69" s="169"/>
      <c r="DD69" s="169"/>
      <c r="DE69" s="169"/>
      <c r="DF69" s="169"/>
    </row>
    <row r="70" spans="2:110" x14ac:dyDescent="0.4">
      <c r="B70" s="297"/>
      <c r="C70" s="60">
        <v>96</v>
      </c>
      <c r="D70" s="231" t="s">
        <v>198</v>
      </c>
      <c r="E70" s="196">
        <f>F69</f>
        <v>46019</v>
      </c>
      <c r="F70" s="196">
        <f>E70+8</f>
        <v>46027</v>
      </c>
      <c r="G70" s="197">
        <f t="shared" si="17"/>
        <v>8</v>
      </c>
      <c r="H70" s="196">
        <f t="shared" si="37"/>
        <v>46019</v>
      </c>
      <c r="I70" s="196">
        <f t="shared" si="38"/>
        <v>46027</v>
      </c>
      <c r="J70" s="200" t="s">
        <v>11</v>
      </c>
      <c r="K70" s="201">
        <v>1</v>
      </c>
      <c r="L70" s="202"/>
      <c r="M70" s="202"/>
      <c r="N70" s="199" t="str">
        <f t="shared" si="29"/>
        <v/>
      </c>
      <c r="O70" s="203" t="str">
        <f t="shared" si="30"/>
        <v>-</v>
      </c>
      <c r="P70" s="206">
        <f t="shared" si="31"/>
        <v>0</v>
      </c>
      <c r="Q70" s="208">
        <f t="shared" si="32"/>
        <v>0</v>
      </c>
      <c r="R70" s="205">
        <f t="shared" si="33"/>
        <v>1</v>
      </c>
      <c r="S70" s="65">
        <f t="shared" si="36"/>
        <v>0</v>
      </c>
      <c r="T70" s="158">
        <f t="shared" si="35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9"/>
      <c r="BP70" s="169"/>
      <c r="BQ70" s="169"/>
      <c r="BR70" s="169"/>
      <c r="BS70" s="169"/>
      <c r="BT70" s="169"/>
      <c r="BU70" s="169"/>
      <c r="BV70" s="169"/>
      <c r="BW70" s="169"/>
      <c r="BX70" s="169"/>
      <c r="BY70" s="169"/>
      <c r="BZ70" s="169"/>
      <c r="CA70" s="169"/>
      <c r="CB70" s="169"/>
      <c r="CC70" s="169"/>
      <c r="CD70" s="169"/>
      <c r="CE70" s="169"/>
      <c r="CF70" s="169"/>
      <c r="CG70" s="169"/>
      <c r="CH70" s="169"/>
      <c r="CI70" s="169"/>
      <c r="CJ70" s="169"/>
      <c r="CK70" s="169"/>
      <c r="CL70" s="169"/>
      <c r="CM70" s="169"/>
      <c r="CN70" s="169"/>
      <c r="CO70" s="169"/>
      <c r="CP70" s="169"/>
      <c r="CQ70" s="169"/>
      <c r="CR70" s="169"/>
      <c r="CS70" s="169"/>
      <c r="CT70" s="169"/>
      <c r="CU70" s="169"/>
      <c r="CV70" s="169"/>
      <c r="CW70" s="169"/>
      <c r="CX70" s="169"/>
      <c r="CY70" s="169"/>
      <c r="CZ70" s="169"/>
      <c r="DA70" s="169"/>
      <c r="DB70" s="169"/>
      <c r="DC70" s="169"/>
      <c r="DD70" s="169"/>
      <c r="DE70" s="169"/>
      <c r="DF70" s="169"/>
    </row>
    <row r="71" spans="2:110" x14ac:dyDescent="0.4">
      <c r="B71" s="297"/>
      <c r="C71" s="60">
        <v>97</v>
      </c>
      <c r="D71" s="231" t="s">
        <v>199</v>
      </c>
      <c r="E71" s="196">
        <v>46016</v>
      </c>
      <c r="F71" s="196">
        <v>46027</v>
      </c>
      <c r="G71" s="197">
        <f t="shared" si="17"/>
        <v>11</v>
      </c>
      <c r="H71" s="196">
        <f t="shared" si="37"/>
        <v>46016</v>
      </c>
      <c r="I71" s="196">
        <f t="shared" si="38"/>
        <v>46027</v>
      </c>
      <c r="J71" s="200" t="s">
        <v>11</v>
      </c>
      <c r="K71" s="201">
        <v>1</v>
      </c>
      <c r="L71" s="202"/>
      <c r="M71" s="202"/>
      <c r="N71" s="199" t="str">
        <f t="shared" si="29"/>
        <v/>
      </c>
      <c r="O71" s="203" t="str">
        <f t="shared" si="30"/>
        <v>-</v>
      </c>
      <c r="P71" s="206">
        <f t="shared" si="31"/>
        <v>0</v>
      </c>
      <c r="Q71" s="208">
        <f t="shared" si="32"/>
        <v>0</v>
      </c>
      <c r="R71" s="205">
        <f t="shared" si="33"/>
        <v>1</v>
      </c>
      <c r="S71" s="65">
        <f t="shared" si="36"/>
        <v>0</v>
      </c>
      <c r="T71" s="158">
        <f t="shared" si="35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9"/>
      <c r="BP71" s="169"/>
      <c r="BQ71" s="169"/>
      <c r="BR71" s="169"/>
      <c r="BS71" s="169"/>
      <c r="BT71" s="169"/>
      <c r="BU71" s="169"/>
      <c r="BV71" s="169"/>
      <c r="BW71" s="169"/>
      <c r="BX71" s="169"/>
      <c r="BY71" s="169"/>
      <c r="BZ71" s="169"/>
      <c r="CA71" s="169"/>
      <c r="CB71" s="169"/>
      <c r="CC71" s="169"/>
      <c r="CD71" s="169"/>
      <c r="CE71" s="169"/>
      <c r="CF71" s="169"/>
      <c r="CG71" s="169"/>
      <c r="CH71" s="169"/>
      <c r="CI71" s="169"/>
      <c r="CJ71" s="169"/>
      <c r="CK71" s="169"/>
      <c r="CL71" s="169"/>
      <c r="CM71" s="169"/>
      <c r="CN71" s="169"/>
      <c r="CO71" s="169"/>
      <c r="CP71" s="169"/>
      <c r="CQ71" s="169"/>
      <c r="CR71" s="169"/>
      <c r="CS71" s="169"/>
      <c r="CT71" s="169"/>
      <c r="CU71" s="169"/>
      <c r="CV71" s="169"/>
      <c r="CW71" s="169"/>
      <c r="CX71" s="169"/>
      <c r="CY71" s="169"/>
      <c r="CZ71" s="169"/>
      <c r="DA71" s="169"/>
      <c r="DB71" s="169"/>
      <c r="DC71" s="169"/>
      <c r="DD71" s="169"/>
      <c r="DE71" s="169"/>
      <c r="DF71" s="169"/>
    </row>
    <row r="72" spans="2:110" x14ac:dyDescent="0.4">
      <c r="B72" s="297"/>
      <c r="C72" s="60">
        <v>98</v>
      </c>
      <c r="D72" s="231" t="s">
        <v>200</v>
      </c>
      <c r="E72" s="196">
        <f>F75</f>
        <v>46029</v>
      </c>
      <c r="F72" s="196">
        <f>E72+2</f>
        <v>46031</v>
      </c>
      <c r="G72" s="197">
        <f t="shared" si="17"/>
        <v>2</v>
      </c>
      <c r="H72" s="196">
        <f t="shared" si="37"/>
        <v>46029</v>
      </c>
      <c r="I72" s="196">
        <f t="shared" si="38"/>
        <v>46031</v>
      </c>
      <c r="J72" s="200" t="s">
        <v>11</v>
      </c>
      <c r="K72" s="201">
        <v>1</v>
      </c>
      <c r="L72" s="202"/>
      <c r="M72" s="202"/>
      <c r="N72" s="199" t="str">
        <f t="shared" si="29"/>
        <v/>
      </c>
      <c r="O72" s="203" t="str">
        <f t="shared" si="30"/>
        <v>-</v>
      </c>
      <c r="P72" s="206">
        <f t="shared" si="31"/>
        <v>0</v>
      </c>
      <c r="Q72" s="208">
        <f t="shared" si="32"/>
        <v>0</v>
      </c>
      <c r="R72" s="205">
        <f t="shared" si="33"/>
        <v>1</v>
      </c>
      <c r="S72" s="65">
        <f t="shared" si="36"/>
        <v>0</v>
      </c>
      <c r="T72" s="158">
        <f t="shared" si="35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9"/>
      <c r="BP72" s="169"/>
      <c r="BQ72" s="169"/>
      <c r="BR72" s="169"/>
      <c r="BS72" s="169"/>
      <c r="BT72" s="169"/>
      <c r="BU72" s="169"/>
      <c r="BV72" s="169"/>
      <c r="BW72" s="169"/>
      <c r="BX72" s="169"/>
      <c r="BY72" s="169"/>
      <c r="BZ72" s="169"/>
      <c r="CA72" s="169"/>
      <c r="CB72" s="169"/>
      <c r="CC72" s="169"/>
      <c r="CD72" s="169"/>
      <c r="CE72" s="169"/>
      <c r="CF72" s="169"/>
      <c r="CG72" s="169"/>
      <c r="CH72" s="169"/>
      <c r="CI72" s="169"/>
      <c r="CJ72" s="169"/>
      <c r="CK72" s="169"/>
      <c r="CL72" s="169"/>
      <c r="CM72" s="169"/>
      <c r="CN72" s="169"/>
      <c r="CO72" s="169"/>
      <c r="CP72" s="169"/>
      <c r="CQ72" s="169"/>
      <c r="CR72" s="169"/>
      <c r="CS72" s="169"/>
      <c r="CT72" s="169"/>
      <c r="CU72" s="169"/>
      <c r="CV72" s="169"/>
      <c r="CW72" s="169"/>
      <c r="CX72" s="169"/>
      <c r="CY72" s="169"/>
      <c r="CZ72" s="169"/>
      <c r="DA72" s="169"/>
      <c r="DB72" s="169"/>
      <c r="DC72" s="169"/>
      <c r="DD72" s="169"/>
      <c r="DE72" s="169"/>
      <c r="DF72" s="169"/>
    </row>
    <row r="73" spans="2:110" x14ac:dyDescent="0.4">
      <c r="B73" s="297"/>
      <c r="C73" s="60">
        <v>99</v>
      </c>
      <c r="D73" s="231" t="s">
        <v>186</v>
      </c>
      <c r="E73" s="196">
        <v>45966</v>
      </c>
      <c r="F73" s="196">
        <v>45996</v>
      </c>
      <c r="G73" s="197">
        <f t="shared" si="17"/>
        <v>30</v>
      </c>
      <c r="H73" s="196">
        <f t="shared" si="37"/>
        <v>45966</v>
      </c>
      <c r="I73" s="196">
        <f t="shared" si="38"/>
        <v>45996</v>
      </c>
      <c r="J73" s="200" t="s">
        <v>11</v>
      </c>
      <c r="K73" s="201">
        <v>1</v>
      </c>
      <c r="L73" s="202"/>
      <c r="M73" s="202"/>
      <c r="N73" s="199" t="str">
        <f t="shared" si="29"/>
        <v/>
      </c>
      <c r="O73" s="203" t="str">
        <f t="shared" si="30"/>
        <v>-</v>
      </c>
      <c r="P73" s="206">
        <f t="shared" si="31"/>
        <v>0</v>
      </c>
      <c r="Q73" s="208">
        <f t="shared" si="32"/>
        <v>0</v>
      </c>
      <c r="R73" s="205">
        <f t="shared" si="33"/>
        <v>1</v>
      </c>
      <c r="S73" s="65">
        <f t="shared" si="36"/>
        <v>0</v>
      </c>
      <c r="T73" s="158">
        <f t="shared" si="35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9"/>
      <c r="BP73" s="169"/>
      <c r="BQ73" s="169"/>
      <c r="BR73" s="169"/>
      <c r="BS73" s="169"/>
      <c r="BT73" s="169"/>
      <c r="BU73" s="169"/>
      <c r="BV73" s="169"/>
      <c r="BW73" s="169"/>
      <c r="BX73" s="169"/>
      <c r="BY73" s="169"/>
      <c r="BZ73" s="169"/>
      <c r="CA73" s="169"/>
      <c r="CB73" s="169"/>
      <c r="CC73" s="169"/>
      <c r="CD73" s="169"/>
      <c r="CE73" s="169"/>
      <c r="CF73" s="169"/>
      <c r="CG73" s="169"/>
      <c r="CH73" s="169"/>
      <c r="CI73" s="169"/>
      <c r="CJ73" s="169"/>
      <c r="CK73" s="169"/>
      <c r="CL73" s="169"/>
      <c r="CM73" s="169"/>
      <c r="CN73" s="169"/>
      <c r="CO73" s="169"/>
      <c r="CP73" s="169"/>
      <c r="CQ73" s="169"/>
      <c r="CR73" s="169"/>
      <c r="CS73" s="169"/>
      <c r="CT73" s="169"/>
      <c r="CU73" s="169"/>
      <c r="CV73" s="169"/>
      <c r="CW73" s="169"/>
      <c r="CX73" s="169"/>
      <c r="CY73" s="169"/>
      <c r="CZ73" s="169"/>
      <c r="DA73" s="169"/>
      <c r="DB73" s="169"/>
      <c r="DC73" s="169"/>
      <c r="DD73" s="169"/>
      <c r="DE73" s="169"/>
      <c r="DF73" s="169"/>
    </row>
    <row r="74" spans="2:110" x14ac:dyDescent="0.4">
      <c r="B74" s="297"/>
      <c r="C74" s="60">
        <v>100</v>
      </c>
      <c r="D74" s="231" t="s">
        <v>179</v>
      </c>
      <c r="E74" s="196">
        <v>46016</v>
      </c>
      <c r="F74" s="196">
        <f>E74+12</f>
        <v>46028</v>
      </c>
      <c r="G74" s="197">
        <f t="shared" si="17"/>
        <v>12</v>
      </c>
      <c r="H74" s="196">
        <f t="shared" si="37"/>
        <v>46016</v>
      </c>
      <c r="I74" s="196">
        <f t="shared" si="38"/>
        <v>46028</v>
      </c>
      <c r="J74" s="200" t="s">
        <v>11</v>
      </c>
      <c r="K74" s="201">
        <v>1</v>
      </c>
      <c r="L74" s="202"/>
      <c r="M74" s="202"/>
      <c r="N74" s="199" t="str">
        <f t="shared" ref="N74:N104" si="39">IF(OR(M74="",L74=""),"",INT(M74-L74+1))</f>
        <v/>
      </c>
      <c r="O74" s="203" t="str">
        <f t="shared" ref="O74:O104" si="40">IFERROR(K74/N74,"-")</f>
        <v>-</v>
      </c>
      <c r="P74" s="206">
        <f t="shared" ref="P74:P104" si="41">IFERROR(SUMIF($U$2:$AT$2,"&lt;="&amp;$D$1,U74:BN74)/K74,"-")</f>
        <v>0</v>
      </c>
      <c r="Q74" s="208">
        <f t="shared" ref="Q74:Q104" si="42">SUMIF($U$2:$AT$2,"&lt;="&amp;$D$1,U74:AT74)</f>
        <v>0</v>
      </c>
      <c r="R74" s="205">
        <f t="shared" ref="R74:R104" si="43">K74-Q74</f>
        <v>1</v>
      </c>
      <c r="S74" s="65">
        <f t="shared" ref="S74:S99" si="44">SUM(U74:XFD74)</f>
        <v>0</v>
      </c>
      <c r="T74" s="158">
        <f t="shared" si="35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9"/>
      <c r="BP74" s="169"/>
      <c r="BQ74" s="169"/>
      <c r="BR74" s="169"/>
      <c r="BS74" s="169"/>
      <c r="BT74" s="169"/>
      <c r="BU74" s="169"/>
      <c r="BV74" s="169"/>
      <c r="BW74" s="169"/>
      <c r="BX74" s="169"/>
      <c r="BY74" s="169"/>
      <c r="BZ74" s="169"/>
      <c r="CA74" s="169"/>
      <c r="CB74" s="169"/>
      <c r="CC74" s="169"/>
      <c r="CD74" s="169"/>
      <c r="CE74" s="169"/>
      <c r="CF74" s="169"/>
      <c r="CG74" s="169"/>
      <c r="CH74" s="169"/>
      <c r="CI74" s="169"/>
      <c r="CJ74" s="169"/>
      <c r="CK74" s="169"/>
      <c r="CL74" s="169"/>
      <c r="CM74" s="169"/>
      <c r="CN74" s="169"/>
      <c r="CO74" s="169"/>
      <c r="CP74" s="169"/>
      <c r="CQ74" s="169"/>
      <c r="CR74" s="169"/>
      <c r="CS74" s="169"/>
      <c r="CT74" s="169"/>
      <c r="CU74" s="169"/>
      <c r="CV74" s="169"/>
      <c r="CW74" s="169"/>
      <c r="CX74" s="169"/>
      <c r="CY74" s="169"/>
      <c r="CZ74" s="169"/>
      <c r="DA74" s="169"/>
      <c r="DB74" s="169"/>
      <c r="DC74" s="169"/>
      <c r="DD74" s="169"/>
      <c r="DE74" s="169"/>
      <c r="DF74" s="169"/>
    </row>
    <row r="75" spans="2:110" x14ac:dyDescent="0.4">
      <c r="B75" s="297"/>
      <c r="C75" s="60">
        <v>101</v>
      </c>
      <c r="D75" s="231" t="s">
        <v>201</v>
      </c>
      <c r="E75" s="196">
        <f>E74+1</f>
        <v>46017</v>
      </c>
      <c r="F75" s="196">
        <f>F74+1</f>
        <v>46029</v>
      </c>
      <c r="G75" s="197">
        <f t="shared" si="17"/>
        <v>12</v>
      </c>
      <c r="H75" s="196">
        <f t="shared" si="37"/>
        <v>46017</v>
      </c>
      <c r="I75" s="196">
        <f t="shared" si="38"/>
        <v>46029</v>
      </c>
      <c r="J75" s="200" t="s">
        <v>11</v>
      </c>
      <c r="K75" s="201">
        <v>1</v>
      </c>
      <c r="L75" s="202"/>
      <c r="M75" s="202"/>
      <c r="N75" s="199" t="str">
        <f t="shared" si="39"/>
        <v/>
      </c>
      <c r="O75" s="203" t="str">
        <f t="shared" si="40"/>
        <v>-</v>
      </c>
      <c r="P75" s="206">
        <f t="shared" si="41"/>
        <v>0</v>
      </c>
      <c r="Q75" s="208">
        <f t="shared" si="42"/>
        <v>0</v>
      </c>
      <c r="R75" s="205">
        <f t="shared" si="43"/>
        <v>1</v>
      </c>
      <c r="S75" s="65">
        <f t="shared" si="44"/>
        <v>0</v>
      </c>
      <c r="T75" s="158">
        <f t="shared" si="35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9"/>
      <c r="BP75" s="169"/>
      <c r="BQ75" s="169"/>
      <c r="BR75" s="169"/>
      <c r="BS75" s="169"/>
      <c r="BT75" s="169"/>
      <c r="BU75" s="169"/>
      <c r="BV75" s="169"/>
      <c r="BW75" s="169"/>
      <c r="BX75" s="169"/>
      <c r="BY75" s="169"/>
      <c r="BZ75" s="169"/>
      <c r="CA75" s="169"/>
      <c r="CB75" s="169"/>
      <c r="CC75" s="169"/>
      <c r="CD75" s="169"/>
      <c r="CE75" s="169"/>
      <c r="CF75" s="169"/>
      <c r="CG75" s="169"/>
      <c r="CH75" s="169"/>
      <c r="CI75" s="169"/>
      <c r="CJ75" s="169"/>
      <c r="CK75" s="169"/>
      <c r="CL75" s="169"/>
      <c r="CM75" s="169"/>
      <c r="CN75" s="169"/>
      <c r="CO75" s="169"/>
      <c r="CP75" s="169"/>
      <c r="CQ75" s="169"/>
      <c r="CR75" s="169"/>
      <c r="CS75" s="169"/>
      <c r="CT75" s="169"/>
      <c r="CU75" s="169"/>
      <c r="CV75" s="169"/>
      <c r="CW75" s="169"/>
      <c r="CX75" s="169"/>
      <c r="CY75" s="169"/>
      <c r="CZ75" s="169"/>
      <c r="DA75" s="169"/>
      <c r="DB75" s="169"/>
      <c r="DC75" s="169"/>
      <c r="DD75" s="169"/>
      <c r="DE75" s="169"/>
      <c r="DF75" s="169"/>
    </row>
    <row r="76" spans="2:110" x14ac:dyDescent="0.4">
      <c r="B76" s="297" t="s">
        <v>202</v>
      </c>
      <c r="C76" s="60">
        <v>102</v>
      </c>
      <c r="D76" s="231" t="s">
        <v>203</v>
      </c>
      <c r="E76" s="196">
        <v>45924</v>
      </c>
      <c r="F76" s="196">
        <v>45950</v>
      </c>
      <c r="G76" s="197">
        <f t="shared" si="17"/>
        <v>26</v>
      </c>
      <c r="H76" s="196">
        <f t="shared" si="37"/>
        <v>45924</v>
      </c>
      <c r="I76" s="196">
        <f t="shared" si="38"/>
        <v>45950</v>
      </c>
      <c r="J76" s="200" t="s">
        <v>2</v>
      </c>
      <c r="K76" s="201">
        <v>26</v>
      </c>
      <c r="L76" s="202"/>
      <c r="M76" s="202"/>
      <c r="N76" s="199" t="str">
        <f t="shared" si="39"/>
        <v/>
      </c>
      <c r="O76" s="203" t="str">
        <f t="shared" si="40"/>
        <v>-</v>
      </c>
      <c r="P76" s="206">
        <f t="shared" si="41"/>
        <v>0</v>
      </c>
      <c r="Q76" s="208">
        <f t="shared" si="42"/>
        <v>0</v>
      </c>
      <c r="R76" s="205">
        <f t="shared" si="43"/>
        <v>26</v>
      </c>
      <c r="S76" s="65">
        <f t="shared" si="44"/>
        <v>0</v>
      </c>
      <c r="T76" s="158">
        <f t="shared" si="35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9"/>
      <c r="BP76" s="169"/>
      <c r="BQ76" s="169"/>
      <c r="BR76" s="169"/>
      <c r="BS76" s="169"/>
      <c r="BT76" s="169"/>
      <c r="BU76" s="169"/>
      <c r="BV76" s="169"/>
      <c r="BW76" s="169"/>
      <c r="BX76" s="169"/>
      <c r="BY76" s="169"/>
      <c r="BZ76" s="169"/>
      <c r="CA76" s="169"/>
      <c r="CB76" s="169"/>
      <c r="CC76" s="169"/>
      <c r="CD76" s="169"/>
      <c r="CE76" s="169"/>
      <c r="CF76" s="169"/>
      <c r="CG76" s="169"/>
      <c r="CH76" s="169"/>
      <c r="CI76" s="169"/>
      <c r="CJ76" s="169"/>
      <c r="CK76" s="169"/>
      <c r="CL76" s="169"/>
      <c r="CM76" s="169"/>
      <c r="CN76" s="169"/>
      <c r="CO76" s="169"/>
      <c r="CP76" s="169"/>
      <c r="CQ76" s="169"/>
      <c r="CR76" s="169"/>
      <c r="CS76" s="169"/>
      <c r="CT76" s="169"/>
      <c r="CU76" s="169"/>
      <c r="CV76" s="169"/>
      <c r="CW76" s="169"/>
      <c r="CX76" s="169"/>
      <c r="CY76" s="169"/>
      <c r="CZ76" s="169"/>
      <c r="DA76" s="169"/>
      <c r="DB76" s="169"/>
      <c r="DC76" s="169"/>
      <c r="DD76" s="169"/>
      <c r="DE76" s="169"/>
      <c r="DF76" s="169"/>
    </row>
    <row r="77" spans="2:110" x14ac:dyDescent="0.4">
      <c r="B77" s="297"/>
      <c r="C77" s="60">
        <v>103</v>
      </c>
      <c r="D77" s="231" t="s">
        <v>205</v>
      </c>
      <c r="E77" s="196">
        <f>E76+5</f>
        <v>45929</v>
      </c>
      <c r="F77" s="196">
        <v>45981</v>
      </c>
      <c r="G77" s="197">
        <f t="shared" si="17"/>
        <v>52</v>
      </c>
      <c r="H77" s="196">
        <f t="shared" si="37"/>
        <v>45929</v>
      </c>
      <c r="I77" s="196">
        <f t="shared" si="38"/>
        <v>45981</v>
      </c>
      <c r="J77" s="200" t="s">
        <v>2</v>
      </c>
      <c r="K77" s="201">
        <v>26</v>
      </c>
      <c r="L77" s="202"/>
      <c r="M77" s="202"/>
      <c r="N77" s="199" t="str">
        <f t="shared" si="39"/>
        <v/>
      </c>
      <c r="O77" s="203" t="str">
        <f t="shared" si="40"/>
        <v>-</v>
      </c>
      <c r="P77" s="206">
        <f t="shared" si="41"/>
        <v>0</v>
      </c>
      <c r="Q77" s="208">
        <f t="shared" si="42"/>
        <v>0</v>
      </c>
      <c r="R77" s="205">
        <f t="shared" si="43"/>
        <v>26</v>
      </c>
      <c r="S77" s="65">
        <f t="shared" si="44"/>
        <v>0</v>
      </c>
      <c r="T77" s="158">
        <f t="shared" si="35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9"/>
      <c r="BP77" s="169"/>
      <c r="BQ77" s="169"/>
      <c r="BR77" s="169"/>
      <c r="BS77" s="169"/>
      <c r="BT77" s="169"/>
      <c r="BU77" s="169"/>
      <c r="BV77" s="169"/>
      <c r="BW77" s="169"/>
      <c r="BX77" s="169"/>
      <c r="BY77" s="169"/>
      <c r="BZ77" s="169"/>
      <c r="CA77" s="169"/>
      <c r="CB77" s="169"/>
      <c r="CC77" s="169"/>
      <c r="CD77" s="169"/>
      <c r="CE77" s="169"/>
      <c r="CF77" s="169"/>
      <c r="CG77" s="169"/>
      <c r="CH77" s="169"/>
      <c r="CI77" s="169"/>
      <c r="CJ77" s="169"/>
      <c r="CK77" s="169"/>
      <c r="CL77" s="169"/>
      <c r="CM77" s="169"/>
      <c r="CN77" s="169"/>
      <c r="CO77" s="169"/>
      <c r="CP77" s="169"/>
      <c r="CQ77" s="169"/>
      <c r="CR77" s="169"/>
      <c r="CS77" s="169"/>
      <c r="CT77" s="169"/>
      <c r="CU77" s="169"/>
      <c r="CV77" s="169"/>
      <c r="CW77" s="169"/>
      <c r="CX77" s="169"/>
      <c r="CY77" s="169"/>
      <c r="CZ77" s="169"/>
      <c r="DA77" s="169"/>
      <c r="DB77" s="169"/>
      <c r="DC77" s="169"/>
      <c r="DD77" s="169"/>
      <c r="DE77" s="169"/>
      <c r="DF77" s="169"/>
    </row>
    <row r="78" spans="2:110" x14ac:dyDescent="0.4">
      <c r="B78" s="297"/>
      <c r="C78" s="60">
        <v>104</v>
      </c>
      <c r="D78" s="231" t="s">
        <v>206</v>
      </c>
      <c r="E78" s="196">
        <f>E77+2</f>
        <v>45931</v>
      </c>
      <c r="F78" s="196">
        <f>F77+2</f>
        <v>45983</v>
      </c>
      <c r="G78" s="197">
        <f t="shared" si="17"/>
        <v>52</v>
      </c>
      <c r="H78" s="196">
        <f t="shared" si="37"/>
        <v>45931</v>
      </c>
      <c r="I78" s="196">
        <f t="shared" si="38"/>
        <v>45983</v>
      </c>
      <c r="J78" s="200" t="s">
        <v>2</v>
      </c>
      <c r="K78" s="201">
        <v>26</v>
      </c>
      <c r="L78" s="202"/>
      <c r="M78" s="202"/>
      <c r="N78" s="199" t="str">
        <f t="shared" si="39"/>
        <v/>
      </c>
      <c r="O78" s="203" t="str">
        <f t="shared" si="40"/>
        <v>-</v>
      </c>
      <c r="P78" s="206">
        <f t="shared" si="41"/>
        <v>0</v>
      </c>
      <c r="Q78" s="208">
        <f t="shared" si="42"/>
        <v>0</v>
      </c>
      <c r="R78" s="205">
        <f t="shared" si="43"/>
        <v>26</v>
      </c>
      <c r="S78" s="65">
        <f t="shared" si="44"/>
        <v>0</v>
      </c>
      <c r="T78" s="158">
        <f t="shared" si="35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9"/>
      <c r="BP78" s="169"/>
      <c r="BQ78" s="169"/>
      <c r="BR78" s="169"/>
      <c r="BS78" s="169"/>
      <c r="BT78" s="169"/>
      <c r="BU78" s="169"/>
      <c r="BV78" s="169"/>
      <c r="BW78" s="169"/>
      <c r="BX78" s="169"/>
      <c r="BY78" s="169"/>
      <c r="BZ78" s="169"/>
      <c r="CA78" s="169"/>
      <c r="CB78" s="169"/>
      <c r="CC78" s="169"/>
      <c r="CD78" s="169"/>
      <c r="CE78" s="169"/>
      <c r="CF78" s="169"/>
      <c r="CG78" s="169"/>
      <c r="CH78" s="169"/>
      <c r="CI78" s="169"/>
      <c r="CJ78" s="169"/>
      <c r="CK78" s="169"/>
      <c r="CL78" s="169"/>
      <c r="CM78" s="169"/>
      <c r="CN78" s="169"/>
      <c r="CO78" s="169"/>
      <c r="CP78" s="169"/>
      <c r="CQ78" s="169"/>
      <c r="CR78" s="169"/>
      <c r="CS78" s="169"/>
      <c r="CT78" s="169"/>
      <c r="CU78" s="169"/>
      <c r="CV78" s="169"/>
      <c r="CW78" s="169"/>
      <c r="CX78" s="169"/>
      <c r="CY78" s="169"/>
      <c r="CZ78" s="169"/>
      <c r="DA78" s="169"/>
      <c r="DB78" s="169"/>
      <c r="DC78" s="169"/>
      <c r="DD78" s="169"/>
      <c r="DE78" s="169"/>
      <c r="DF78" s="169"/>
    </row>
    <row r="79" spans="2:110" x14ac:dyDescent="0.4">
      <c r="B79" s="297" t="s">
        <v>207</v>
      </c>
      <c r="C79" s="60">
        <v>105</v>
      </c>
      <c r="D79" s="231" t="s">
        <v>208</v>
      </c>
      <c r="E79" s="196">
        <v>45889</v>
      </c>
      <c r="F79" s="196">
        <v>46047</v>
      </c>
      <c r="G79" s="197">
        <f t="shared" si="17"/>
        <v>158</v>
      </c>
      <c r="H79" s="196">
        <f t="shared" si="37"/>
        <v>45889</v>
      </c>
      <c r="I79" s="196">
        <f t="shared" si="38"/>
        <v>46047</v>
      </c>
      <c r="J79" s="200" t="s">
        <v>2</v>
      </c>
      <c r="K79" s="201">
        <v>26</v>
      </c>
      <c r="L79" s="202"/>
      <c r="M79" s="202"/>
      <c r="N79" s="199" t="str">
        <f t="shared" si="39"/>
        <v/>
      </c>
      <c r="O79" s="203" t="str">
        <f t="shared" si="40"/>
        <v>-</v>
      </c>
      <c r="P79" s="206">
        <f t="shared" si="41"/>
        <v>0</v>
      </c>
      <c r="Q79" s="208">
        <f t="shared" si="42"/>
        <v>0</v>
      </c>
      <c r="R79" s="205">
        <f t="shared" si="43"/>
        <v>26</v>
      </c>
      <c r="S79" s="65">
        <f t="shared" si="44"/>
        <v>0</v>
      </c>
      <c r="T79" s="158">
        <f t="shared" si="35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9"/>
      <c r="BP79" s="169"/>
      <c r="BQ79" s="169"/>
      <c r="BR79" s="169"/>
      <c r="BS79" s="169"/>
      <c r="BT79" s="169"/>
      <c r="BU79" s="169"/>
      <c r="BV79" s="169"/>
      <c r="BW79" s="169"/>
      <c r="BX79" s="169"/>
      <c r="BY79" s="169"/>
      <c r="BZ79" s="169"/>
      <c r="CA79" s="169"/>
      <c r="CB79" s="169"/>
      <c r="CC79" s="169"/>
      <c r="CD79" s="169"/>
      <c r="CE79" s="169"/>
      <c r="CF79" s="169"/>
      <c r="CG79" s="169"/>
      <c r="CH79" s="169"/>
      <c r="CI79" s="169"/>
      <c r="CJ79" s="169"/>
      <c r="CK79" s="169"/>
      <c r="CL79" s="169"/>
      <c r="CM79" s="169"/>
      <c r="CN79" s="169"/>
      <c r="CO79" s="169"/>
      <c r="CP79" s="169"/>
      <c r="CQ79" s="169"/>
      <c r="CR79" s="169"/>
      <c r="CS79" s="169"/>
      <c r="CT79" s="169"/>
      <c r="CU79" s="169"/>
      <c r="CV79" s="169"/>
      <c r="CW79" s="169"/>
      <c r="CX79" s="169"/>
      <c r="CY79" s="169"/>
      <c r="CZ79" s="169"/>
      <c r="DA79" s="169"/>
      <c r="DB79" s="169"/>
      <c r="DC79" s="169"/>
      <c r="DD79" s="169"/>
      <c r="DE79" s="169"/>
      <c r="DF79" s="169"/>
    </row>
    <row r="80" spans="2:110" x14ac:dyDescent="0.4">
      <c r="B80" s="297"/>
      <c r="C80" s="60">
        <v>106</v>
      </c>
      <c r="D80" s="231" t="s">
        <v>209</v>
      </c>
      <c r="E80" s="196">
        <f>E79</f>
        <v>45889</v>
      </c>
      <c r="F80" s="196">
        <f>F79</f>
        <v>46047</v>
      </c>
      <c r="G80" s="197">
        <f t="shared" si="17"/>
        <v>158</v>
      </c>
      <c r="H80" s="196">
        <f t="shared" si="37"/>
        <v>45889</v>
      </c>
      <c r="I80" s="196">
        <f t="shared" si="38"/>
        <v>46047</v>
      </c>
      <c r="J80" s="200" t="s">
        <v>2</v>
      </c>
      <c r="K80" s="201">
        <v>26</v>
      </c>
      <c r="L80" s="202"/>
      <c r="M80" s="202"/>
      <c r="N80" s="199" t="str">
        <f t="shared" si="39"/>
        <v/>
      </c>
      <c r="O80" s="203" t="str">
        <f t="shared" si="40"/>
        <v>-</v>
      </c>
      <c r="P80" s="206">
        <f t="shared" si="41"/>
        <v>0</v>
      </c>
      <c r="Q80" s="208">
        <f t="shared" si="42"/>
        <v>0</v>
      </c>
      <c r="R80" s="205">
        <f t="shared" si="43"/>
        <v>26</v>
      </c>
      <c r="S80" s="65">
        <f t="shared" si="44"/>
        <v>0</v>
      </c>
      <c r="T80" s="158">
        <f t="shared" si="35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9"/>
      <c r="BP80" s="169"/>
      <c r="BQ80" s="169"/>
      <c r="BR80" s="169"/>
      <c r="BS80" s="169"/>
      <c r="BT80" s="169"/>
      <c r="BU80" s="169"/>
      <c r="BV80" s="169"/>
      <c r="BW80" s="169"/>
      <c r="BX80" s="169"/>
      <c r="BY80" s="169"/>
      <c r="BZ80" s="169"/>
      <c r="CA80" s="169"/>
      <c r="CB80" s="169"/>
      <c r="CC80" s="169"/>
      <c r="CD80" s="169"/>
      <c r="CE80" s="169"/>
      <c r="CF80" s="169"/>
      <c r="CG80" s="169"/>
      <c r="CH80" s="169"/>
      <c r="CI80" s="169"/>
      <c r="CJ80" s="169"/>
      <c r="CK80" s="169"/>
      <c r="CL80" s="169"/>
      <c r="CM80" s="169"/>
      <c r="CN80" s="169"/>
      <c r="CO80" s="169"/>
      <c r="CP80" s="169"/>
      <c r="CQ80" s="169"/>
      <c r="CR80" s="169"/>
      <c r="CS80" s="169"/>
      <c r="CT80" s="169"/>
      <c r="CU80" s="169"/>
      <c r="CV80" s="169"/>
      <c r="CW80" s="169"/>
      <c r="CX80" s="169"/>
      <c r="CY80" s="169"/>
      <c r="CZ80" s="169"/>
      <c r="DA80" s="169"/>
      <c r="DB80" s="169"/>
      <c r="DC80" s="169"/>
      <c r="DD80" s="169"/>
      <c r="DE80" s="169"/>
      <c r="DF80" s="169"/>
    </row>
    <row r="81" spans="2:110" ht="29" x14ac:dyDescent="0.4">
      <c r="B81" s="297"/>
      <c r="C81" s="60">
        <v>107</v>
      </c>
      <c r="D81" s="231" t="s">
        <v>210</v>
      </c>
      <c r="E81" s="196">
        <f>E80</f>
        <v>45889</v>
      </c>
      <c r="F81" s="196">
        <f>F80</f>
        <v>46047</v>
      </c>
      <c r="G81" s="197">
        <f t="shared" si="17"/>
        <v>158</v>
      </c>
      <c r="H81" s="196">
        <f t="shared" si="37"/>
        <v>45889</v>
      </c>
      <c r="I81" s="196">
        <f t="shared" si="38"/>
        <v>46047</v>
      </c>
      <c r="J81" s="200" t="s">
        <v>2</v>
      </c>
      <c r="K81" s="201">
        <v>26</v>
      </c>
      <c r="L81" s="202"/>
      <c r="M81" s="202"/>
      <c r="N81" s="199" t="str">
        <f t="shared" si="39"/>
        <v/>
      </c>
      <c r="O81" s="203" t="str">
        <f t="shared" si="40"/>
        <v>-</v>
      </c>
      <c r="P81" s="206">
        <f t="shared" si="41"/>
        <v>0</v>
      </c>
      <c r="Q81" s="208">
        <f t="shared" si="42"/>
        <v>0</v>
      </c>
      <c r="R81" s="205">
        <f t="shared" si="43"/>
        <v>26</v>
      </c>
      <c r="S81" s="65">
        <f t="shared" si="44"/>
        <v>0</v>
      </c>
      <c r="T81" s="158">
        <f t="shared" si="35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9"/>
      <c r="BP81" s="169"/>
      <c r="BQ81" s="169"/>
      <c r="BR81" s="169"/>
      <c r="BS81" s="169"/>
      <c r="BT81" s="169"/>
      <c r="BU81" s="169"/>
      <c r="BV81" s="169"/>
      <c r="BW81" s="169"/>
      <c r="BX81" s="169"/>
      <c r="BY81" s="169"/>
      <c r="BZ81" s="169"/>
      <c r="CA81" s="169"/>
      <c r="CB81" s="169"/>
      <c r="CC81" s="169"/>
      <c r="CD81" s="169"/>
      <c r="CE81" s="169"/>
      <c r="CF81" s="169"/>
      <c r="CG81" s="169"/>
      <c r="CH81" s="169"/>
      <c r="CI81" s="169"/>
      <c r="CJ81" s="169"/>
      <c r="CK81" s="169"/>
      <c r="CL81" s="169"/>
      <c r="CM81" s="169"/>
      <c r="CN81" s="169"/>
      <c r="CO81" s="169"/>
      <c r="CP81" s="169"/>
      <c r="CQ81" s="169"/>
      <c r="CR81" s="169"/>
      <c r="CS81" s="169"/>
      <c r="CT81" s="169"/>
      <c r="CU81" s="169"/>
      <c r="CV81" s="169"/>
      <c r="CW81" s="169"/>
      <c r="CX81" s="169"/>
      <c r="CY81" s="169"/>
      <c r="CZ81" s="169"/>
      <c r="DA81" s="169"/>
      <c r="DB81" s="169"/>
      <c r="DC81" s="169"/>
      <c r="DD81" s="169"/>
      <c r="DE81" s="169"/>
      <c r="DF81" s="169"/>
    </row>
    <row r="82" spans="2:110" ht="29" x14ac:dyDescent="0.4">
      <c r="B82" s="297" t="s">
        <v>211</v>
      </c>
      <c r="C82" s="60">
        <v>108</v>
      </c>
      <c r="D82" s="231" t="s">
        <v>212</v>
      </c>
      <c r="E82" s="196">
        <v>45950</v>
      </c>
      <c r="F82" s="196">
        <f>F81</f>
        <v>46047</v>
      </c>
      <c r="G82" s="197">
        <f t="shared" si="17"/>
        <v>97</v>
      </c>
      <c r="H82" s="196">
        <f t="shared" si="37"/>
        <v>45950</v>
      </c>
      <c r="I82" s="196">
        <f t="shared" si="38"/>
        <v>46047</v>
      </c>
      <c r="J82" s="200" t="s">
        <v>2</v>
      </c>
      <c r="K82" s="201">
        <v>26</v>
      </c>
      <c r="L82" s="202"/>
      <c r="M82" s="202"/>
      <c r="N82" s="199" t="str">
        <f t="shared" si="39"/>
        <v/>
      </c>
      <c r="O82" s="203" t="str">
        <f t="shared" si="40"/>
        <v>-</v>
      </c>
      <c r="P82" s="206">
        <f t="shared" si="41"/>
        <v>0</v>
      </c>
      <c r="Q82" s="208">
        <f t="shared" si="42"/>
        <v>0</v>
      </c>
      <c r="R82" s="205">
        <f t="shared" si="43"/>
        <v>26</v>
      </c>
      <c r="S82" s="65">
        <f t="shared" si="44"/>
        <v>0</v>
      </c>
      <c r="T82" s="158">
        <f t="shared" si="35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</row>
    <row r="83" spans="2:110" x14ac:dyDescent="0.4">
      <c r="B83" s="297"/>
      <c r="C83" s="60">
        <v>109</v>
      </c>
      <c r="D83" s="231" t="s">
        <v>213</v>
      </c>
      <c r="E83" s="196">
        <v>45971</v>
      </c>
      <c r="F83" s="196">
        <v>46011</v>
      </c>
      <c r="G83" s="197">
        <f t="shared" si="17"/>
        <v>40</v>
      </c>
      <c r="H83" s="196">
        <f t="shared" si="37"/>
        <v>45971</v>
      </c>
      <c r="I83" s="196">
        <f t="shared" si="38"/>
        <v>46011</v>
      </c>
      <c r="J83" s="200" t="s">
        <v>2</v>
      </c>
      <c r="K83" s="201">
        <v>26</v>
      </c>
      <c r="L83" s="202"/>
      <c r="M83" s="202"/>
      <c r="N83" s="199" t="str">
        <f t="shared" si="39"/>
        <v/>
      </c>
      <c r="O83" s="203" t="str">
        <f t="shared" si="40"/>
        <v>-</v>
      </c>
      <c r="P83" s="206">
        <f t="shared" si="41"/>
        <v>0</v>
      </c>
      <c r="Q83" s="208">
        <f t="shared" si="42"/>
        <v>0</v>
      </c>
      <c r="R83" s="205">
        <f t="shared" si="43"/>
        <v>26</v>
      </c>
      <c r="S83" s="65">
        <f t="shared" si="44"/>
        <v>0</v>
      </c>
      <c r="T83" s="158">
        <f t="shared" si="35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9"/>
      <c r="BP83" s="169"/>
      <c r="BQ83" s="169"/>
      <c r="BR83" s="169"/>
      <c r="BS83" s="169"/>
      <c r="BT83" s="169"/>
      <c r="BU83" s="169"/>
      <c r="BV83" s="169"/>
      <c r="BW83" s="169"/>
      <c r="BX83" s="169"/>
      <c r="BY83" s="169"/>
      <c r="BZ83" s="169"/>
      <c r="CA83" s="169"/>
      <c r="CB83" s="169"/>
      <c r="CC83" s="169"/>
      <c r="CD83" s="169"/>
      <c r="CE83" s="169"/>
      <c r="CF83" s="169"/>
      <c r="CG83" s="169"/>
      <c r="CH83" s="169"/>
      <c r="CI83" s="169"/>
      <c r="CJ83" s="169"/>
      <c r="CK83" s="169"/>
      <c r="CL83" s="169"/>
      <c r="CM83" s="169"/>
      <c r="CN83" s="169"/>
      <c r="CO83" s="169"/>
      <c r="CP83" s="169"/>
      <c r="CQ83" s="169"/>
      <c r="CR83" s="169"/>
      <c r="CS83" s="169"/>
      <c r="CT83" s="169"/>
      <c r="CU83" s="169"/>
      <c r="CV83" s="169"/>
      <c r="CW83" s="169"/>
      <c r="CX83" s="169"/>
      <c r="CY83" s="169"/>
      <c r="CZ83" s="169"/>
      <c r="DA83" s="169"/>
      <c r="DB83" s="169"/>
      <c r="DC83" s="169"/>
      <c r="DD83" s="169"/>
      <c r="DE83" s="169"/>
      <c r="DF83" s="169"/>
    </row>
    <row r="84" spans="2:110" x14ac:dyDescent="0.4">
      <c r="B84" s="297"/>
      <c r="C84" s="60">
        <v>110</v>
      </c>
      <c r="D84" s="231" t="s">
        <v>214</v>
      </c>
      <c r="E84" s="196">
        <v>45971</v>
      </c>
      <c r="F84" s="196">
        <v>46011</v>
      </c>
      <c r="G84" s="197">
        <f t="shared" si="17"/>
        <v>40</v>
      </c>
      <c r="H84" s="196">
        <f t="shared" si="37"/>
        <v>45971</v>
      </c>
      <c r="I84" s="196">
        <f t="shared" si="38"/>
        <v>46011</v>
      </c>
      <c r="J84" s="200" t="s">
        <v>2</v>
      </c>
      <c r="K84" s="201">
        <v>26</v>
      </c>
      <c r="L84" s="202"/>
      <c r="M84" s="202"/>
      <c r="N84" s="199" t="str">
        <f t="shared" si="39"/>
        <v/>
      </c>
      <c r="O84" s="203" t="str">
        <f t="shared" si="40"/>
        <v>-</v>
      </c>
      <c r="P84" s="206">
        <f t="shared" si="41"/>
        <v>0</v>
      </c>
      <c r="Q84" s="208">
        <f t="shared" si="42"/>
        <v>0</v>
      </c>
      <c r="R84" s="205">
        <f t="shared" si="43"/>
        <v>26</v>
      </c>
      <c r="S84" s="65">
        <f t="shared" si="44"/>
        <v>0</v>
      </c>
      <c r="T84" s="158">
        <f t="shared" si="35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9"/>
      <c r="BP84" s="169"/>
      <c r="BQ84" s="169"/>
      <c r="BR84" s="169"/>
      <c r="BS84" s="169"/>
      <c r="BT84" s="169"/>
      <c r="BU84" s="169"/>
      <c r="BV84" s="169"/>
      <c r="BW84" s="169"/>
      <c r="BX84" s="169"/>
      <c r="BY84" s="169"/>
      <c r="BZ84" s="169"/>
      <c r="CA84" s="169"/>
      <c r="CB84" s="169"/>
      <c r="CC84" s="169"/>
      <c r="CD84" s="169"/>
      <c r="CE84" s="169"/>
      <c r="CF84" s="169"/>
      <c r="CG84" s="169"/>
      <c r="CH84" s="169"/>
      <c r="CI84" s="169"/>
      <c r="CJ84" s="169"/>
      <c r="CK84" s="169"/>
      <c r="CL84" s="169"/>
      <c r="CM84" s="169"/>
      <c r="CN84" s="169"/>
      <c r="CO84" s="169"/>
      <c r="CP84" s="169"/>
      <c r="CQ84" s="169"/>
      <c r="CR84" s="169"/>
      <c r="CS84" s="169"/>
      <c r="CT84" s="169"/>
      <c r="CU84" s="169"/>
      <c r="CV84" s="169"/>
      <c r="CW84" s="169"/>
      <c r="CX84" s="169"/>
      <c r="CY84" s="169"/>
      <c r="CZ84" s="169"/>
      <c r="DA84" s="169"/>
      <c r="DB84" s="169"/>
      <c r="DC84" s="169"/>
      <c r="DD84" s="169"/>
      <c r="DE84" s="169"/>
      <c r="DF84" s="169"/>
    </row>
    <row r="85" spans="2:110" x14ac:dyDescent="0.4">
      <c r="B85" s="297"/>
      <c r="C85" s="60">
        <v>111</v>
      </c>
      <c r="D85" s="231" t="s">
        <v>215</v>
      </c>
      <c r="E85" s="196">
        <v>45971</v>
      </c>
      <c r="F85" s="196">
        <v>46011</v>
      </c>
      <c r="G85" s="197">
        <f t="shared" si="17"/>
        <v>40</v>
      </c>
      <c r="H85" s="196">
        <f t="shared" si="37"/>
        <v>45971</v>
      </c>
      <c r="I85" s="196">
        <f t="shared" si="38"/>
        <v>46011</v>
      </c>
      <c r="J85" s="200" t="s">
        <v>2</v>
      </c>
      <c r="K85" s="201">
        <v>26</v>
      </c>
      <c r="L85" s="202"/>
      <c r="M85" s="202"/>
      <c r="N85" s="199" t="str">
        <f t="shared" si="39"/>
        <v/>
      </c>
      <c r="O85" s="203" t="str">
        <f t="shared" si="40"/>
        <v>-</v>
      </c>
      <c r="P85" s="206">
        <f t="shared" si="41"/>
        <v>0</v>
      </c>
      <c r="Q85" s="208">
        <f t="shared" si="42"/>
        <v>0</v>
      </c>
      <c r="R85" s="205">
        <f t="shared" si="43"/>
        <v>26</v>
      </c>
      <c r="S85" s="65">
        <f t="shared" si="44"/>
        <v>0</v>
      </c>
      <c r="T85" s="158">
        <f t="shared" si="35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9"/>
      <c r="BP85" s="169"/>
      <c r="BQ85" s="169"/>
      <c r="BR85" s="169"/>
      <c r="BS85" s="169"/>
      <c r="BT85" s="169"/>
      <c r="BU85" s="169"/>
      <c r="BV85" s="169"/>
      <c r="BW85" s="169"/>
      <c r="BX85" s="169"/>
      <c r="BY85" s="169"/>
      <c r="BZ85" s="169"/>
      <c r="CA85" s="169"/>
      <c r="CB85" s="169"/>
      <c r="CC85" s="169"/>
      <c r="CD85" s="169"/>
      <c r="CE85" s="169"/>
      <c r="CF85" s="169"/>
      <c r="CG85" s="169"/>
      <c r="CH85" s="169"/>
      <c r="CI85" s="169"/>
      <c r="CJ85" s="169"/>
      <c r="CK85" s="169"/>
      <c r="CL85" s="169"/>
      <c r="CM85" s="169"/>
      <c r="CN85" s="169"/>
      <c r="CO85" s="169"/>
      <c r="CP85" s="169"/>
      <c r="CQ85" s="169"/>
      <c r="CR85" s="169"/>
      <c r="CS85" s="169"/>
      <c r="CT85" s="169"/>
      <c r="CU85" s="169"/>
      <c r="CV85" s="169"/>
      <c r="CW85" s="169"/>
      <c r="CX85" s="169"/>
      <c r="CY85" s="169"/>
      <c r="CZ85" s="169"/>
      <c r="DA85" s="169"/>
      <c r="DB85" s="169"/>
      <c r="DC85" s="169"/>
      <c r="DD85" s="169"/>
      <c r="DE85" s="169"/>
      <c r="DF85" s="169"/>
    </row>
    <row r="86" spans="2:110" x14ac:dyDescent="0.4">
      <c r="B86" s="297"/>
      <c r="C86" s="60">
        <v>112</v>
      </c>
      <c r="D86" s="231" t="s">
        <v>216</v>
      </c>
      <c r="E86" s="196">
        <v>45971</v>
      </c>
      <c r="F86" s="196">
        <v>46011</v>
      </c>
      <c r="G86" s="197">
        <f t="shared" si="17"/>
        <v>40</v>
      </c>
      <c r="H86" s="196">
        <f t="shared" si="37"/>
        <v>45971</v>
      </c>
      <c r="I86" s="196">
        <f t="shared" si="38"/>
        <v>46011</v>
      </c>
      <c r="J86" s="200" t="s">
        <v>2</v>
      </c>
      <c r="K86" s="201">
        <v>26</v>
      </c>
      <c r="L86" s="202"/>
      <c r="M86" s="202"/>
      <c r="N86" s="199" t="str">
        <f t="shared" si="39"/>
        <v/>
      </c>
      <c r="O86" s="203" t="str">
        <f t="shared" si="40"/>
        <v>-</v>
      </c>
      <c r="P86" s="206">
        <f t="shared" si="41"/>
        <v>0</v>
      </c>
      <c r="Q86" s="208">
        <f t="shared" si="42"/>
        <v>0</v>
      </c>
      <c r="R86" s="205">
        <f t="shared" si="43"/>
        <v>26</v>
      </c>
      <c r="S86" s="65">
        <f t="shared" si="44"/>
        <v>0</v>
      </c>
      <c r="T86" s="158">
        <f t="shared" si="35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9"/>
      <c r="BP86" s="169"/>
      <c r="BQ86" s="169"/>
      <c r="BR86" s="169"/>
      <c r="BS86" s="169"/>
      <c r="BT86" s="169"/>
      <c r="BU86" s="169"/>
      <c r="BV86" s="169"/>
      <c r="BW86" s="169"/>
      <c r="BX86" s="169"/>
      <c r="BY86" s="169"/>
      <c r="BZ86" s="169"/>
      <c r="CA86" s="169"/>
      <c r="CB86" s="169"/>
      <c r="CC86" s="169"/>
      <c r="CD86" s="169"/>
      <c r="CE86" s="169"/>
      <c r="CF86" s="169"/>
      <c r="CG86" s="169"/>
      <c r="CH86" s="169"/>
      <c r="CI86" s="169"/>
      <c r="CJ86" s="169"/>
      <c r="CK86" s="169"/>
      <c r="CL86" s="169"/>
      <c r="CM86" s="169"/>
      <c r="CN86" s="169"/>
      <c r="CO86" s="169"/>
      <c r="CP86" s="169"/>
      <c r="CQ86" s="169"/>
      <c r="CR86" s="169"/>
      <c r="CS86" s="169"/>
      <c r="CT86" s="169"/>
      <c r="CU86" s="169"/>
      <c r="CV86" s="169"/>
      <c r="CW86" s="169"/>
      <c r="CX86" s="169"/>
      <c r="CY86" s="169"/>
      <c r="CZ86" s="169"/>
      <c r="DA86" s="169"/>
      <c r="DB86" s="169"/>
      <c r="DC86" s="169"/>
      <c r="DD86" s="169"/>
      <c r="DE86" s="169"/>
      <c r="DF86" s="169"/>
    </row>
    <row r="87" spans="2:110" x14ac:dyDescent="0.4">
      <c r="B87" s="297"/>
      <c r="C87" s="60">
        <v>113</v>
      </c>
      <c r="D87" s="231" t="s">
        <v>217</v>
      </c>
      <c r="E87" s="196">
        <v>45971</v>
      </c>
      <c r="F87" s="196">
        <v>46011</v>
      </c>
      <c r="G87" s="197">
        <f t="shared" si="17"/>
        <v>40</v>
      </c>
      <c r="H87" s="196">
        <f t="shared" si="37"/>
        <v>45971</v>
      </c>
      <c r="I87" s="196">
        <f t="shared" si="38"/>
        <v>46011</v>
      </c>
      <c r="J87" s="200" t="s">
        <v>2</v>
      </c>
      <c r="K87" s="201">
        <v>26</v>
      </c>
      <c r="L87" s="202"/>
      <c r="M87" s="202"/>
      <c r="N87" s="199" t="str">
        <f t="shared" si="39"/>
        <v/>
      </c>
      <c r="O87" s="203" t="str">
        <f t="shared" si="40"/>
        <v>-</v>
      </c>
      <c r="P87" s="206">
        <f t="shared" si="41"/>
        <v>0</v>
      </c>
      <c r="Q87" s="208">
        <f t="shared" si="42"/>
        <v>0</v>
      </c>
      <c r="R87" s="205">
        <f t="shared" si="43"/>
        <v>26</v>
      </c>
      <c r="S87" s="65">
        <f t="shared" si="44"/>
        <v>0</v>
      </c>
      <c r="T87" s="158">
        <f t="shared" si="35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9"/>
      <c r="BP87" s="169"/>
      <c r="BQ87" s="169"/>
      <c r="BR87" s="169"/>
      <c r="BS87" s="169"/>
      <c r="BT87" s="169"/>
      <c r="BU87" s="169"/>
      <c r="BV87" s="169"/>
      <c r="BW87" s="169"/>
      <c r="BX87" s="169"/>
      <c r="BY87" s="169"/>
      <c r="BZ87" s="169"/>
      <c r="CA87" s="169"/>
      <c r="CB87" s="169"/>
      <c r="CC87" s="169"/>
      <c r="CD87" s="169"/>
      <c r="CE87" s="169"/>
      <c r="CF87" s="169"/>
      <c r="CG87" s="169"/>
      <c r="CH87" s="169"/>
      <c r="CI87" s="169"/>
      <c r="CJ87" s="169"/>
      <c r="CK87" s="169"/>
      <c r="CL87" s="169"/>
      <c r="CM87" s="169"/>
      <c r="CN87" s="169"/>
      <c r="CO87" s="169"/>
      <c r="CP87" s="169"/>
      <c r="CQ87" s="169"/>
      <c r="CR87" s="169"/>
      <c r="CS87" s="169"/>
      <c r="CT87" s="169"/>
      <c r="CU87" s="169"/>
      <c r="CV87" s="169"/>
      <c r="CW87" s="169"/>
      <c r="CX87" s="169"/>
      <c r="CY87" s="169"/>
      <c r="CZ87" s="169"/>
      <c r="DA87" s="169"/>
      <c r="DB87" s="169"/>
      <c r="DC87" s="169"/>
      <c r="DD87" s="169"/>
      <c r="DE87" s="169"/>
      <c r="DF87" s="169"/>
    </row>
    <row r="88" spans="2:110" x14ac:dyDescent="0.4">
      <c r="B88" s="297"/>
      <c r="C88" s="60">
        <v>114</v>
      </c>
      <c r="D88" s="231" t="s">
        <v>218</v>
      </c>
      <c r="E88" s="196">
        <v>45971</v>
      </c>
      <c r="F88" s="196">
        <v>46011</v>
      </c>
      <c r="G88" s="197">
        <f t="shared" si="17"/>
        <v>40</v>
      </c>
      <c r="H88" s="196">
        <f t="shared" si="37"/>
        <v>45971</v>
      </c>
      <c r="I88" s="196">
        <f t="shared" si="38"/>
        <v>46011</v>
      </c>
      <c r="J88" s="200" t="s">
        <v>2</v>
      </c>
      <c r="K88" s="201">
        <v>26</v>
      </c>
      <c r="L88" s="202"/>
      <c r="M88" s="202"/>
      <c r="N88" s="199" t="str">
        <f t="shared" si="39"/>
        <v/>
      </c>
      <c r="O88" s="203" t="str">
        <f t="shared" si="40"/>
        <v>-</v>
      </c>
      <c r="P88" s="206">
        <f t="shared" si="41"/>
        <v>0</v>
      </c>
      <c r="Q88" s="208">
        <f t="shared" si="42"/>
        <v>0</v>
      </c>
      <c r="R88" s="205">
        <f t="shared" si="43"/>
        <v>26</v>
      </c>
      <c r="S88" s="65">
        <f t="shared" si="44"/>
        <v>0</v>
      </c>
      <c r="T88" s="158">
        <f t="shared" si="35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9"/>
      <c r="BP88" s="169"/>
      <c r="BQ88" s="169"/>
      <c r="BR88" s="169"/>
      <c r="BS88" s="169"/>
      <c r="BT88" s="169"/>
      <c r="BU88" s="169"/>
      <c r="BV88" s="169"/>
      <c r="BW88" s="169"/>
      <c r="BX88" s="169"/>
      <c r="BY88" s="169"/>
      <c r="BZ88" s="169"/>
      <c r="CA88" s="169"/>
      <c r="CB88" s="169"/>
      <c r="CC88" s="169"/>
      <c r="CD88" s="169"/>
      <c r="CE88" s="169"/>
      <c r="CF88" s="169"/>
      <c r="CG88" s="169"/>
      <c r="CH88" s="169"/>
      <c r="CI88" s="169"/>
      <c r="CJ88" s="169"/>
      <c r="CK88" s="169"/>
      <c r="CL88" s="169"/>
      <c r="CM88" s="169"/>
      <c r="CN88" s="169"/>
      <c r="CO88" s="169"/>
      <c r="CP88" s="169"/>
      <c r="CQ88" s="169"/>
      <c r="CR88" s="169"/>
      <c r="CS88" s="169"/>
      <c r="CT88" s="169"/>
      <c r="CU88" s="169"/>
      <c r="CV88" s="169"/>
      <c r="CW88" s="169"/>
      <c r="CX88" s="169"/>
      <c r="CY88" s="169"/>
      <c r="CZ88" s="169"/>
      <c r="DA88" s="169"/>
      <c r="DB88" s="169"/>
      <c r="DC88" s="169"/>
      <c r="DD88" s="169"/>
      <c r="DE88" s="169"/>
      <c r="DF88" s="169"/>
    </row>
    <row r="89" spans="2:110" x14ac:dyDescent="0.4">
      <c r="B89" s="297" t="s">
        <v>219</v>
      </c>
      <c r="C89" s="60">
        <v>115</v>
      </c>
      <c r="D89" s="231" t="s">
        <v>220</v>
      </c>
      <c r="E89" s="196">
        <f>E68+2</f>
        <v>46018</v>
      </c>
      <c r="F89" s="196">
        <f>F68+2</f>
        <v>46026</v>
      </c>
      <c r="G89" s="197">
        <f t="shared" si="17"/>
        <v>8</v>
      </c>
      <c r="H89" s="196">
        <f t="shared" si="37"/>
        <v>46018</v>
      </c>
      <c r="I89" s="196">
        <f t="shared" si="38"/>
        <v>46026</v>
      </c>
      <c r="J89" s="200" t="s">
        <v>11</v>
      </c>
      <c r="K89" s="201">
        <v>1</v>
      </c>
      <c r="L89" s="202"/>
      <c r="M89" s="202"/>
      <c r="N89" s="199" t="str">
        <f t="shared" si="39"/>
        <v/>
      </c>
      <c r="O89" s="203" t="str">
        <f t="shared" si="40"/>
        <v>-</v>
      </c>
      <c r="P89" s="206">
        <f t="shared" si="41"/>
        <v>0</v>
      </c>
      <c r="Q89" s="208">
        <f t="shared" si="42"/>
        <v>0</v>
      </c>
      <c r="R89" s="205">
        <f t="shared" si="43"/>
        <v>1</v>
      </c>
      <c r="S89" s="65">
        <f t="shared" si="44"/>
        <v>0</v>
      </c>
      <c r="T89" s="158">
        <f t="shared" si="35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</row>
    <row r="90" spans="2:110" ht="29" x14ac:dyDescent="0.4">
      <c r="B90" s="297"/>
      <c r="C90" s="60">
        <v>116</v>
      </c>
      <c r="D90" s="231" t="s">
        <v>221</v>
      </c>
      <c r="E90" s="196">
        <f>E89</f>
        <v>46018</v>
      </c>
      <c r="F90" s="196">
        <f>F89</f>
        <v>46026</v>
      </c>
      <c r="G90" s="197">
        <f t="shared" si="17"/>
        <v>8</v>
      </c>
      <c r="H90" s="196">
        <f t="shared" si="37"/>
        <v>46018</v>
      </c>
      <c r="I90" s="196">
        <f t="shared" si="38"/>
        <v>46026</v>
      </c>
      <c r="J90" s="200" t="s">
        <v>11</v>
      </c>
      <c r="K90" s="201">
        <v>1</v>
      </c>
      <c r="L90" s="202"/>
      <c r="M90" s="202"/>
      <c r="N90" s="199" t="str">
        <f t="shared" si="39"/>
        <v/>
      </c>
      <c r="O90" s="203" t="str">
        <f t="shared" si="40"/>
        <v>-</v>
      </c>
      <c r="P90" s="206">
        <f t="shared" si="41"/>
        <v>0</v>
      </c>
      <c r="Q90" s="208">
        <f t="shared" si="42"/>
        <v>0</v>
      </c>
      <c r="R90" s="205">
        <f t="shared" si="43"/>
        <v>1</v>
      </c>
      <c r="S90" s="65">
        <f t="shared" si="44"/>
        <v>0</v>
      </c>
      <c r="T90" s="158">
        <f t="shared" si="35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9"/>
      <c r="BP90" s="169"/>
      <c r="BQ90" s="169"/>
      <c r="BR90" s="169"/>
      <c r="BS90" s="169"/>
      <c r="BT90" s="169"/>
      <c r="BU90" s="169"/>
      <c r="BV90" s="169"/>
      <c r="BW90" s="169"/>
      <c r="BX90" s="169"/>
      <c r="BY90" s="169"/>
      <c r="BZ90" s="169"/>
      <c r="CA90" s="169"/>
      <c r="CB90" s="169"/>
      <c r="CC90" s="169"/>
      <c r="CD90" s="169"/>
      <c r="CE90" s="169"/>
      <c r="CF90" s="169"/>
      <c r="CG90" s="169"/>
      <c r="CH90" s="169"/>
      <c r="CI90" s="169"/>
      <c r="CJ90" s="169"/>
      <c r="CK90" s="169"/>
      <c r="CL90" s="169"/>
      <c r="CM90" s="169"/>
      <c r="CN90" s="169"/>
      <c r="CO90" s="169"/>
      <c r="CP90" s="169"/>
      <c r="CQ90" s="169"/>
      <c r="CR90" s="169"/>
      <c r="CS90" s="169"/>
      <c r="CT90" s="169"/>
      <c r="CU90" s="169"/>
      <c r="CV90" s="169"/>
      <c r="CW90" s="169"/>
      <c r="CX90" s="169"/>
      <c r="CY90" s="169"/>
      <c r="CZ90" s="169"/>
      <c r="DA90" s="169"/>
      <c r="DB90" s="169"/>
      <c r="DC90" s="169"/>
      <c r="DD90" s="169"/>
      <c r="DE90" s="169"/>
      <c r="DF90" s="169"/>
    </row>
    <row r="91" spans="2:110" x14ac:dyDescent="0.4">
      <c r="B91" s="297"/>
      <c r="C91" s="60">
        <v>117</v>
      </c>
      <c r="D91" s="231" t="s">
        <v>222</v>
      </c>
      <c r="E91" s="196">
        <f>E90</f>
        <v>46018</v>
      </c>
      <c r="F91" s="196">
        <f>F90</f>
        <v>46026</v>
      </c>
      <c r="G91" s="197">
        <f t="shared" si="17"/>
        <v>8</v>
      </c>
      <c r="H91" s="196">
        <f t="shared" si="37"/>
        <v>46018</v>
      </c>
      <c r="I91" s="196">
        <f t="shared" si="38"/>
        <v>46026</v>
      </c>
      <c r="J91" s="200" t="s">
        <v>11</v>
      </c>
      <c r="K91" s="201">
        <v>1</v>
      </c>
      <c r="L91" s="202"/>
      <c r="M91" s="202"/>
      <c r="N91" s="199" t="str">
        <f t="shared" si="39"/>
        <v/>
      </c>
      <c r="O91" s="203" t="str">
        <f t="shared" si="40"/>
        <v>-</v>
      </c>
      <c r="P91" s="206">
        <f t="shared" si="41"/>
        <v>0</v>
      </c>
      <c r="Q91" s="208">
        <f t="shared" si="42"/>
        <v>0</v>
      </c>
      <c r="R91" s="205">
        <f t="shared" si="43"/>
        <v>1</v>
      </c>
      <c r="S91" s="65">
        <f t="shared" si="44"/>
        <v>0</v>
      </c>
      <c r="T91" s="158">
        <f t="shared" si="35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9"/>
      <c r="BP91" s="169"/>
      <c r="BQ91" s="169"/>
      <c r="BR91" s="169"/>
      <c r="BS91" s="169"/>
      <c r="BT91" s="169"/>
      <c r="BU91" s="169"/>
      <c r="BV91" s="169"/>
      <c r="BW91" s="169"/>
      <c r="BX91" s="169"/>
      <c r="BY91" s="169"/>
      <c r="BZ91" s="169"/>
      <c r="CA91" s="169"/>
      <c r="CB91" s="169"/>
      <c r="CC91" s="169"/>
      <c r="CD91" s="169"/>
      <c r="CE91" s="169"/>
      <c r="CF91" s="169"/>
      <c r="CG91" s="169"/>
      <c r="CH91" s="169"/>
      <c r="CI91" s="169"/>
      <c r="CJ91" s="169"/>
      <c r="CK91" s="169"/>
      <c r="CL91" s="169"/>
      <c r="CM91" s="169"/>
      <c r="CN91" s="169"/>
      <c r="CO91" s="169"/>
      <c r="CP91" s="169"/>
      <c r="CQ91" s="169"/>
      <c r="CR91" s="169"/>
      <c r="CS91" s="169"/>
      <c r="CT91" s="169"/>
      <c r="CU91" s="169"/>
      <c r="CV91" s="169"/>
      <c r="CW91" s="169"/>
      <c r="CX91" s="169"/>
      <c r="CY91" s="169"/>
      <c r="CZ91" s="169"/>
      <c r="DA91" s="169"/>
      <c r="DB91" s="169"/>
      <c r="DC91" s="169"/>
      <c r="DD91" s="169"/>
      <c r="DE91" s="169"/>
      <c r="DF91" s="169"/>
    </row>
    <row r="92" spans="2:110" x14ac:dyDescent="0.4">
      <c r="B92" s="297"/>
      <c r="C92" s="60">
        <v>118</v>
      </c>
      <c r="D92" s="231" t="s">
        <v>217</v>
      </c>
      <c r="E92" s="196">
        <v>45919</v>
      </c>
      <c r="F92" s="196">
        <v>46009</v>
      </c>
      <c r="G92" s="197">
        <f t="shared" ref="G92:G120" si="45">F92-E92</f>
        <v>90</v>
      </c>
      <c r="H92" s="196">
        <f>E92</f>
        <v>45919</v>
      </c>
      <c r="I92" s="196">
        <f>F92</f>
        <v>46009</v>
      </c>
      <c r="J92" s="200" t="s">
        <v>11</v>
      </c>
      <c r="K92" s="201">
        <v>1</v>
      </c>
      <c r="L92" s="202"/>
      <c r="M92" s="202"/>
      <c r="N92" s="199" t="str">
        <f t="shared" si="39"/>
        <v/>
      </c>
      <c r="O92" s="203" t="str">
        <f t="shared" si="40"/>
        <v>-</v>
      </c>
      <c r="P92" s="206">
        <f t="shared" si="41"/>
        <v>0</v>
      </c>
      <c r="Q92" s="208">
        <f t="shared" si="42"/>
        <v>0</v>
      </c>
      <c r="R92" s="205">
        <f t="shared" si="43"/>
        <v>1</v>
      </c>
      <c r="S92" s="65">
        <f t="shared" si="44"/>
        <v>0</v>
      </c>
      <c r="T92" s="158">
        <f t="shared" si="35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9"/>
      <c r="BP92" s="169"/>
      <c r="BQ92" s="169"/>
      <c r="BR92" s="169"/>
      <c r="BS92" s="169"/>
      <c r="BT92" s="169"/>
      <c r="BU92" s="169"/>
      <c r="BV92" s="169"/>
      <c r="BW92" s="169"/>
      <c r="BX92" s="169"/>
      <c r="BY92" s="169"/>
      <c r="BZ92" s="169"/>
      <c r="CA92" s="169"/>
      <c r="CB92" s="169"/>
      <c r="CC92" s="169"/>
      <c r="CD92" s="169"/>
      <c r="CE92" s="169"/>
      <c r="CF92" s="169"/>
      <c r="CG92" s="169"/>
      <c r="CH92" s="169"/>
      <c r="CI92" s="169"/>
      <c r="CJ92" s="169"/>
      <c r="CK92" s="169"/>
      <c r="CL92" s="169"/>
      <c r="CM92" s="169"/>
      <c r="CN92" s="169"/>
      <c r="CO92" s="169"/>
      <c r="CP92" s="169"/>
      <c r="CQ92" s="169"/>
      <c r="CR92" s="169"/>
      <c r="CS92" s="169"/>
      <c r="CT92" s="169"/>
      <c r="CU92" s="169"/>
      <c r="CV92" s="169"/>
      <c r="CW92" s="169"/>
      <c r="CX92" s="169"/>
      <c r="CY92" s="169"/>
      <c r="CZ92" s="169"/>
      <c r="DA92" s="169"/>
      <c r="DB92" s="169"/>
      <c r="DC92" s="169"/>
      <c r="DD92" s="169"/>
      <c r="DE92" s="169"/>
      <c r="DF92" s="169"/>
    </row>
    <row r="93" spans="2:110" x14ac:dyDescent="0.4">
      <c r="B93" s="297"/>
      <c r="C93" s="60">
        <v>119</v>
      </c>
      <c r="D93" s="231" t="s">
        <v>218</v>
      </c>
      <c r="E93" s="196">
        <v>45919</v>
      </c>
      <c r="F93" s="196">
        <v>46011</v>
      </c>
      <c r="G93" s="197">
        <f t="shared" si="45"/>
        <v>92</v>
      </c>
      <c r="H93" s="196">
        <f t="shared" ref="H93:H120" si="46">E93</f>
        <v>45919</v>
      </c>
      <c r="I93" s="196">
        <f t="shared" ref="I93:I120" si="47">F93</f>
        <v>46011</v>
      </c>
      <c r="J93" s="200" t="s">
        <v>11</v>
      </c>
      <c r="K93" s="201">
        <v>1</v>
      </c>
      <c r="L93" s="202"/>
      <c r="M93" s="202"/>
      <c r="N93" s="199" t="str">
        <f t="shared" si="39"/>
        <v/>
      </c>
      <c r="O93" s="203" t="str">
        <f t="shared" si="40"/>
        <v>-</v>
      </c>
      <c r="P93" s="206">
        <f t="shared" si="41"/>
        <v>0</v>
      </c>
      <c r="Q93" s="208">
        <f t="shared" si="42"/>
        <v>0</v>
      </c>
      <c r="R93" s="205">
        <f t="shared" si="43"/>
        <v>1</v>
      </c>
      <c r="S93" s="65">
        <f t="shared" si="44"/>
        <v>0</v>
      </c>
      <c r="T93" s="158">
        <f t="shared" si="35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9"/>
      <c r="BP93" s="169"/>
      <c r="BQ93" s="169"/>
      <c r="BR93" s="169"/>
      <c r="BS93" s="169"/>
      <c r="BT93" s="169"/>
      <c r="BU93" s="169"/>
      <c r="BV93" s="169"/>
      <c r="BW93" s="169"/>
      <c r="BX93" s="169"/>
      <c r="BY93" s="169"/>
      <c r="BZ93" s="169"/>
      <c r="CA93" s="169"/>
      <c r="CB93" s="169"/>
      <c r="CC93" s="169"/>
      <c r="CD93" s="169"/>
      <c r="CE93" s="169"/>
      <c r="CF93" s="169"/>
      <c r="CG93" s="169"/>
      <c r="CH93" s="169"/>
      <c r="CI93" s="169"/>
      <c r="CJ93" s="169"/>
      <c r="CK93" s="169"/>
      <c r="CL93" s="169"/>
      <c r="CM93" s="169"/>
      <c r="CN93" s="169"/>
      <c r="CO93" s="169"/>
      <c r="CP93" s="169"/>
      <c r="CQ93" s="169"/>
      <c r="CR93" s="169"/>
      <c r="CS93" s="169"/>
      <c r="CT93" s="169"/>
      <c r="CU93" s="169"/>
      <c r="CV93" s="169"/>
      <c r="CW93" s="169"/>
      <c r="CX93" s="169"/>
      <c r="CY93" s="169"/>
      <c r="CZ93" s="169"/>
      <c r="DA93" s="169"/>
      <c r="DB93" s="169"/>
      <c r="DC93" s="169"/>
      <c r="DD93" s="169"/>
      <c r="DE93" s="169"/>
      <c r="DF93" s="169"/>
    </row>
    <row r="94" spans="2:110" x14ac:dyDescent="0.4">
      <c r="B94" s="297" t="s">
        <v>223</v>
      </c>
      <c r="C94" s="60">
        <v>120</v>
      </c>
      <c r="D94" s="231" t="s">
        <v>224</v>
      </c>
      <c r="E94" s="196">
        <v>45940</v>
      </c>
      <c r="F94" s="196">
        <v>46006</v>
      </c>
      <c r="G94" s="197">
        <f t="shared" si="45"/>
        <v>66</v>
      </c>
      <c r="H94" s="196">
        <f t="shared" si="46"/>
        <v>45940</v>
      </c>
      <c r="I94" s="196">
        <f t="shared" si="47"/>
        <v>46006</v>
      </c>
      <c r="J94" s="200" t="s">
        <v>2</v>
      </c>
      <c r="K94" s="201">
        <v>26</v>
      </c>
      <c r="L94" s="202"/>
      <c r="M94" s="202"/>
      <c r="N94" s="199" t="str">
        <f t="shared" si="39"/>
        <v/>
      </c>
      <c r="O94" s="203" t="str">
        <f t="shared" si="40"/>
        <v>-</v>
      </c>
      <c r="P94" s="206">
        <f t="shared" si="41"/>
        <v>0</v>
      </c>
      <c r="Q94" s="208">
        <f t="shared" si="42"/>
        <v>0</v>
      </c>
      <c r="R94" s="205">
        <f t="shared" si="43"/>
        <v>26</v>
      </c>
      <c r="S94" s="65">
        <f t="shared" si="44"/>
        <v>0</v>
      </c>
      <c r="T94" s="158">
        <f t="shared" si="35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9"/>
      <c r="BP94" s="169"/>
      <c r="BQ94" s="169"/>
      <c r="BR94" s="169"/>
      <c r="BS94" s="169"/>
      <c r="BT94" s="169"/>
      <c r="BU94" s="169"/>
      <c r="BV94" s="169"/>
      <c r="BW94" s="169"/>
      <c r="BX94" s="169"/>
      <c r="BY94" s="169"/>
      <c r="BZ94" s="169"/>
      <c r="CA94" s="169"/>
      <c r="CB94" s="169"/>
      <c r="CC94" s="169"/>
      <c r="CD94" s="169"/>
      <c r="CE94" s="169"/>
      <c r="CF94" s="169"/>
      <c r="CG94" s="169"/>
      <c r="CH94" s="169"/>
      <c r="CI94" s="169"/>
      <c r="CJ94" s="169"/>
      <c r="CK94" s="169"/>
      <c r="CL94" s="169"/>
      <c r="CM94" s="169"/>
      <c r="CN94" s="169"/>
      <c r="CO94" s="169"/>
      <c r="CP94" s="169"/>
      <c r="CQ94" s="169"/>
      <c r="CR94" s="169"/>
      <c r="CS94" s="169"/>
      <c r="CT94" s="169"/>
      <c r="CU94" s="169"/>
      <c r="CV94" s="169"/>
      <c r="CW94" s="169"/>
      <c r="CX94" s="169"/>
      <c r="CY94" s="169"/>
      <c r="CZ94" s="169"/>
      <c r="DA94" s="169"/>
      <c r="DB94" s="169"/>
      <c r="DC94" s="169"/>
      <c r="DD94" s="169"/>
      <c r="DE94" s="169"/>
      <c r="DF94" s="169"/>
    </row>
    <row r="95" spans="2:110" x14ac:dyDescent="0.4">
      <c r="B95" s="297"/>
      <c r="C95" s="60">
        <v>121</v>
      </c>
      <c r="D95" s="231" t="s">
        <v>225</v>
      </c>
      <c r="E95" s="196">
        <v>45992</v>
      </c>
      <c r="F95" s="196">
        <v>46011</v>
      </c>
      <c r="G95" s="197">
        <f t="shared" si="45"/>
        <v>19</v>
      </c>
      <c r="H95" s="196">
        <f t="shared" si="46"/>
        <v>45992</v>
      </c>
      <c r="I95" s="196">
        <f t="shared" si="47"/>
        <v>46011</v>
      </c>
      <c r="J95" s="200" t="s">
        <v>2</v>
      </c>
      <c r="K95" s="201">
        <v>26</v>
      </c>
      <c r="L95" s="202"/>
      <c r="M95" s="202"/>
      <c r="N95" s="199" t="str">
        <f t="shared" si="39"/>
        <v/>
      </c>
      <c r="O95" s="203" t="str">
        <f t="shared" si="40"/>
        <v>-</v>
      </c>
      <c r="P95" s="206">
        <f t="shared" si="41"/>
        <v>0</v>
      </c>
      <c r="Q95" s="208">
        <f t="shared" si="42"/>
        <v>0</v>
      </c>
      <c r="R95" s="205">
        <f t="shared" si="43"/>
        <v>26</v>
      </c>
      <c r="S95" s="65">
        <f t="shared" si="44"/>
        <v>0</v>
      </c>
      <c r="T95" s="158">
        <f t="shared" si="35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9"/>
      <c r="BP95" s="169"/>
      <c r="BQ95" s="169"/>
      <c r="BR95" s="169"/>
      <c r="BS95" s="169"/>
      <c r="BT95" s="169"/>
      <c r="BU95" s="169"/>
      <c r="BV95" s="169"/>
      <c r="BW95" s="169"/>
      <c r="BX95" s="169"/>
      <c r="BY95" s="169"/>
      <c r="BZ95" s="169"/>
      <c r="CA95" s="169"/>
      <c r="CB95" s="169"/>
      <c r="CC95" s="169"/>
      <c r="CD95" s="169"/>
      <c r="CE95" s="169"/>
      <c r="CF95" s="169"/>
      <c r="CG95" s="169"/>
      <c r="CH95" s="169"/>
      <c r="CI95" s="169"/>
      <c r="CJ95" s="169"/>
      <c r="CK95" s="169"/>
      <c r="CL95" s="169"/>
      <c r="CM95" s="169"/>
      <c r="CN95" s="169"/>
      <c r="CO95" s="169"/>
      <c r="CP95" s="169"/>
      <c r="CQ95" s="169"/>
      <c r="CR95" s="169"/>
      <c r="CS95" s="169"/>
      <c r="CT95" s="169"/>
      <c r="CU95" s="169"/>
      <c r="CV95" s="169"/>
      <c r="CW95" s="169"/>
      <c r="CX95" s="169"/>
      <c r="CY95" s="169"/>
      <c r="CZ95" s="169"/>
      <c r="DA95" s="169"/>
      <c r="DB95" s="169"/>
      <c r="DC95" s="169"/>
      <c r="DD95" s="169"/>
      <c r="DE95" s="169"/>
      <c r="DF95" s="169"/>
    </row>
    <row r="96" spans="2:110" x14ac:dyDescent="0.4">
      <c r="B96" s="297"/>
      <c r="C96" s="60">
        <v>122</v>
      </c>
      <c r="D96" s="231" t="s">
        <v>430</v>
      </c>
      <c r="E96" s="196">
        <v>45962</v>
      </c>
      <c r="F96" s="196">
        <v>45996</v>
      </c>
      <c r="G96" s="197">
        <f t="shared" si="45"/>
        <v>34</v>
      </c>
      <c r="H96" s="196">
        <f t="shared" si="46"/>
        <v>45962</v>
      </c>
      <c r="I96" s="196">
        <f t="shared" si="47"/>
        <v>45996</v>
      </c>
      <c r="J96" s="200" t="s">
        <v>2</v>
      </c>
      <c r="K96" s="201">
        <v>26</v>
      </c>
      <c r="L96" s="202"/>
      <c r="M96" s="202"/>
      <c r="N96" s="199" t="str">
        <f t="shared" si="39"/>
        <v/>
      </c>
      <c r="O96" s="203" t="str">
        <f t="shared" si="40"/>
        <v>-</v>
      </c>
      <c r="P96" s="206">
        <f t="shared" si="41"/>
        <v>0</v>
      </c>
      <c r="Q96" s="208">
        <f t="shared" si="42"/>
        <v>0</v>
      </c>
      <c r="R96" s="205">
        <f t="shared" si="43"/>
        <v>26</v>
      </c>
      <c r="S96" s="65">
        <f t="shared" si="44"/>
        <v>0</v>
      </c>
      <c r="T96" s="158">
        <f t="shared" si="35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9"/>
      <c r="BP96" s="169"/>
      <c r="BQ96" s="169"/>
      <c r="BR96" s="169"/>
      <c r="BS96" s="169"/>
      <c r="BT96" s="169"/>
      <c r="BU96" s="169"/>
      <c r="BV96" s="169"/>
      <c r="BW96" s="169"/>
      <c r="BX96" s="169"/>
      <c r="BY96" s="169"/>
      <c r="BZ96" s="169"/>
      <c r="CA96" s="169"/>
      <c r="CB96" s="169"/>
      <c r="CC96" s="169"/>
      <c r="CD96" s="169"/>
      <c r="CE96" s="169"/>
      <c r="CF96" s="169"/>
      <c r="CG96" s="169"/>
      <c r="CH96" s="169"/>
      <c r="CI96" s="169"/>
      <c r="CJ96" s="169"/>
      <c r="CK96" s="169"/>
      <c r="CL96" s="169"/>
      <c r="CM96" s="169"/>
      <c r="CN96" s="169"/>
      <c r="CO96" s="169"/>
      <c r="CP96" s="169"/>
      <c r="CQ96" s="169"/>
      <c r="CR96" s="169"/>
      <c r="CS96" s="169"/>
      <c r="CT96" s="169"/>
      <c r="CU96" s="169"/>
      <c r="CV96" s="169"/>
      <c r="CW96" s="169"/>
      <c r="CX96" s="169"/>
      <c r="CY96" s="169"/>
      <c r="CZ96" s="169"/>
      <c r="DA96" s="169"/>
      <c r="DB96" s="169"/>
      <c r="DC96" s="169"/>
      <c r="DD96" s="169"/>
      <c r="DE96" s="169"/>
      <c r="DF96" s="169"/>
    </row>
    <row r="97" spans="2:110" x14ac:dyDescent="0.4">
      <c r="B97" s="311" t="s">
        <v>226</v>
      </c>
      <c r="C97" s="60">
        <v>123</v>
      </c>
      <c r="D97" s="231" t="s">
        <v>227</v>
      </c>
      <c r="E97" s="196">
        <v>45986</v>
      </c>
      <c r="F97" s="196">
        <v>46016</v>
      </c>
      <c r="G97" s="197">
        <f t="shared" si="45"/>
        <v>30</v>
      </c>
      <c r="H97" s="196">
        <f t="shared" si="46"/>
        <v>45986</v>
      </c>
      <c r="I97" s="196">
        <f t="shared" si="47"/>
        <v>46016</v>
      </c>
      <c r="J97" s="200" t="s">
        <v>2</v>
      </c>
      <c r="K97" s="201">
        <v>26</v>
      </c>
      <c r="L97" s="202"/>
      <c r="M97" s="202"/>
      <c r="N97" s="199" t="str">
        <f t="shared" si="39"/>
        <v/>
      </c>
      <c r="O97" s="203" t="str">
        <f t="shared" si="40"/>
        <v>-</v>
      </c>
      <c r="P97" s="206">
        <f t="shared" si="41"/>
        <v>0</v>
      </c>
      <c r="Q97" s="208">
        <f t="shared" si="42"/>
        <v>0</v>
      </c>
      <c r="R97" s="205">
        <f t="shared" si="43"/>
        <v>26</v>
      </c>
      <c r="S97" s="65">
        <f t="shared" si="44"/>
        <v>0</v>
      </c>
      <c r="T97" s="158">
        <f t="shared" si="35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9"/>
      <c r="BP97" s="169"/>
      <c r="BQ97" s="169"/>
      <c r="BR97" s="169"/>
      <c r="BS97" s="169"/>
      <c r="BT97" s="169"/>
      <c r="BU97" s="169"/>
      <c r="BV97" s="169"/>
      <c r="BW97" s="169"/>
      <c r="BX97" s="169"/>
      <c r="BY97" s="169"/>
      <c r="BZ97" s="169"/>
      <c r="CA97" s="169"/>
      <c r="CB97" s="169"/>
      <c r="CC97" s="169"/>
      <c r="CD97" s="169"/>
      <c r="CE97" s="169"/>
      <c r="CF97" s="169"/>
      <c r="CG97" s="169"/>
      <c r="CH97" s="169"/>
      <c r="CI97" s="169"/>
      <c r="CJ97" s="169"/>
      <c r="CK97" s="169"/>
      <c r="CL97" s="169"/>
      <c r="CM97" s="169"/>
      <c r="CN97" s="169"/>
      <c r="CO97" s="169"/>
      <c r="CP97" s="169"/>
      <c r="CQ97" s="169"/>
      <c r="CR97" s="169"/>
      <c r="CS97" s="169"/>
      <c r="CT97" s="169"/>
      <c r="CU97" s="169"/>
      <c r="CV97" s="169"/>
      <c r="CW97" s="169"/>
      <c r="CX97" s="169"/>
      <c r="CY97" s="169"/>
      <c r="CZ97" s="169"/>
      <c r="DA97" s="169"/>
      <c r="DB97" s="169"/>
      <c r="DC97" s="169"/>
      <c r="DD97" s="169"/>
      <c r="DE97" s="169"/>
      <c r="DF97" s="169"/>
    </row>
    <row r="98" spans="2:110" x14ac:dyDescent="0.4">
      <c r="B98" s="311"/>
      <c r="C98" s="60">
        <v>124</v>
      </c>
      <c r="D98" s="231" t="s">
        <v>228</v>
      </c>
      <c r="E98" s="196">
        <v>45984</v>
      </c>
      <c r="F98" s="196">
        <v>46008</v>
      </c>
      <c r="G98" s="197">
        <f t="shared" si="45"/>
        <v>24</v>
      </c>
      <c r="H98" s="196">
        <f t="shared" si="46"/>
        <v>45984</v>
      </c>
      <c r="I98" s="196">
        <f t="shared" si="47"/>
        <v>46008</v>
      </c>
      <c r="J98" s="200" t="s">
        <v>2</v>
      </c>
      <c r="K98" s="201">
        <v>26</v>
      </c>
      <c r="L98" s="202"/>
      <c r="M98" s="202"/>
      <c r="N98" s="199" t="str">
        <f t="shared" si="39"/>
        <v/>
      </c>
      <c r="O98" s="203" t="str">
        <f t="shared" si="40"/>
        <v>-</v>
      </c>
      <c r="P98" s="206">
        <f t="shared" si="41"/>
        <v>0</v>
      </c>
      <c r="Q98" s="208">
        <f t="shared" si="42"/>
        <v>0</v>
      </c>
      <c r="R98" s="205">
        <f t="shared" si="43"/>
        <v>26</v>
      </c>
      <c r="S98" s="65">
        <f t="shared" si="44"/>
        <v>0</v>
      </c>
      <c r="T98" s="158">
        <f t="shared" si="35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9"/>
      <c r="BP98" s="169"/>
      <c r="BQ98" s="169"/>
      <c r="BR98" s="169"/>
      <c r="BS98" s="169"/>
      <c r="BT98" s="169"/>
      <c r="BU98" s="169"/>
      <c r="BV98" s="169"/>
      <c r="BW98" s="169"/>
      <c r="BX98" s="169"/>
      <c r="BY98" s="169"/>
      <c r="BZ98" s="169"/>
      <c r="CA98" s="169"/>
      <c r="CB98" s="169"/>
      <c r="CC98" s="169"/>
      <c r="CD98" s="169"/>
      <c r="CE98" s="169"/>
      <c r="CF98" s="169"/>
      <c r="CG98" s="169"/>
      <c r="CH98" s="169"/>
      <c r="CI98" s="169"/>
      <c r="CJ98" s="169"/>
      <c r="CK98" s="169"/>
      <c r="CL98" s="169"/>
      <c r="CM98" s="169"/>
      <c r="CN98" s="169"/>
      <c r="CO98" s="169"/>
      <c r="CP98" s="169"/>
      <c r="CQ98" s="169"/>
      <c r="CR98" s="169"/>
      <c r="CS98" s="169"/>
      <c r="CT98" s="169"/>
      <c r="CU98" s="169"/>
      <c r="CV98" s="169"/>
      <c r="CW98" s="169"/>
      <c r="CX98" s="169"/>
      <c r="CY98" s="169"/>
      <c r="CZ98" s="169"/>
      <c r="DA98" s="169"/>
      <c r="DB98" s="169"/>
      <c r="DC98" s="169"/>
      <c r="DD98" s="169"/>
      <c r="DE98" s="169"/>
      <c r="DF98" s="169"/>
    </row>
    <row r="99" spans="2:110" x14ac:dyDescent="0.4">
      <c r="B99" s="311"/>
      <c r="C99" s="60">
        <v>125</v>
      </c>
      <c r="D99" s="231" t="s">
        <v>434</v>
      </c>
      <c r="E99" s="196">
        <v>45988</v>
      </c>
      <c r="F99" s="196">
        <v>46007</v>
      </c>
      <c r="G99" s="197">
        <f t="shared" si="45"/>
        <v>19</v>
      </c>
      <c r="H99" s="196">
        <f t="shared" si="46"/>
        <v>45988</v>
      </c>
      <c r="I99" s="196">
        <f t="shared" si="47"/>
        <v>46007</v>
      </c>
      <c r="J99" s="200" t="s">
        <v>2</v>
      </c>
      <c r="K99" s="201">
        <v>26</v>
      </c>
      <c r="L99" s="202"/>
      <c r="M99" s="202"/>
      <c r="N99" s="199" t="str">
        <f t="shared" si="39"/>
        <v/>
      </c>
      <c r="O99" s="203" t="str">
        <f t="shared" si="40"/>
        <v>-</v>
      </c>
      <c r="P99" s="206">
        <f t="shared" si="41"/>
        <v>0</v>
      </c>
      <c r="Q99" s="208">
        <f t="shared" si="42"/>
        <v>0</v>
      </c>
      <c r="R99" s="205">
        <f t="shared" si="43"/>
        <v>26</v>
      </c>
      <c r="S99" s="65">
        <f t="shared" si="44"/>
        <v>0</v>
      </c>
      <c r="T99" s="158">
        <f t="shared" si="35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9"/>
      <c r="BP99" s="169"/>
      <c r="BQ99" s="169"/>
      <c r="BR99" s="169"/>
      <c r="BS99" s="169"/>
      <c r="BT99" s="169"/>
      <c r="BU99" s="169"/>
      <c r="BV99" s="169"/>
      <c r="BW99" s="169"/>
      <c r="BX99" s="169"/>
      <c r="BY99" s="169"/>
      <c r="BZ99" s="169"/>
      <c r="CA99" s="169"/>
      <c r="CB99" s="169"/>
      <c r="CC99" s="169"/>
      <c r="CD99" s="169"/>
      <c r="CE99" s="169"/>
      <c r="CF99" s="169"/>
      <c r="CG99" s="169"/>
      <c r="CH99" s="169"/>
      <c r="CI99" s="169"/>
      <c r="CJ99" s="169"/>
      <c r="CK99" s="169"/>
      <c r="CL99" s="169"/>
      <c r="CM99" s="169"/>
      <c r="CN99" s="169"/>
      <c r="CO99" s="169"/>
      <c r="CP99" s="169"/>
      <c r="CQ99" s="169"/>
      <c r="CR99" s="169"/>
      <c r="CS99" s="169"/>
      <c r="CT99" s="169"/>
      <c r="CU99" s="169"/>
      <c r="CV99" s="169"/>
      <c r="CW99" s="169"/>
      <c r="CX99" s="169"/>
      <c r="CY99" s="169"/>
      <c r="CZ99" s="169"/>
      <c r="DA99" s="169"/>
      <c r="DB99" s="169"/>
      <c r="DC99" s="169"/>
      <c r="DD99" s="169"/>
      <c r="DE99" s="169"/>
      <c r="DF99" s="169"/>
    </row>
    <row r="100" spans="2:110" x14ac:dyDescent="0.4">
      <c r="B100" s="311"/>
      <c r="C100" s="60">
        <v>127</v>
      </c>
      <c r="D100" s="231" t="s">
        <v>231</v>
      </c>
      <c r="E100" s="196">
        <v>45978</v>
      </c>
      <c r="F100" s="196">
        <v>45984</v>
      </c>
      <c r="G100" s="197">
        <f t="shared" si="45"/>
        <v>6</v>
      </c>
      <c r="H100" s="196">
        <f t="shared" si="46"/>
        <v>45978</v>
      </c>
      <c r="I100" s="196">
        <f t="shared" si="47"/>
        <v>45984</v>
      </c>
      <c r="J100" s="200" t="s">
        <v>2</v>
      </c>
      <c r="K100" s="201">
        <v>26</v>
      </c>
      <c r="L100" s="202"/>
      <c r="M100" s="202"/>
      <c r="N100" s="199" t="str">
        <f t="shared" si="39"/>
        <v/>
      </c>
      <c r="O100" s="203" t="str">
        <f t="shared" si="40"/>
        <v>-</v>
      </c>
      <c r="P100" s="206">
        <f t="shared" si="41"/>
        <v>0</v>
      </c>
      <c r="Q100" s="208">
        <f t="shared" si="42"/>
        <v>0</v>
      </c>
      <c r="R100" s="205">
        <f t="shared" si="43"/>
        <v>26</v>
      </c>
      <c r="S100" s="65">
        <f t="shared" ref="S100:S120" si="48">SUM(U100:XFD100)</f>
        <v>0</v>
      </c>
      <c r="T100" s="158">
        <f t="shared" si="35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9"/>
      <c r="BP100" s="169"/>
      <c r="BQ100" s="169"/>
      <c r="BR100" s="169"/>
      <c r="BS100" s="169"/>
      <c r="BT100" s="169"/>
      <c r="BU100" s="169"/>
      <c r="BV100" s="169"/>
      <c r="BW100" s="169"/>
      <c r="BX100" s="169"/>
      <c r="BY100" s="169"/>
      <c r="BZ100" s="169"/>
      <c r="CA100" s="169"/>
      <c r="CB100" s="169"/>
      <c r="CC100" s="169"/>
      <c r="CD100" s="169"/>
      <c r="CE100" s="169"/>
      <c r="CF100" s="169"/>
      <c r="CG100" s="169"/>
      <c r="CH100" s="169"/>
      <c r="CI100" s="169"/>
      <c r="CJ100" s="169"/>
      <c r="CK100" s="169"/>
      <c r="CL100" s="169"/>
      <c r="CM100" s="169"/>
      <c r="CN100" s="169"/>
      <c r="CO100" s="169"/>
      <c r="CP100" s="169"/>
      <c r="CQ100" s="169"/>
      <c r="CR100" s="169"/>
      <c r="CS100" s="169"/>
      <c r="CT100" s="169"/>
      <c r="CU100" s="169"/>
      <c r="CV100" s="169"/>
      <c r="CW100" s="169"/>
      <c r="CX100" s="169"/>
      <c r="CY100" s="169"/>
      <c r="CZ100" s="169"/>
      <c r="DA100" s="169"/>
      <c r="DB100" s="169"/>
      <c r="DC100" s="169"/>
      <c r="DD100" s="169"/>
      <c r="DE100" s="169"/>
      <c r="DF100" s="169"/>
    </row>
    <row r="101" spans="2:110" x14ac:dyDescent="0.4">
      <c r="B101" s="311"/>
      <c r="C101" s="60">
        <v>128</v>
      </c>
      <c r="D101" s="231" t="s">
        <v>435</v>
      </c>
      <c r="E101" s="196">
        <v>45985</v>
      </c>
      <c r="F101" s="196">
        <v>45989</v>
      </c>
      <c r="G101" s="197">
        <f t="shared" si="45"/>
        <v>4</v>
      </c>
      <c r="H101" s="196">
        <f t="shared" si="46"/>
        <v>45985</v>
      </c>
      <c r="I101" s="196">
        <f t="shared" si="47"/>
        <v>45989</v>
      </c>
      <c r="J101" s="200" t="s">
        <v>2</v>
      </c>
      <c r="K101" s="201">
        <v>26</v>
      </c>
      <c r="L101" s="202"/>
      <c r="M101" s="202"/>
      <c r="N101" s="199" t="str">
        <f t="shared" si="39"/>
        <v/>
      </c>
      <c r="O101" s="203" t="str">
        <f t="shared" si="40"/>
        <v>-</v>
      </c>
      <c r="P101" s="206">
        <f t="shared" si="41"/>
        <v>0</v>
      </c>
      <c r="Q101" s="208">
        <f t="shared" si="42"/>
        <v>0</v>
      </c>
      <c r="R101" s="205">
        <f t="shared" si="43"/>
        <v>26</v>
      </c>
      <c r="S101" s="65">
        <f t="shared" si="48"/>
        <v>0</v>
      </c>
      <c r="T101" s="158">
        <f t="shared" si="35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9"/>
      <c r="BP101" s="169"/>
      <c r="BQ101" s="169"/>
      <c r="BR101" s="169"/>
      <c r="BS101" s="169"/>
      <c r="BT101" s="169"/>
      <c r="BU101" s="169"/>
      <c r="BV101" s="169"/>
      <c r="BW101" s="169"/>
      <c r="BX101" s="169"/>
      <c r="BY101" s="169"/>
      <c r="BZ101" s="169"/>
      <c r="CA101" s="169"/>
      <c r="CB101" s="169"/>
      <c r="CC101" s="169"/>
      <c r="CD101" s="169"/>
      <c r="CE101" s="169"/>
      <c r="CF101" s="169"/>
      <c r="CG101" s="169"/>
      <c r="CH101" s="169"/>
      <c r="CI101" s="169"/>
      <c r="CJ101" s="169"/>
      <c r="CK101" s="169"/>
      <c r="CL101" s="169"/>
      <c r="CM101" s="169"/>
      <c r="CN101" s="169"/>
      <c r="CO101" s="169"/>
      <c r="CP101" s="169"/>
      <c r="CQ101" s="169"/>
      <c r="CR101" s="169"/>
      <c r="CS101" s="169"/>
      <c r="CT101" s="169"/>
      <c r="CU101" s="169"/>
      <c r="CV101" s="169"/>
      <c r="CW101" s="169"/>
      <c r="CX101" s="169"/>
      <c r="CY101" s="169"/>
      <c r="CZ101" s="169"/>
      <c r="DA101" s="169"/>
      <c r="DB101" s="169"/>
      <c r="DC101" s="169"/>
      <c r="DD101" s="169"/>
      <c r="DE101" s="169"/>
      <c r="DF101" s="169"/>
    </row>
    <row r="102" spans="2:110" x14ac:dyDescent="0.4">
      <c r="B102" s="311"/>
      <c r="C102" s="60">
        <v>129</v>
      </c>
      <c r="D102" s="231" t="s">
        <v>436</v>
      </c>
      <c r="E102" s="196">
        <v>45985</v>
      </c>
      <c r="F102" s="196">
        <v>45992</v>
      </c>
      <c r="G102" s="197">
        <f t="shared" si="45"/>
        <v>7</v>
      </c>
      <c r="H102" s="196">
        <f t="shared" si="46"/>
        <v>45985</v>
      </c>
      <c r="I102" s="196">
        <f t="shared" si="47"/>
        <v>45992</v>
      </c>
      <c r="J102" s="200" t="s">
        <v>2</v>
      </c>
      <c r="K102" s="201">
        <v>26</v>
      </c>
      <c r="L102" s="202"/>
      <c r="M102" s="202"/>
      <c r="N102" s="199" t="str">
        <f t="shared" si="39"/>
        <v/>
      </c>
      <c r="O102" s="203" t="str">
        <f t="shared" si="40"/>
        <v>-</v>
      </c>
      <c r="P102" s="206">
        <f t="shared" si="41"/>
        <v>0</v>
      </c>
      <c r="Q102" s="208">
        <f t="shared" si="42"/>
        <v>0</v>
      </c>
      <c r="R102" s="205">
        <f t="shared" si="43"/>
        <v>26</v>
      </c>
      <c r="S102" s="65">
        <f t="shared" si="48"/>
        <v>0</v>
      </c>
      <c r="T102" s="158">
        <f t="shared" si="35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9"/>
      <c r="BP102" s="169"/>
      <c r="BQ102" s="169"/>
      <c r="BR102" s="169"/>
      <c r="BS102" s="169"/>
      <c r="BT102" s="169"/>
      <c r="BU102" s="169"/>
      <c r="BV102" s="169"/>
      <c r="BW102" s="169"/>
      <c r="BX102" s="169"/>
      <c r="BY102" s="169"/>
      <c r="BZ102" s="169"/>
      <c r="CA102" s="169"/>
      <c r="CB102" s="169"/>
      <c r="CC102" s="169"/>
      <c r="CD102" s="169"/>
      <c r="CE102" s="169"/>
      <c r="CF102" s="169"/>
      <c r="CG102" s="169"/>
      <c r="CH102" s="169"/>
      <c r="CI102" s="169"/>
      <c r="CJ102" s="169"/>
      <c r="CK102" s="169"/>
      <c r="CL102" s="169"/>
      <c r="CM102" s="169"/>
      <c r="CN102" s="169"/>
      <c r="CO102" s="169"/>
      <c r="CP102" s="169"/>
      <c r="CQ102" s="169"/>
      <c r="CR102" s="169"/>
      <c r="CS102" s="169"/>
      <c r="CT102" s="169"/>
      <c r="CU102" s="169"/>
      <c r="CV102" s="169"/>
      <c r="CW102" s="169"/>
      <c r="CX102" s="169"/>
      <c r="CY102" s="169"/>
      <c r="CZ102" s="169"/>
      <c r="DA102" s="169"/>
      <c r="DB102" s="169"/>
      <c r="DC102" s="169"/>
      <c r="DD102" s="169"/>
      <c r="DE102" s="169"/>
      <c r="DF102" s="169"/>
    </row>
    <row r="103" spans="2:110" x14ac:dyDescent="0.4">
      <c r="B103" s="311"/>
      <c r="C103" s="60">
        <v>130</v>
      </c>
      <c r="D103" s="231" t="s">
        <v>234</v>
      </c>
      <c r="E103" s="196">
        <v>45988</v>
      </c>
      <c r="F103" s="196">
        <v>46017</v>
      </c>
      <c r="G103" s="197">
        <f t="shared" si="45"/>
        <v>29</v>
      </c>
      <c r="H103" s="196">
        <f t="shared" si="46"/>
        <v>45988</v>
      </c>
      <c r="I103" s="196">
        <f t="shared" si="47"/>
        <v>46017</v>
      </c>
      <c r="J103" s="200" t="s">
        <v>2</v>
      </c>
      <c r="K103" s="201">
        <v>26</v>
      </c>
      <c r="L103" s="202"/>
      <c r="M103" s="202"/>
      <c r="N103" s="199" t="str">
        <f t="shared" si="39"/>
        <v/>
      </c>
      <c r="O103" s="203" t="str">
        <f t="shared" si="40"/>
        <v>-</v>
      </c>
      <c r="P103" s="206">
        <f t="shared" si="41"/>
        <v>0</v>
      </c>
      <c r="Q103" s="208">
        <f t="shared" si="42"/>
        <v>0</v>
      </c>
      <c r="R103" s="205">
        <f t="shared" si="43"/>
        <v>26</v>
      </c>
      <c r="S103" s="65">
        <f t="shared" si="48"/>
        <v>0</v>
      </c>
      <c r="T103" s="158">
        <f t="shared" si="35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9"/>
      <c r="BP103" s="169"/>
      <c r="BQ103" s="169"/>
      <c r="BR103" s="169"/>
      <c r="BS103" s="169"/>
      <c r="BT103" s="169"/>
      <c r="BU103" s="169"/>
      <c r="BV103" s="169"/>
      <c r="BW103" s="169"/>
      <c r="BX103" s="169"/>
      <c r="BY103" s="169"/>
      <c r="BZ103" s="169"/>
      <c r="CA103" s="169"/>
      <c r="CB103" s="169"/>
      <c r="CC103" s="169"/>
      <c r="CD103" s="169"/>
      <c r="CE103" s="169"/>
      <c r="CF103" s="169"/>
      <c r="CG103" s="169"/>
      <c r="CH103" s="169"/>
      <c r="CI103" s="169"/>
      <c r="CJ103" s="169"/>
      <c r="CK103" s="169"/>
      <c r="CL103" s="169"/>
      <c r="CM103" s="169"/>
      <c r="CN103" s="169"/>
      <c r="CO103" s="169"/>
      <c r="CP103" s="169"/>
      <c r="CQ103" s="169"/>
      <c r="CR103" s="169"/>
      <c r="CS103" s="169"/>
      <c r="CT103" s="169"/>
      <c r="CU103" s="169"/>
      <c r="CV103" s="169"/>
      <c r="CW103" s="169"/>
      <c r="CX103" s="169"/>
      <c r="CY103" s="169"/>
      <c r="CZ103" s="169"/>
      <c r="DA103" s="169"/>
      <c r="DB103" s="169"/>
      <c r="DC103" s="169"/>
      <c r="DD103" s="169"/>
      <c r="DE103" s="169"/>
      <c r="DF103" s="169"/>
    </row>
    <row r="104" spans="2:110" x14ac:dyDescent="0.4">
      <c r="B104" s="311"/>
      <c r="C104" s="60">
        <v>131</v>
      </c>
      <c r="D104" s="231" t="s">
        <v>431</v>
      </c>
      <c r="E104" s="196">
        <v>45997</v>
      </c>
      <c r="F104" s="196">
        <v>46028</v>
      </c>
      <c r="G104" s="197">
        <f t="shared" si="45"/>
        <v>31</v>
      </c>
      <c r="H104" s="196">
        <f t="shared" si="46"/>
        <v>45997</v>
      </c>
      <c r="I104" s="196">
        <f t="shared" si="47"/>
        <v>46028</v>
      </c>
      <c r="J104" s="200" t="s">
        <v>2</v>
      </c>
      <c r="K104" s="201">
        <v>26</v>
      </c>
      <c r="L104" s="202"/>
      <c r="M104" s="202"/>
      <c r="N104" s="199" t="str">
        <f t="shared" si="39"/>
        <v/>
      </c>
      <c r="O104" s="203" t="str">
        <f t="shared" si="40"/>
        <v>-</v>
      </c>
      <c r="P104" s="206">
        <f t="shared" si="41"/>
        <v>0</v>
      </c>
      <c r="Q104" s="208">
        <f t="shared" si="42"/>
        <v>0</v>
      </c>
      <c r="R104" s="205">
        <f t="shared" si="43"/>
        <v>26</v>
      </c>
      <c r="S104" s="65">
        <f t="shared" si="48"/>
        <v>0</v>
      </c>
      <c r="T104" s="158">
        <f t="shared" si="35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9"/>
      <c r="BP104" s="169"/>
      <c r="BQ104" s="169"/>
      <c r="BR104" s="169"/>
      <c r="BS104" s="169"/>
      <c r="BT104" s="169"/>
      <c r="BU104" s="169"/>
      <c r="BV104" s="169"/>
      <c r="BW104" s="169"/>
      <c r="BX104" s="169"/>
      <c r="BY104" s="169"/>
      <c r="BZ104" s="169"/>
      <c r="CA104" s="169"/>
      <c r="CB104" s="169"/>
      <c r="CC104" s="169"/>
      <c r="CD104" s="169"/>
      <c r="CE104" s="169"/>
      <c r="CF104" s="169"/>
      <c r="CG104" s="169"/>
      <c r="CH104" s="169"/>
      <c r="CI104" s="169"/>
      <c r="CJ104" s="169"/>
      <c r="CK104" s="169"/>
      <c r="CL104" s="169"/>
      <c r="CM104" s="169"/>
      <c r="CN104" s="169"/>
      <c r="CO104" s="169"/>
      <c r="CP104" s="169"/>
      <c r="CQ104" s="169"/>
      <c r="CR104" s="169"/>
      <c r="CS104" s="169"/>
      <c r="CT104" s="169"/>
      <c r="CU104" s="169"/>
      <c r="CV104" s="169"/>
      <c r="CW104" s="169"/>
      <c r="CX104" s="169"/>
      <c r="CY104" s="169"/>
      <c r="CZ104" s="169"/>
      <c r="DA104" s="169"/>
      <c r="DB104" s="169"/>
      <c r="DC104" s="169"/>
      <c r="DD104" s="169"/>
      <c r="DE104" s="169"/>
      <c r="DF104" s="169"/>
    </row>
    <row r="105" spans="2:110" x14ac:dyDescent="0.4">
      <c r="B105" s="311"/>
      <c r="C105" s="60">
        <v>132</v>
      </c>
      <c r="D105" s="231" t="s">
        <v>236</v>
      </c>
      <c r="E105" s="196">
        <v>46006</v>
      </c>
      <c r="F105" s="196">
        <v>46004</v>
      </c>
      <c r="G105" s="197">
        <f t="shared" si="45"/>
        <v>-2</v>
      </c>
      <c r="H105" s="196">
        <f t="shared" si="46"/>
        <v>46006</v>
      </c>
      <c r="I105" s="196">
        <f t="shared" si="47"/>
        <v>46004</v>
      </c>
      <c r="J105" s="200" t="s">
        <v>2</v>
      </c>
      <c r="K105" s="201">
        <v>26</v>
      </c>
      <c r="L105" s="202"/>
      <c r="M105" s="202"/>
      <c r="N105" s="199" t="str">
        <f t="shared" ref="N105:N120" si="49">IF(OR(M105="",L105=""),"",INT(M105-L105+1))</f>
        <v/>
      </c>
      <c r="O105" s="203" t="str">
        <f t="shared" ref="O105:O120" si="50">IFERROR(K105/N105,"-")</f>
        <v>-</v>
      </c>
      <c r="P105" s="206">
        <f t="shared" ref="P105:P120" si="51">IFERROR(SUMIF($U$2:$AT$2,"&lt;="&amp;$D$1,U105:BN105)/K105,"-")</f>
        <v>0</v>
      </c>
      <c r="Q105" s="208">
        <f t="shared" ref="Q105:Q120" si="52">SUMIF($U$2:$AT$2,"&lt;="&amp;$D$1,U105:AT105)</f>
        <v>0</v>
      </c>
      <c r="R105" s="205">
        <f t="shared" ref="R105:R115" si="53">K105-Q105</f>
        <v>26</v>
      </c>
      <c r="S105" s="65">
        <f t="shared" si="48"/>
        <v>0</v>
      </c>
      <c r="T105" s="158">
        <f t="shared" si="35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9"/>
      <c r="BP105" s="169"/>
      <c r="BQ105" s="169"/>
      <c r="BR105" s="169"/>
      <c r="BS105" s="169"/>
      <c r="BT105" s="169"/>
      <c r="BU105" s="169"/>
      <c r="BV105" s="169"/>
      <c r="BW105" s="169"/>
      <c r="BX105" s="169"/>
      <c r="BY105" s="169"/>
      <c r="BZ105" s="169"/>
      <c r="CA105" s="169"/>
      <c r="CB105" s="169"/>
      <c r="CC105" s="169"/>
      <c r="CD105" s="169"/>
      <c r="CE105" s="169"/>
      <c r="CF105" s="169"/>
      <c r="CG105" s="169"/>
      <c r="CH105" s="169"/>
      <c r="CI105" s="169"/>
      <c r="CJ105" s="169"/>
      <c r="CK105" s="169"/>
      <c r="CL105" s="169"/>
      <c r="CM105" s="169"/>
      <c r="CN105" s="169"/>
      <c r="CO105" s="169"/>
      <c r="CP105" s="169"/>
      <c r="CQ105" s="169"/>
      <c r="CR105" s="169"/>
      <c r="CS105" s="169"/>
      <c r="CT105" s="169"/>
      <c r="CU105" s="169"/>
      <c r="CV105" s="169"/>
      <c r="CW105" s="169"/>
      <c r="CX105" s="169"/>
      <c r="CY105" s="169"/>
      <c r="CZ105" s="169"/>
      <c r="DA105" s="169"/>
      <c r="DB105" s="169"/>
      <c r="DC105" s="169"/>
      <c r="DD105" s="169"/>
      <c r="DE105" s="169"/>
      <c r="DF105" s="169"/>
    </row>
    <row r="106" spans="2:110" x14ac:dyDescent="0.4">
      <c r="B106" s="311"/>
      <c r="C106" s="60">
        <v>133</v>
      </c>
      <c r="D106" s="231" t="s">
        <v>237</v>
      </c>
      <c r="E106" s="196">
        <v>46016</v>
      </c>
      <c r="F106" s="196">
        <v>46032</v>
      </c>
      <c r="G106" s="197">
        <f t="shared" si="45"/>
        <v>16</v>
      </c>
      <c r="H106" s="196">
        <f t="shared" si="46"/>
        <v>46016</v>
      </c>
      <c r="I106" s="196">
        <f t="shared" si="47"/>
        <v>46032</v>
      </c>
      <c r="J106" s="200" t="s">
        <v>2</v>
      </c>
      <c r="K106" s="201">
        <v>26</v>
      </c>
      <c r="L106" s="202"/>
      <c r="M106" s="202"/>
      <c r="N106" s="199" t="str">
        <f t="shared" si="49"/>
        <v/>
      </c>
      <c r="O106" s="203" t="str">
        <f t="shared" si="50"/>
        <v>-</v>
      </c>
      <c r="P106" s="206">
        <f t="shared" si="51"/>
        <v>0</v>
      </c>
      <c r="Q106" s="208">
        <f t="shared" si="52"/>
        <v>0</v>
      </c>
      <c r="R106" s="205">
        <f t="shared" si="53"/>
        <v>26</v>
      </c>
      <c r="S106" s="65">
        <f t="shared" si="48"/>
        <v>0</v>
      </c>
      <c r="T106" s="158">
        <f t="shared" si="35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9"/>
      <c r="BP106" s="169"/>
      <c r="BQ106" s="169"/>
      <c r="BR106" s="169"/>
      <c r="BS106" s="169"/>
      <c r="BT106" s="169"/>
      <c r="BU106" s="169"/>
      <c r="BV106" s="169"/>
      <c r="BW106" s="169"/>
      <c r="BX106" s="169"/>
      <c r="BY106" s="169"/>
      <c r="BZ106" s="169"/>
      <c r="CA106" s="169"/>
      <c r="CB106" s="169"/>
      <c r="CC106" s="169"/>
      <c r="CD106" s="169"/>
      <c r="CE106" s="169"/>
      <c r="CF106" s="169"/>
      <c r="CG106" s="169"/>
      <c r="CH106" s="169"/>
      <c r="CI106" s="169"/>
      <c r="CJ106" s="169"/>
      <c r="CK106" s="169"/>
      <c r="CL106" s="169"/>
      <c r="CM106" s="169"/>
      <c r="CN106" s="169"/>
      <c r="CO106" s="169"/>
      <c r="CP106" s="169"/>
      <c r="CQ106" s="169"/>
      <c r="CR106" s="169"/>
      <c r="CS106" s="169"/>
      <c r="CT106" s="169"/>
      <c r="CU106" s="169"/>
      <c r="CV106" s="169"/>
      <c r="CW106" s="169"/>
      <c r="CX106" s="169"/>
      <c r="CY106" s="169"/>
      <c r="CZ106" s="169"/>
      <c r="DA106" s="169"/>
      <c r="DB106" s="169"/>
      <c r="DC106" s="169"/>
      <c r="DD106" s="169"/>
      <c r="DE106" s="169"/>
      <c r="DF106" s="169"/>
    </row>
    <row r="107" spans="2:110" x14ac:dyDescent="0.4">
      <c r="B107" s="311" t="s">
        <v>238</v>
      </c>
      <c r="C107" s="60">
        <v>134</v>
      </c>
      <c r="D107" s="231" t="s">
        <v>239</v>
      </c>
      <c r="E107" s="196">
        <v>45914</v>
      </c>
      <c r="F107" s="196">
        <v>45966</v>
      </c>
      <c r="G107" s="197">
        <f t="shared" si="45"/>
        <v>52</v>
      </c>
      <c r="H107" s="196">
        <f t="shared" si="46"/>
        <v>45914</v>
      </c>
      <c r="I107" s="196">
        <f t="shared" si="47"/>
        <v>45966</v>
      </c>
      <c r="J107" s="210" t="s">
        <v>13</v>
      </c>
      <c r="K107" s="201">
        <v>1173</v>
      </c>
      <c r="L107" s="202"/>
      <c r="M107" s="202"/>
      <c r="N107" s="199" t="str">
        <f t="shared" si="49"/>
        <v/>
      </c>
      <c r="O107" s="203" t="str">
        <f t="shared" si="50"/>
        <v>-</v>
      </c>
      <c r="P107" s="206">
        <f t="shared" si="51"/>
        <v>0</v>
      </c>
      <c r="Q107" s="208">
        <f t="shared" si="52"/>
        <v>0</v>
      </c>
      <c r="R107" s="205">
        <f t="shared" si="53"/>
        <v>1173</v>
      </c>
      <c r="S107" s="65">
        <f t="shared" si="48"/>
        <v>0</v>
      </c>
      <c r="T107" s="158">
        <f t="shared" si="35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9"/>
      <c r="BP107" s="169"/>
      <c r="BQ107" s="169"/>
      <c r="BR107" s="169"/>
      <c r="BS107" s="169"/>
      <c r="BT107" s="169"/>
      <c r="BU107" s="169"/>
      <c r="BV107" s="169"/>
      <c r="BW107" s="169"/>
      <c r="BX107" s="169"/>
      <c r="BY107" s="169"/>
      <c r="BZ107" s="169"/>
      <c r="CA107" s="169"/>
      <c r="CB107" s="169"/>
      <c r="CC107" s="169"/>
      <c r="CD107" s="169"/>
      <c r="CE107" s="169"/>
      <c r="CF107" s="169"/>
      <c r="CG107" s="169"/>
      <c r="CH107" s="169"/>
      <c r="CI107" s="169"/>
      <c r="CJ107" s="169"/>
      <c r="CK107" s="169"/>
      <c r="CL107" s="169"/>
      <c r="CM107" s="169"/>
      <c r="CN107" s="169"/>
      <c r="CO107" s="169"/>
      <c r="CP107" s="169"/>
      <c r="CQ107" s="169"/>
      <c r="CR107" s="169"/>
      <c r="CS107" s="169"/>
      <c r="CT107" s="169"/>
      <c r="CU107" s="169"/>
      <c r="CV107" s="169"/>
      <c r="CW107" s="169"/>
      <c r="CX107" s="169"/>
      <c r="CY107" s="169"/>
      <c r="CZ107" s="169"/>
      <c r="DA107" s="169"/>
      <c r="DB107" s="169"/>
      <c r="DC107" s="169"/>
      <c r="DD107" s="169"/>
      <c r="DE107" s="169"/>
      <c r="DF107" s="169"/>
    </row>
    <row r="108" spans="2:110" x14ac:dyDescent="0.4">
      <c r="B108" s="311"/>
      <c r="C108" s="60">
        <v>135</v>
      </c>
      <c r="D108" s="231" t="s">
        <v>240</v>
      </c>
      <c r="E108" s="196">
        <v>45935</v>
      </c>
      <c r="F108" s="196">
        <v>45974</v>
      </c>
      <c r="G108" s="197">
        <f t="shared" si="45"/>
        <v>39</v>
      </c>
      <c r="H108" s="196">
        <f t="shared" si="46"/>
        <v>45935</v>
      </c>
      <c r="I108" s="196">
        <f t="shared" si="47"/>
        <v>45974</v>
      </c>
      <c r="J108" s="210" t="s">
        <v>13</v>
      </c>
      <c r="K108" s="201">
        <v>1173</v>
      </c>
      <c r="L108" s="202"/>
      <c r="M108" s="202"/>
      <c r="N108" s="199" t="str">
        <f t="shared" si="49"/>
        <v/>
      </c>
      <c r="O108" s="203" t="str">
        <f t="shared" si="50"/>
        <v>-</v>
      </c>
      <c r="P108" s="206">
        <f t="shared" si="51"/>
        <v>0</v>
      </c>
      <c r="Q108" s="208">
        <f t="shared" si="52"/>
        <v>0</v>
      </c>
      <c r="R108" s="205">
        <f t="shared" si="53"/>
        <v>1173</v>
      </c>
      <c r="S108" s="65">
        <f t="shared" si="48"/>
        <v>0</v>
      </c>
      <c r="T108" s="158">
        <f t="shared" si="35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9"/>
      <c r="BP108" s="169"/>
      <c r="BQ108" s="169"/>
      <c r="BR108" s="169"/>
      <c r="BS108" s="169"/>
      <c r="BT108" s="169"/>
      <c r="BU108" s="169"/>
      <c r="BV108" s="169"/>
      <c r="BW108" s="169"/>
      <c r="BX108" s="169"/>
      <c r="BY108" s="169"/>
      <c r="BZ108" s="169"/>
      <c r="CA108" s="169"/>
      <c r="CB108" s="169"/>
      <c r="CC108" s="169"/>
      <c r="CD108" s="169"/>
      <c r="CE108" s="169"/>
      <c r="CF108" s="169"/>
      <c r="CG108" s="169"/>
      <c r="CH108" s="169"/>
      <c r="CI108" s="169"/>
      <c r="CJ108" s="169"/>
      <c r="CK108" s="169"/>
      <c r="CL108" s="169"/>
      <c r="CM108" s="169"/>
      <c r="CN108" s="169"/>
      <c r="CO108" s="169"/>
      <c r="CP108" s="169"/>
      <c r="CQ108" s="169"/>
      <c r="CR108" s="169"/>
      <c r="CS108" s="169"/>
      <c r="CT108" s="169"/>
      <c r="CU108" s="169"/>
      <c r="CV108" s="169"/>
      <c r="CW108" s="169"/>
      <c r="CX108" s="169"/>
      <c r="CY108" s="169"/>
      <c r="CZ108" s="169"/>
      <c r="DA108" s="169"/>
      <c r="DB108" s="169"/>
      <c r="DC108" s="169"/>
      <c r="DD108" s="169"/>
      <c r="DE108" s="169"/>
      <c r="DF108" s="169"/>
    </row>
    <row r="109" spans="2:110" x14ac:dyDescent="0.4">
      <c r="B109" s="311"/>
      <c r="C109" s="60">
        <v>136</v>
      </c>
      <c r="D109" s="231" t="s">
        <v>241</v>
      </c>
      <c r="E109" s="196">
        <v>45976</v>
      </c>
      <c r="F109" s="196">
        <v>45996</v>
      </c>
      <c r="G109" s="197">
        <f t="shared" si="45"/>
        <v>20</v>
      </c>
      <c r="H109" s="196">
        <f t="shared" si="46"/>
        <v>45976</v>
      </c>
      <c r="I109" s="196">
        <f t="shared" si="47"/>
        <v>45996</v>
      </c>
      <c r="J109" s="210" t="s">
        <v>13</v>
      </c>
      <c r="K109" s="201">
        <v>1173</v>
      </c>
      <c r="L109" s="202"/>
      <c r="M109" s="202"/>
      <c r="N109" s="199" t="str">
        <f t="shared" si="49"/>
        <v/>
      </c>
      <c r="O109" s="203" t="str">
        <f t="shared" si="50"/>
        <v>-</v>
      </c>
      <c r="P109" s="206">
        <f t="shared" si="51"/>
        <v>0</v>
      </c>
      <c r="Q109" s="208">
        <f t="shared" si="52"/>
        <v>0</v>
      </c>
      <c r="R109" s="205">
        <f t="shared" si="53"/>
        <v>1173</v>
      </c>
      <c r="S109" s="65">
        <f t="shared" si="48"/>
        <v>0</v>
      </c>
      <c r="T109" s="158">
        <f t="shared" si="35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9"/>
      <c r="BP109" s="169"/>
      <c r="BQ109" s="169"/>
      <c r="BR109" s="169"/>
      <c r="BS109" s="169"/>
      <c r="BT109" s="169"/>
      <c r="BU109" s="169"/>
      <c r="BV109" s="169"/>
      <c r="BW109" s="169"/>
      <c r="BX109" s="169"/>
      <c r="BY109" s="169"/>
      <c r="BZ109" s="169"/>
      <c r="CA109" s="169"/>
      <c r="CB109" s="169"/>
      <c r="CC109" s="169"/>
      <c r="CD109" s="169"/>
      <c r="CE109" s="169"/>
      <c r="CF109" s="169"/>
      <c r="CG109" s="169"/>
      <c r="CH109" s="169"/>
      <c r="CI109" s="169"/>
      <c r="CJ109" s="169"/>
      <c r="CK109" s="169"/>
      <c r="CL109" s="169"/>
      <c r="CM109" s="169"/>
      <c r="CN109" s="169"/>
      <c r="CO109" s="169"/>
      <c r="CP109" s="169"/>
      <c r="CQ109" s="169"/>
      <c r="CR109" s="169"/>
      <c r="CS109" s="169"/>
      <c r="CT109" s="169"/>
      <c r="CU109" s="169"/>
      <c r="CV109" s="169"/>
      <c r="CW109" s="169"/>
      <c r="CX109" s="169"/>
      <c r="CY109" s="169"/>
      <c r="CZ109" s="169"/>
      <c r="DA109" s="169"/>
      <c r="DB109" s="169"/>
      <c r="DC109" s="169"/>
      <c r="DD109" s="169"/>
      <c r="DE109" s="169"/>
      <c r="DF109" s="169"/>
    </row>
    <row r="110" spans="2:110" x14ac:dyDescent="0.4">
      <c r="B110" s="311"/>
      <c r="C110" s="60">
        <v>137</v>
      </c>
      <c r="D110" s="231" t="s">
        <v>242</v>
      </c>
      <c r="E110" s="196">
        <v>45979</v>
      </c>
      <c r="F110" s="196">
        <v>46001</v>
      </c>
      <c r="G110" s="197">
        <f t="shared" si="45"/>
        <v>22</v>
      </c>
      <c r="H110" s="196">
        <f t="shared" si="46"/>
        <v>45979</v>
      </c>
      <c r="I110" s="196">
        <f t="shared" si="47"/>
        <v>46001</v>
      </c>
      <c r="J110" s="210" t="s">
        <v>13</v>
      </c>
      <c r="K110" s="201">
        <v>1173</v>
      </c>
      <c r="L110" s="202"/>
      <c r="M110" s="202"/>
      <c r="N110" s="199" t="str">
        <f t="shared" si="49"/>
        <v/>
      </c>
      <c r="O110" s="203" t="str">
        <f t="shared" si="50"/>
        <v>-</v>
      </c>
      <c r="P110" s="206">
        <f t="shared" si="51"/>
        <v>0</v>
      </c>
      <c r="Q110" s="208">
        <f t="shared" si="52"/>
        <v>0</v>
      </c>
      <c r="R110" s="205">
        <f t="shared" si="53"/>
        <v>1173</v>
      </c>
      <c r="S110" s="65">
        <f t="shared" si="48"/>
        <v>0</v>
      </c>
      <c r="T110" s="158">
        <f t="shared" si="35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9"/>
      <c r="BP110" s="169"/>
      <c r="BQ110" s="169"/>
      <c r="BR110" s="169"/>
      <c r="BS110" s="169"/>
      <c r="BT110" s="169"/>
      <c r="BU110" s="169"/>
      <c r="BV110" s="169"/>
      <c r="BW110" s="169"/>
      <c r="BX110" s="169"/>
      <c r="BY110" s="169"/>
      <c r="BZ110" s="169"/>
      <c r="CA110" s="169"/>
      <c r="CB110" s="169"/>
      <c r="CC110" s="169"/>
      <c r="CD110" s="169"/>
      <c r="CE110" s="169"/>
      <c r="CF110" s="169"/>
      <c r="CG110" s="169"/>
      <c r="CH110" s="169"/>
      <c r="CI110" s="169"/>
      <c r="CJ110" s="169"/>
      <c r="CK110" s="169"/>
      <c r="CL110" s="169"/>
      <c r="CM110" s="169"/>
      <c r="CN110" s="169"/>
      <c r="CO110" s="169"/>
      <c r="CP110" s="169"/>
      <c r="CQ110" s="169"/>
      <c r="CR110" s="169"/>
      <c r="CS110" s="169"/>
      <c r="CT110" s="169"/>
      <c r="CU110" s="169"/>
      <c r="CV110" s="169"/>
      <c r="CW110" s="169"/>
      <c r="CX110" s="169"/>
      <c r="CY110" s="169"/>
      <c r="CZ110" s="169"/>
      <c r="DA110" s="169"/>
      <c r="DB110" s="169"/>
      <c r="DC110" s="169"/>
      <c r="DD110" s="169"/>
      <c r="DE110" s="169"/>
      <c r="DF110" s="169"/>
    </row>
    <row r="111" spans="2:110" x14ac:dyDescent="0.4">
      <c r="B111" s="311"/>
      <c r="C111" s="60">
        <v>138</v>
      </c>
      <c r="D111" s="231" t="s">
        <v>243</v>
      </c>
      <c r="E111" s="196">
        <v>45986</v>
      </c>
      <c r="F111" s="196">
        <v>45981</v>
      </c>
      <c r="G111" s="197">
        <f t="shared" si="45"/>
        <v>-5</v>
      </c>
      <c r="H111" s="196">
        <f t="shared" si="46"/>
        <v>45986</v>
      </c>
      <c r="I111" s="196">
        <f t="shared" si="47"/>
        <v>45981</v>
      </c>
      <c r="J111" s="210" t="s">
        <v>13</v>
      </c>
      <c r="K111" s="201">
        <v>1173</v>
      </c>
      <c r="L111" s="202"/>
      <c r="M111" s="202"/>
      <c r="N111" s="199" t="str">
        <f t="shared" si="49"/>
        <v/>
      </c>
      <c r="O111" s="203" t="str">
        <f t="shared" si="50"/>
        <v>-</v>
      </c>
      <c r="P111" s="206">
        <f t="shared" si="51"/>
        <v>0</v>
      </c>
      <c r="Q111" s="208">
        <f t="shared" si="52"/>
        <v>0</v>
      </c>
      <c r="R111" s="205">
        <f t="shared" si="53"/>
        <v>1173</v>
      </c>
      <c r="S111" s="65">
        <f t="shared" si="48"/>
        <v>0</v>
      </c>
      <c r="T111" s="158">
        <f t="shared" si="35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9"/>
      <c r="BP111" s="169"/>
      <c r="BQ111" s="169"/>
      <c r="BR111" s="169"/>
      <c r="BS111" s="169"/>
      <c r="BT111" s="169"/>
      <c r="BU111" s="169"/>
      <c r="BV111" s="169"/>
      <c r="BW111" s="169"/>
      <c r="BX111" s="169"/>
      <c r="BY111" s="169"/>
      <c r="BZ111" s="169"/>
      <c r="CA111" s="169"/>
      <c r="CB111" s="169"/>
      <c r="CC111" s="169"/>
      <c r="CD111" s="169"/>
      <c r="CE111" s="169"/>
      <c r="CF111" s="169"/>
      <c r="CG111" s="169"/>
      <c r="CH111" s="169"/>
      <c r="CI111" s="169"/>
      <c r="CJ111" s="169"/>
      <c r="CK111" s="169"/>
      <c r="CL111" s="169"/>
      <c r="CM111" s="169"/>
      <c r="CN111" s="169"/>
      <c r="CO111" s="169"/>
      <c r="CP111" s="169"/>
      <c r="CQ111" s="169"/>
      <c r="CR111" s="169"/>
      <c r="CS111" s="169"/>
      <c r="CT111" s="169"/>
      <c r="CU111" s="169"/>
      <c r="CV111" s="169"/>
      <c r="CW111" s="169"/>
      <c r="CX111" s="169"/>
      <c r="CY111" s="169"/>
      <c r="CZ111" s="169"/>
      <c r="DA111" s="169"/>
      <c r="DB111" s="169"/>
      <c r="DC111" s="169"/>
      <c r="DD111" s="169"/>
      <c r="DE111" s="169"/>
      <c r="DF111" s="169"/>
    </row>
    <row r="112" spans="2:110" x14ac:dyDescent="0.4">
      <c r="B112" s="311"/>
      <c r="C112" s="60">
        <v>139</v>
      </c>
      <c r="D112" s="231" t="s">
        <v>244</v>
      </c>
      <c r="E112" s="196">
        <v>45859</v>
      </c>
      <c r="F112" s="196">
        <v>46021</v>
      </c>
      <c r="G112" s="197">
        <f t="shared" si="45"/>
        <v>162</v>
      </c>
      <c r="H112" s="196">
        <f t="shared" si="46"/>
        <v>45859</v>
      </c>
      <c r="I112" s="196">
        <f t="shared" si="47"/>
        <v>46021</v>
      </c>
      <c r="J112" s="200" t="s">
        <v>2</v>
      </c>
      <c r="K112" s="201">
        <v>26</v>
      </c>
      <c r="L112" s="202"/>
      <c r="M112" s="202"/>
      <c r="N112" s="199" t="str">
        <f t="shared" si="49"/>
        <v/>
      </c>
      <c r="O112" s="203" t="str">
        <f t="shared" si="50"/>
        <v>-</v>
      </c>
      <c r="P112" s="206">
        <f t="shared" si="51"/>
        <v>0</v>
      </c>
      <c r="Q112" s="208">
        <f t="shared" si="52"/>
        <v>0</v>
      </c>
      <c r="R112" s="205">
        <f t="shared" si="53"/>
        <v>26</v>
      </c>
      <c r="S112" s="65">
        <f t="shared" si="48"/>
        <v>0</v>
      </c>
      <c r="T112" s="158">
        <f t="shared" si="35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9"/>
      <c r="BP112" s="169"/>
      <c r="BQ112" s="169"/>
      <c r="BR112" s="169"/>
      <c r="BS112" s="169"/>
      <c r="BT112" s="169"/>
      <c r="BU112" s="169"/>
      <c r="BV112" s="169"/>
      <c r="BW112" s="169"/>
      <c r="BX112" s="169"/>
      <c r="BY112" s="169"/>
      <c r="BZ112" s="169"/>
      <c r="CA112" s="169"/>
      <c r="CB112" s="169"/>
      <c r="CC112" s="169"/>
      <c r="CD112" s="169"/>
      <c r="CE112" s="169"/>
      <c r="CF112" s="169"/>
      <c r="CG112" s="169"/>
      <c r="CH112" s="169"/>
      <c r="CI112" s="169"/>
      <c r="CJ112" s="169"/>
      <c r="CK112" s="169"/>
      <c r="CL112" s="169"/>
      <c r="CM112" s="169"/>
      <c r="CN112" s="169"/>
      <c r="CO112" s="169"/>
      <c r="CP112" s="169"/>
      <c r="CQ112" s="169"/>
      <c r="CR112" s="169"/>
      <c r="CS112" s="169"/>
      <c r="CT112" s="169"/>
      <c r="CU112" s="169"/>
      <c r="CV112" s="169"/>
      <c r="CW112" s="169"/>
      <c r="CX112" s="169"/>
      <c r="CY112" s="169"/>
      <c r="CZ112" s="169"/>
      <c r="DA112" s="169"/>
      <c r="DB112" s="169"/>
      <c r="DC112" s="169"/>
      <c r="DD112" s="169"/>
      <c r="DE112" s="169"/>
      <c r="DF112" s="169"/>
    </row>
    <row r="113" spans="2:110" x14ac:dyDescent="0.4">
      <c r="B113" s="311" t="s">
        <v>245</v>
      </c>
      <c r="C113" s="60">
        <v>140</v>
      </c>
      <c r="D113" s="231" t="s">
        <v>268</v>
      </c>
      <c r="E113" s="196">
        <v>45926</v>
      </c>
      <c r="F113" s="196">
        <v>45941</v>
      </c>
      <c r="G113" s="197">
        <f t="shared" si="45"/>
        <v>15</v>
      </c>
      <c r="H113" s="196">
        <f t="shared" si="46"/>
        <v>45926</v>
      </c>
      <c r="I113" s="196">
        <f t="shared" si="47"/>
        <v>45941</v>
      </c>
      <c r="J113" s="200" t="s">
        <v>2</v>
      </c>
      <c r="K113" s="201">
        <v>26</v>
      </c>
      <c r="L113" s="202"/>
      <c r="M113" s="202"/>
      <c r="N113" s="199" t="str">
        <f t="shared" si="49"/>
        <v/>
      </c>
      <c r="O113" s="203" t="str">
        <f t="shared" si="50"/>
        <v>-</v>
      </c>
      <c r="P113" s="206">
        <f t="shared" si="51"/>
        <v>0</v>
      </c>
      <c r="Q113" s="208">
        <f t="shared" si="52"/>
        <v>0</v>
      </c>
      <c r="R113" s="205">
        <f t="shared" si="53"/>
        <v>26</v>
      </c>
      <c r="S113" s="65">
        <f t="shared" si="48"/>
        <v>0</v>
      </c>
      <c r="T113" s="158">
        <f t="shared" si="35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9"/>
      <c r="BP113" s="169"/>
      <c r="BQ113" s="169"/>
      <c r="BR113" s="169"/>
      <c r="BS113" s="169"/>
      <c r="BT113" s="169"/>
      <c r="BU113" s="169"/>
      <c r="BV113" s="169"/>
      <c r="BW113" s="169"/>
      <c r="BX113" s="169"/>
      <c r="BY113" s="169"/>
      <c r="BZ113" s="169"/>
      <c r="CA113" s="169"/>
      <c r="CB113" s="169"/>
      <c r="CC113" s="169"/>
      <c r="CD113" s="169"/>
      <c r="CE113" s="169"/>
      <c r="CF113" s="169"/>
      <c r="CG113" s="169"/>
      <c r="CH113" s="169"/>
      <c r="CI113" s="169"/>
      <c r="CJ113" s="169"/>
      <c r="CK113" s="169"/>
      <c r="CL113" s="169"/>
      <c r="CM113" s="169"/>
      <c r="CN113" s="169"/>
      <c r="CO113" s="169"/>
      <c r="CP113" s="169"/>
      <c r="CQ113" s="169"/>
      <c r="CR113" s="169"/>
      <c r="CS113" s="169"/>
      <c r="CT113" s="169"/>
      <c r="CU113" s="169"/>
      <c r="CV113" s="169"/>
      <c r="CW113" s="169"/>
      <c r="CX113" s="169"/>
      <c r="CY113" s="169"/>
      <c r="CZ113" s="169"/>
      <c r="DA113" s="169"/>
      <c r="DB113" s="169"/>
      <c r="DC113" s="169"/>
      <c r="DD113" s="169"/>
      <c r="DE113" s="169"/>
      <c r="DF113" s="169"/>
    </row>
    <row r="114" spans="2:110" ht="29" x14ac:dyDescent="0.4">
      <c r="B114" s="311"/>
      <c r="C114" s="60">
        <v>141</v>
      </c>
      <c r="D114" s="231" t="s">
        <v>267</v>
      </c>
      <c r="E114" s="196">
        <v>45929</v>
      </c>
      <c r="F114" s="196">
        <v>46029</v>
      </c>
      <c r="G114" s="197">
        <f t="shared" si="45"/>
        <v>100</v>
      </c>
      <c r="H114" s="196">
        <f t="shared" si="46"/>
        <v>45929</v>
      </c>
      <c r="I114" s="196">
        <f t="shared" si="47"/>
        <v>46029</v>
      </c>
      <c r="J114" s="200" t="s">
        <v>2</v>
      </c>
      <c r="K114" s="201">
        <v>26</v>
      </c>
      <c r="L114" s="202"/>
      <c r="M114" s="202"/>
      <c r="N114" s="199" t="str">
        <f t="shared" si="49"/>
        <v/>
      </c>
      <c r="O114" s="203" t="str">
        <f t="shared" si="50"/>
        <v>-</v>
      </c>
      <c r="P114" s="206">
        <f t="shared" si="51"/>
        <v>0</v>
      </c>
      <c r="Q114" s="208">
        <f t="shared" si="52"/>
        <v>0</v>
      </c>
      <c r="R114" s="205">
        <f t="shared" si="53"/>
        <v>26</v>
      </c>
      <c r="S114" s="65">
        <f t="shared" si="48"/>
        <v>0</v>
      </c>
      <c r="T114" s="158">
        <f t="shared" si="35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9"/>
      <c r="BP114" s="169"/>
      <c r="BQ114" s="169"/>
      <c r="BR114" s="169"/>
      <c r="BS114" s="169"/>
      <c r="BT114" s="169"/>
      <c r="BU114" s="169"/>
      <c r="BV114" s="169"/>
      <c r="BW114" s="169"/>
      <c r="BX114" s="169"/>
      <c r="BY114" s="169"/>
      <c r="BZ114" s="169"/>
      <c r="CA114" s="169"/>
      <c r="CB114" s="169"/>
      <c r="CC114" s="169"/>
      <c r="CD114" s="169"/>
      <c r="CE114" s="169"/>
      <c r="CF114" s="169"/>
      <c r="CG114" s="169"/>
      <c r="CH114" s="169"/>
      <c r="CI114" s="169"/>
      <c r="CJ114" s="169"/>
      <c r="CK114" s="169"/>
      <c r="CL114" s="169"/>
      <c r="CM114" s="169"/>
      <c r="CN114" s="169"/>
      <c r="CO114" s="169"/>
      <c r="CP114" s="169"/>
      <c r="CQ114" s="169"/>
      <c r="CR114" s="169"/>
      <c r="CS114" s="169"/>
      <c r="CT114" s="169"/>
      <c r="CU114" s="169"/>
      <c r="CV114" s="169"/>
      <c r="CW114" s="169"/>
      <c r="CX114" s="169"/>
      <c r="CY114" s="169"/>
      <c r="CZ114" s="169"/>
      <c r="DA114" s="169"/>
      <c r="DB114" s="169"/>
      <c r="DC114" s="169"/>
      <c r="DD114" s="169"/>
      <c r="DE114" s="169"/>
      <c r="DF114" s="169"/>
    </row>
    <row r="115" spans="2:110" x14ac:dyDescent="0.4">
      <c r="B115" s="311"/>
      <c r="C115" s="60">
        <v>143</v>
      </c>
      <c r="D115" s="231" t="s">
        <v>42</v>
      </c>
      <c r="E115" s="196">
        <v>45940</v>
      </c>
      <c r="F115" s="196">
        <v>46042</v>
      </c>
      <c r="G115" s="197">
        <f t="shared" si="45"/>
        <v>102</v>
      </c>
      <c r="H115" s="196">
        <f t="shared" si="46"/>
        <v>45940</v>
      </c>
      <c r="I115" s="196">
        <f t="shared" si="47"/>
        <v>46042</v>
      </c>
      <c r="J115" s="200" t="s">
        <v>2</v>
      </c>
      <c r="K115" s="201">
        <v>26</v>
      </c>
      <c r="L115" s="202"/>
      <c r="M115" s="202"/>
      <c r="N115" s="199" t="str">
        <f t="shared" si="49"/>
        <v/>
      </c>
      <c r="O115" s="203" t="str">
        <f t="shared" si="50"/>
        <v>-</v>
      </c>
      <c r="P115" s="206">
        <f t="shared" si="51"/>
        <v>0</v>
      </c>
      <c r="Q115" s="208">
        <f t="shared" si="52"/>
        <v>0</v>
      </c>
      <c r="R115" s="205">
        <f t="shared" si="53"/>
        <v>26</v>
      </c>
      <c r="S115" s="65">
        <f t="shared" si="48"/>
        <v>0</v>
      </c>
      <c r="T115" s="158">
        <f t="shared" si="35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9"/>
      <c r="BP115" s="169"/>
      <c r="BQ115" s="169"/>
      <c r="BR115" s="169"/>
      <c r="BS115" s="169"/>
      <c r="BT115" s="169"/>
      <c r="BU115" s="169"/>
      <c r="BV115" s="169"/>
      <c r="BW115" s="169"/>
      <c r="BX115" s="169"/>
      <c r="BY115" s="169"/>
      <c r="BZ115" s="169"/>
      <c r="CA115" s="169"/>
      <c r="CB115" s="169"/>
      <c r="CC115" s="169"/>
      <c r="CD115" s="169"/>
      <c r="CE115" s="169"/>
      <c r="CF115" s="169"/>
      <c r="CG115" s="169"/>
      <c r="CH115" s="169"/>
      <c r="CI115" s="169"/>
      <c r="CJ115" s="169"/>
      <c r="CK115" s="169"/>
      <c r="CL115" s="169"/>
      <c r="CM115" s="169"/>
      <c r="CN115" s="169"/>
      <c r="CO115" s="169"/>
      <c r="CP115" s="169"/>
      <c r="CQ115" s="169"/>
      <c r="CR115" s="169"/>
      <c r="CS115" s="169"/>
      <c r="CT115" s="169"/>
      <c r="CU115" s="169"/>
      <c r="CV115" s="169"/>
      <c r="CW115" s="169"/>
      <c r="CX115" s="169"/>
      <c r="CY115" s="169"/>
      <c r="CZ115" s="169"/>
      <c r="DA115" s="169"/>
      <c r="DB115" s="169"/>
      <c r="DC115" s="169"/>
      <c r="DD115" s="169"/>
      <c r="DE115" s="169"/>
      <c r="DF115" s="169"/>
    </row>
    <row r="116" spans="2:110" x14ac:dyDescent="0.4">
      <c r="B116" s="311" t="s">
        <v>247</v>
      </c>
      <c r="C116" s="60">
        <v>144</v>
      </c>
      <c r="D116" s="231" t="s">
        <v>248</v>
      </c>
      <c r="E116" s="196">
        <v>45966</v>
      </c>
      <c r="F116" s="196">
        <v>46032</v>
      </c>
      <c r="G116" s="197">
        <f t="shared" si="45"/>
        <v>66</v>
      </c>
      <c r="H116" s="196">
        <f t="shared" si="46"/>
        <v>45966</v>
      </c>
      <c r="I116" s="196">
        <f t="shared" si="47"/>
        <v>46032</v>
      </c>
      <c r="J116" s="200" t="s">
        <v>12</v>
      </c>
      <c r="K116" s="201">
        <v>100</v>
      </c>
      <c r="L116" s="202"/>
      <c r="M116" s="202"/>
      <c r="N116" s="199" t="str">
        <f t="shared" si="49"/>
        <v/>
      </c>
      <c r="O116" s="203" t="str">
        <f t="shared" si="50"/>
        <v>-</v>
      </c>
      <c r="P116" s="206">
        <f t="shared" si="51"/>
        <v>0</v>
      </c>
      <c r="Q116" s="208">
        <f t="shared" si="52"/>
        <v>0</v>
      </c>
      <c r="R116" s="205">
        <f>K116-Q116%</f>
        <v>100</v>
      </c>
      <c r="S116" s="65">
        <f t="shared" si="48"/>
        <v>0</v>
      </c>
      <c r="T116" s="158">
        <f t="shared" si="35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9"/>
      <c r="BP116" s="169"/>
      <c r="BQ116" s="169"/>
      <c r="BR116" s="169"/>
      <c r="BS116" s="169"/>
      <c r="BT116" s="169"/>
      <c r="BU116" s="169"/>
      <c r="BV116" s="169"/>
      <c r="BW116" s="169"/>
      <c r="BX116" s="169"/>
      <c r="BY116" s="169"/>
      <c r="BZ116" s="169"/>
      <c r="CA116" s="169"/>
      <c r="CB116" s="169"/>
      <c r="CC116" s="169"/>
      <c r="CD116" s="169"/>
      <c r="CE116" s="169"/>
      <c r="CF116" s="169"/>
      <c r="CG116" s="169"/>
      <c r="CH116" s="169"/>
      <c r="CI116" s="169"/>
      <c r="CJ116" s="169"/>
      <c r="CK116" s="169"/>
      <c r="CL116" s="169"/>
      <c r="CM116" s="169"/>
      <c r="CN116" s="169"/>
      <c r="CO116" s="169"/>
      <c r="CP116" s="169"/>
      <c r="CQ116" s="169"/>
      <c r="CR116" s="169"/>
      <c r="CS116" s="169"/>
      <c r="CT116" s="169"/>
      <c r="CU116" s="169"/>
      <c r="CV116" s="169"/>
      <c r="CW116" s="169"/>
      <c r="CX116" s="169"/>
      <c r="CY116" s="169"/>
      <c r="CZ116" s="169"/>
      <c r="DA116" s="169"/>
      <c r="DB116" s="169"/>
      <c r="DC116" s="169"/>
      <c r="DD116" s="169"/>
      <c r="DE116" s="169"/>
      <c r="DF116" s="169"/>
    </row>
    <row r="117" spans="2:110" x14ac:dyDescent="0.4">
      <c r="B117" s="311"/>
      <c r="C117" s="60">
        <v>145</v>
      </c>
      <c r="D117" s="231" t="s">
        <v>433</v>
      </c>
      <c r="E117" s="196">
        <v>46011</v>
      </c>
      <c r="F117" s="196">
        <v>46040</v>
      </c>
      <c r="G117" s="197">
        <f t="shared" si="45"/>
        <v>29</v>
      </c>
      <c r="H117" s="196">
        <f t="shared" si="46"/>
        <v>46011</v>
      </c>
      <c r="I117" s="196">
        <f t="shared" si="47"/>
        <v>46040</v>
      </c>
      <c r="J117" s="200" t="s">
        <v>12</v>
      </c>
      <c r="K117" s="201">
        <v>100</v>
      </c>
      <c r="L117" s="202"/>
      <c r="M117" s="202"/>
      <c r="N117" s="199" t="str">
        <f t="shared" si="49"/>
        <v/>
      </c>
      <c r="O117" s="203" t="str">
        <f t="shared" si="50"/>
        <v>-</v>
      </c>
      <c r="P117" s="206">
        <f t="shared" si="51"/>
        <v>0</v>
      </c>
      <c r="Q117" s="208">
        <f t="shared" si="52"/>
        <v>0</v>
      </c>
      <c r="R117" s="205">
        <f>K117-Q117</f>
        <v>100</v>
      </c>
      <c r="S117" s="65">
        <f t="shared" si="48"/>
        <v>0</v>
      </c>
      <c r="T117" s="158">
        <f t="shared" si="35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9"/>
      <c r="BP117" s="169"/>
      <c r="BQ117" s="169"/>
      <c r="BR117" s="169"/>
      <c r="BS117" s="169"/>
      <c r="BT117" s="169"/>
      <c r="BU117" s="169"/>
      <c r="BV117" s="169"/>
      <c r="BW117" s="169"/>
      <c r="BX117" s="169"/>
      <c r="BY117" s="169"/>
      <c r="BZ117" s="169"/>
      <c r="CA117" s="169"/>
      <c r="CB117" s="169"/>
      <c r="CC117" s="169"/>
      <c r="CD117" s="169"/>
      <c r="CE117" s="169"/>
      <c r="CF117" s="169"/>
      <c r="CG117" s="169"/>
      <c r="CH117" s="169"/>
      <c r="CI117" s="169"/>
      <c r="CJ117" s="169"/>
      <c r="CK117" s="169"/>
      <c r="CL117" s="169"/>
      <c r="CM117" s="169"/>
      <c r="CN117" s="169"/>
      <c r="CO117" s="169"/>
      <c r="CP117" s="169"/>
      <c r="CQ117" s="169"/>
      <c r="CR117" s="169"/>
      <c r="CS117" s="169"/>
      <c r="CT117" s="169"/>
      <c r="CU117" s="169"/>
      <c r="CV117" s="169"/>
      <c r="CW117" s="169"/>
      <c r="CX117" s="169"/>
      <c r="CY117" s="169"/>
      <c r="CZ117" s="169"/>
      <c r="DA117" s="169"/>
      <c r="DB117" s="169"/>
      <c r="DC117" s="169"/>
      <c r="DD117" s="169"/>
      <c r="DE117" s="169"/>
      <c r="DF117" s="169"/>
    </row>
    <row r="118" spans="2:110" x14ac:dyDescent="0.4">
      <c r="B118" s="311"/>
      <c r="C118" s="60">
        <v>146</v>
      </c>
      <c r="D118" s="231" t="s">
        <v>250</v>
      </c>
      <c r="E118" s="196">
        <v>46012</v>
      </c>
      <c r="F118" s="196">
        <v>46031</v>
      </c>
      <c r="G118" s="197">
        <f t="shared" si="45"/>
        <v>19</v>
      </c>
      <c r="H118" s="196">
        <f t="shared" si="46"/>
        <v>46012</v>
      </c>
      <c r="I118" s="196">
        <f t="shared" si="47"/>
        <v>46031</v>
      </c>
      <c r="J118" s="200" t="s">
        <v>12</v>
      </c>
      <c r="K118" s="201">
        <v>100</v>
      </c>
      <c r="L118" s="202"/>
      <c r="M118" s="202"/>
      <c r="N118" s="199" t="str">
        <f t="shared" si="49"/>
        <v/>
      </c>
      <c r="O118" s="203" t="str">
        <f t="shared" si="50"/>
        <v>-</v>
      </c>
      <c r="P118" s="206">
        <f t="shared" si="51"/>
        <v>0</v>
      </c>
      <c r="Q118" s="208">
        <f t="shared" si="52"/>
        <v>0</v>
      </c>
      <c r="R118" s="205">
        <f>K118-Q118</f>
        <v>100</v>
      </c>
      <c r="S118" s="65">
        <f t="shared" si="48"/>
        <v>0</v>
      </c>
      <c r="T118" s="158">
        <f t="shared" si="35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9"/>
      <c r="BP118" s="169"/>
      <c r="BQ118" s="169"/>
      <c r="BR118" s="169"/>
      <c r="BS118" s="169"/>
      <c r="BT118" s="169"/>
      <c r="BU118" s="169"/>
      <c r="BV118" s="169"/>
      <c r="BW118" s="169"/>
      <c r="BX118" s="169"/>
      <c r="BY118" s="169"/>
      <c r="BZ118" s="169"/>
      <c r="CA118" s="169"/>
      <c r="CB118" s="169"/>
      <c r="CC118" s="169"/>
      <c r="CD118" s="169"/>
      <c r="CE118" s="169"/>
      <c r="CF118" s="169"/>
      <c r="CG118" s="169"/>
      <c r="CH118" s="169"/>
      <c r="CI118" s="169"/>
      <c r="CJ118" s="169"/>
      <c r="CK118" s="169"/>
      <c r="CL118" s="169"/>
      <c r="CM118" s="169"/>
      <c r="CN118" s="169"/>
      <c r="CO118" s="169"/>
      <c r="CP118" s="169"/>
      <c r="CQ118" s="169"/>
      <c r="CR118" s="169"/>
      <c r="CS118" s="169"/>
      <c r="CT118" s="169"/>
      <c r="CU118" s="169"/>
      <c r="CV118" s="169"/>
      <c r="CW118" s="169"/>
      <c r="CX118" s="169"/>
      <c r="CY118" s="169"/>
      <c r="CZ118" s="169"/>
      <c r="DA118" s="169"/>
      <c r="DB118" s="169"/>
      <c r="DC118" s="169"/>
      <c r="DD118" s="169"/>
      <c r="DE118" s="169"/>
      <c r="DF118" s="169"/>
    </row>
    <row r="119" spans="2:110" x14ac:dyDescent="0.4">
      <c r="B119" s="311"/>
      <c r="C119" s="60">
        <v>147</v>
      </c>
      <c r="D119" s="231" t="s">
        <v>251</v>
      </c>
      <c r="E119" s="196">
        <v>46032</v>
      </c>
      <c r="F119" s="196">
        <v>46047</v>
      </c>
      <c r="G119" s="197">
        <f t="shared" si="45"/>
        <v>15</v>
      </c>
      <c r="H119" s="196">
        <f t="shared" si="46"/>
        <v>46032</v>
      </c>
      <c r="I119" s="196">
        <f t="shared" si="47"/>
        <v>46047</v>
      </c>
      <c r="J119" s="200" t="s">
        <v>12</v>
      </c>
      <c r="K119" s="201">
        <v>100</v>
      </c>
      <c r="L119" s="202"/>
      <c r="M119" s="202"/>
      <c r="N119" s="199" t="str">
        <f t="shared" si="49"/>
        <v/>
      </c>
      <c r="O119" s="203" t="str">
        <f t="shared" si="50"/>
        <v>-</v>
      </c>
      <c r="P119" s="206">
        <f t="shared" si="51"/>
        <v>0</v>
      </c>
      <c r="Q119" s="208">
        <f t="shared" si="52"/>
        <v>0</v>
      </c>
      <c r="R119" s="205">
        <f>K119-Q119</f>
        <v>100</v>
      </c>
      <c r="S119" s="65">
        <f t="shared" si="48"/>
        <v>0</v>
      </c>
      <c r="T119" s="158">
        <f t="shared" ref="T119:T120" si="54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9"/>
      <c r="BP119" s="169"/>
      <c r="BQ119" s="169"/>
      <c r="BR119" s="169"/>
      <c r="BS119" s="169"/>
      <c r="BT119" s="169"/>
      <c r="BU119" s="169"/>
      <c r="BV119" s="169"/>
      <c r="BW119" s="169"/>
      <c r="BX119" s="169"/>
      <c r="BY119" s="169"/>
      <c r="BZ119" s="169"/>
      <c r="CA119" s="169"/>
      <c r="CB119" s="169"/>
      <c r="CC119" s="169"/>
      <c r="CD119" s="169"/>
      <c r="CE119" s="169"/>
      <c r="CF119" s="169"/>
      <c r="CG119" s="169"/>
      <c r="CH119" s="169"/>
      <c r="CI119" s="169"/>
      <c r="CJ119" s="169"/>
      <c r="CK119" s="169"/>
      <c r="CL119" s="169"/>
      <c r="CM119" s="169"/>
      <c r="CN119" s="169"/>
      <c r="CO119" s="169"/>
      <c r="CP119" s="169"/>
      <c r="CQ119" s="169"/>
      <c r="CR119" s="169"/>
      <c r="CS119" s="169"/>
      <c r="CT119" s="169"/>
      <c r="CU119" s="169"/>
      <c r="CV119" s="169"/>
      <c r="CW119" s="169"/>
      <c r="CX119" s="169"/>
      <c r="CY119" s="169"/>
      <c r="CZ119" s="169"/>
      <c r="DA119" s="169"/>
      <c r="DB119" s="169"/>
      <c r="DC119" s="169"/>
      <c r="DD119" s="169"/>
      <c r="DE119" s="169"/>
      <c r="DF119" s="169"/>
    </row>
    <row r="120" spans="2:110" x14ac:dyDescent="0.4">
      <c r="B120" s="311"/>
      <c r="C120" s="60">
        <v>148</v>
      </c>
      <c r="D120" s="231" t="s">
        <v>54</v>
      </c>
      <c r="E120" s="196">
        <v>46048</v>
      </c>
      <c r="F120" s="196">
        <v>46058</v>
      </c>
      <c r="G120" s="197">
        <f t="shared" si="45"/>
        <v>10</v>
      </c>
      <c r="H120" s="196">
        <f t="shared" si="46"/>
        <v>46048</v>
      </c>
      <c r="I120" s="196">
        <f t="shared" si="47"/>
        <v>46058</v>
      </c>
      <c r="J120" s="200" t="s">
        <v>12</v>
      </c>
      <c r="K120" s="201">
        <v>100</v>
      </c>
      <c r="L120" s="202"/>
      <c r="M120" s="202"/>
      <c r="N120" s="199" t="str">
        <f t="shared" si="49"/>
        <v/>
      </c>
      <c r="O120" s="203" t="str">
        <f t="shared" si="50"/>
        <v>-</v>
      </c>
      <c r="P120" s="206">
        <f t="shared" si="51"/>
        <v>0</v>
      </c>
      <c r="Q120" s="208">
        <f t="shared" si="52"/>
        <v>0</v>
      </c>
      <c r="R120" s="205">
        <f>K120-Q120</f>
        <v>100</v>
      </c>
      <c r="S120" s="65">
        <f t="shared" si="48"/>
        <v>0</v>
      </c>
      <c r="T120" s="158">
        <f t="shared" si="54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</row>
    <row r="121" spans="2:110" x14ac:dyDescent="0.4">
      <c r="B121" s="302"/>
    </row>
    <row r="122" spans="2:110" x14ac:dyDescent="0.4">
      <c r="B122" s="303"/>
    </row>
    <row r="123" spans="2:110" x14ac:dyDescent="0.4">
      <c r="B123" s="303"/>
    </row>
    <row r="124" spans="2:110" x14ac:dyDescent="0.4">
      <c r="B124" s="303"/>
    </row>
    <row r="125" spans="2:110" x14ac:dyDescent="0.4">
      <c r="B125" s="303"/>
    </row>
    <row r="126" spans="2:110" x14ac:dyDescent="0.4">
      <c r="B126" s="303"/>
    </row>
    <row r="127" spans="2:110" x14ac:dyDescent="0.4">
      <c r="B127" s="303"/>
    </row>
    <row r="128" spans="2:110" x14ac:dyDescent="0.4">
      <c r="B128" s="303"/>
      <c r="K128" s="151"/>
    </row>
    <row r="129" spans="11:11" x14ac:dyDescent="0.4">
      <c r="K129" s="151"/>
    </row>
  </sheetData>
  <mergeCells count="37"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R2:R3"/>
    <mergeCell ref="S2:S3"/>
    <mergeCell ref="N2:N3"/>
    <mergeCell ref="O2:O3"/>
    <mergeCell ref="P2:P3"/>
    <mergeCell ref="Q2:Q3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8">
        <f>C2</f>
        <v>45783</v>
      </c>
      <c r="E2" s="189" t="s">
        <v>420</v>
      </c>
    </row>
    <row r="3" spans="1:9" x14ac:dyDescent="0.4">
      <c r="A3" s="135">
        <v>2</v>
      </c>
      <c r="B3" s="133" t="s">
        <v>343</v>
      </c>
      <c r="C3" s="134">
        <v>45803</v>
      </c>
      <c r="D3" s="188">
        <v>45807</v>
      </c>
      <c r="E3" s="189" t="s">
        <v>422</v>
      </c>
    </row>
    <row r="4" spans="1:9" x14ac:dyDescent="0.4">
      <c r="A4" s="124">
        <v>3</v>
      </c>
      <c r="B4" s="125" t="s">
        <v>344</v>
      </c>
      <c r="C4" s="126">
        <v>45816</v>
      </c>
      <c r="D4" s="184">
        <f t="shared" ref="D4:D21" si="0">C4</f>
        <v>45816</v>
      </c>
      <c r="E4" s="140"/>
    </row>
    <row r="5" spans="1:9" x14ac:dyDescent="0.4">
      <c r="A5" s="124">
        <v>4</v>
      </c>
      <c r="B5" s="125" t="s">
        <v>345</v>
      </c>
      <c r="C5" s="126">
        <v>45805</v>
      </c>
      <c r="D5" s="184">
        <v>45817</v>
      </c>
      <c r="E5" s="140"/>
    </row>
    <row r="6" spans="1:9" x14ac:dyDescent="0.4">
      <c r="A6" s="124">
        <v>5</v>
      </c>
      <c r="B6" s="125" t="s">
        <v>346</v>
      </c>
      <c r="C6" s="126">
        <v>45805</v>
      </c>
      <c r="D6" s="184">
        <v>45817</v>
      </c>
      <c r="E6" s="140"/>
    </row>
    <row r="7" spans="1:9" x14ac:dyDescent="0.4">
      <c r="A7" s="124">
        <v>6</v>
      </c>
      <c r="B7" s="125" t="s">
        <v>347</v>
      </c>
      <c r="C7" s="126">
        <v>45820</v>
      </c>
      <c r="D7" s="184">
        <f t="shared" si="0"/>
        <v>45820</v>
      </c>
      <c r="E7" s="140"/>
    </row>
    <row r="8" spans="1:9" x14ac:dyDescent="0.4">
      <c r="A8" s="124">
        <v>7</v>
      </c>
      <c r="B8" s="125" t="s">
        <v>348</v>
      </c>
      <c r="C8" s="126">
        <v>45814</v>
      </c>
      <c r="D8" s="184">
        <v>45818</v>
      </c>
      <c r="E8" s="140"/>
    </row>
    <row r="9" spans="1:9" x14ac:dyDescent="0.4">
      <c r="A9" s="135">
        <v>8</v>
      </c>
      <c r="B9" s="133" t="s">
        <v>349</v>
      </c>
      <c r="C9" s="134">
        <v>45797</v>
      </c>
      <c r="D9" s="188">
        <v>45790</v>
      </c>
      <c r="E9" s="189" t="s">
        <v>422</v>
      </c>
    </row>
    <row r="10" spans="1:9" x14ac:dyDescent="0.4">
      <c r="A10" s="124">
        <v>9</v>
      </c>
      <c r="B10" s="125" t="s">
        <v>351</v>
      </c>
      <c r="C10" s="126">
        <v>45788</v>
      </c>
      <c r="D10" s="184">
        <f>Ordering!E11+7</f>
        <v>45845</v>
      </c>
      <c r="E10" s="140"/>
    </row>
    <row r="11" spans="1:9" x14ac:dyDescent="0.4">
      <c r="A11" s="124">
        <v>10</v>
      </c>
      <c r="B11" s="125" t="s">
        <v>352</v>
      </c>
      <c r="C11" s="126">
        <v>45813</v>
      </c>
      <c r="D11" s="184">
        <v>45818</v>
      </c>
      <c r="E11" s="140"/>
      <c r="G11" s="191"/>
      <c r="H11"/>
      <c r="I11" s="191"/>
    </row>
    <row r="12" spans="1:9" x14ac:dyDescent="0.4">
      <c r="A12" s="124">
        <v>11</v>
      </c>
      <c r="B12" s="125" t="s">
        <v>353</v>
      </c>
      <c r="C12" s="126">
        <v>45799</v>
      </c>
      <c r="D12" s="184">
        <f>Ordering!E13+7</f>
        <v>45852</v>
      </c>
      <c r="E12" s="140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4">
        <f>Ordering!E14+7</f>
        <v>45852</v>
      </c>
      <c r="E13" s="140"/>
    </row>
    <row r="14" spans="1:9" x14ac:dyDescent="0.4">
      <c r="A14" s="124">
        <v>13</v>
      </c>
      <c r="B14" s="125" t="s">
        <v>355</v>
      </c>
      <c r="C14" s="126">
        <v>45813</v>
      </c>
      <c r="D14" s="184">
        <v>45820</v>
      </c>
      <c r="E14" s="140"/>
    </row>
    <row r="15" spans="1:9" x14ac:dyDescent="0.4">
      <c r="A15" s="124">
        <v>14</v>
      </c>
      <c r="B15" s="125" t="s">
        <v>356</v>
      </c>
      <c r="C15" s="126">
        <v>45805</v>
      </c>
      <c r="D15" s="184">
        <f>Ordering!E16+7</f>
        <v>45852</v>
      </c>
      <c r="E15" s="140"/>
    </row>
    <row r="16" spans="1:9" x14ac:dyDescent="0.4">
      <c r="A16" s="124">
        <v>15</v>
      </c>
      <c r="B16" s="125" t="s">
        <v>357</v>
      </c>
      <c r="C16" s="126">
        <v>45805</v>
      </c>
      <c r="D16" s="184">
        <f>Ordering!E17+7</f>
        <v>45852</v>
      </c>
      <c r="E16" s="140"/>
    </row>
    <row r="17" spans="1:5" x14ac:dyDescent="0.4">
      <c r="A17" s="124">
        <v>16</v>
      </c>
      <c r="B17" s="125" t="s">
        <v>358</v>
      </c>
      <c r="C17" s="126">
        <v>45805</v>
      </c>
      <c r="D17" s="184">
        <f>Ordering!E18+7</f>
        <v>45822</v>
      </c>
      <c r="E17" s="140"/>
    </row>
    <row r="18" spans="1:5" x14ac:dyDescent="0.4">
      <c r="A18" s="124">
        <v>17</v>
      </c>
      <c r="B18" s="125" t="s">
        <v>359</v>
      </c>
      <c r="C18" s="126">
        <v>45813</v>
      </c>
      <c r="D18" s="184">
        <f>Ordering!E19+7</f>
        <v>45864</v>
      </c>
      <c r="E18" s="140"/>
    </row>
    <row r="19" spans="1:5" x14ac:dyDescent="0.4">
      <c r="A19" s="124">
        <v>18</v>
      </c>
      <c r="B19" s="125" t="s">
        <v>360</v>
      </c>
      <c r="C19" s="126">
        <v>45820</v>
      </c>
      <c r="D19" s="184">
        <f t="shared" si="0"/>
        <v>45820</v>
      </c>
      <c r="E19" s="140"/>
    </row>
    <row r="20" spans="1:5" x14ac:dyDescent="0.4">
      <c r="A20" s="124">
        <v>19</v>
      </c>
      <c r="B20" s="125" t="s">
        <v>361</v>
      </c>
      <c r="C20" s="126">
        <v>45839</v>
      </c>
      <c r="D20" s="184">
        <f t="shared" si="0"/>
        <v>45839</v>
      </c>
      <c r="E20" s="140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5">
        <f t="shared" si="0"/>
        <v>45900</v>
      </c>
      <c r="E21" s="186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7">
        <v>1</v>
      </c>
      <c r="B23" s="139" t="s">
        <v>366</v>
      </c>
      <c r="C23" s="138">
        <v>45701</v>
      </c>
      <c r="D23" s="137" t="s">
        <v>367</v>
      </c>
      <c r="E23" s="152" t="s">
        <v>367</v>
      </c>
    </row>
    <row r="24" spans="1:5" s="131" customFormat="1" x14ac:dyDescent="0.35">
      <c r="A24" s="144">
        <v>2</v>
      </c>
      <c r="B24" s="145" t="s">
        <v>368</v>
      </c>
      <c r="C24" s="146">
        <v>45780</v>
      </c>
      <c r="D24" s="146">
        <f>C24</f>
        <v>45780</v>
      </c>
      <c r="E24" s="152" t="s">
        <v>440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1" t="s">
        <v>441</v>
      </c>
    </row>
    <row r="26" spans="1:5" s="131" customFormat="1" x14ac:dyDescent="0.35">
      <c r="A26" s="137">
        <v>4</v>
      </c>
      <c r="B26" s="139" t="s">
        <v>370</v>
      </c>
      <c r="C26" s="137" t="s">
        <v>371</v>
      </c>
      <c r="D26" s="138" t="s">
        <v>367</v>
      </c>
      <c r="E26" s="152" t="s">
        <v>398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90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1" t="s">
        <v>442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90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90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90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3" t="s">
        <v>443</v>
      </c>
    </row>
    <row r="33" spans="1:5" s="131" customFormat="1" x14ac:dyDescent="0.35">
      <c r="A33" s="192">
        <v>11</v>
      </c>
      <c r="B33" s="193" t="s">
        <v>378</v>
      </c>
      <c r="C33" s="194">
        <v>45772</v>
      </c>
      <c r="D33" s="194">
        <v>45773</v>
      </c>
      <c r="E33" s="152" t="s">
        <v>423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2" t="s">
        <v>425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90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90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90"/>
    </row>
    <row r="38" spans="1:5" s="131" customFormat="1" ht="32" x14ac:dyDescent="0.35">
      <c r="A38" s="137">
        <v>16</v>
      </c>
      <c r="B38" s="139" t="s">
        <v>383</v>
      </c>
      <c r="C38" s="138">
        <v>45719</v>
      </c>
      <c r="D38" s="138" t="s">
        <v>367</v>
      </c>
      <c r="E38" s="152" t="s">
        <v>419</v>
      </c>
    </row>
    <row r="39" spans="1:5" s="131" customFormat="1" x14ac:dyDescent="0.35">
      <c r="A39" s="144">
        <v>17</v>
      </c>
      <c r="B39" s="145" t="s">
        <v>384</v>
      </c>
      <c r="C39" s="146">
        <v>45762</v>
      </c>
      <c r="D39" s="146"/>
      <c r="E39" s="183" t="s">
        <v>418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3" t="s">
        <v>421</v>
      </c>
    </row>
    <row r="41" spans="1:5" s="131" customFormat="1" ht="32" x14ac:dyDescent="0.35">
      <c r="A41" s="144">
        <v>19</v>
      </c>
      <c r="B41" s="145" t="s">
        <v>386</v>
      </c>
      <c r="C41" s="146">
        <v>45772</v>
      </c>
      <c r="D41" s="146"/>
      <c r="E41" s="183" t="s">
        <v>426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90"/>
    </row>
    <row r="43" spans="1:5" s="131" customFormat="1" x14ac:dyDescent="0.35">
      <c r="A43" s="128">
        <v>19</v>
      </c>
      <c r="B43" s="129" t="s">
        <v>395</v>
      </c>
      <c r="C43" s="130"/>
      <c r="D43" s="130"/>
      <c r="E43" s="183" t="s">
        <v>440</v>
      </c>
    </row>
    <row r="44" spans="1:5" s="131" customFormat="1" ht="32" x14ac:dyDescent="0.35">
      <c r="A44" s="128">
        <v>20</v>
      </c>
      <c r="B44" s="129" t="s">
        <v>396</v>
      </c>
      <c r="C44" s="130"/>
      <c r="D44" s="130"/>
      <c r="E44" s="183" t="s">
        <v>440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40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40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40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40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40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40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40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40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40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40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40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40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40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40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40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40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40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40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40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312" t="s">
        <v>297</v>
      </c>
      <c r="B1" s="313"/>
      <c r="C1" s="313"/>
      <c r="D1" s="313"/>
      <c r="E1" s="313"/>
      <c r="F1" s="314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45861</v>
      </c>
      <c r="E1" s="121"/>
      <c r="F1" s="121"/>
      <c r="G1" s="121"/>
      <c r="H1" s="121"/>
      <c r="S1" s="159" t="s">
        <v>400</v>
      </c>
    </row>
    <row r="2" spans="2:64" s="22" customFormat="1" ht="72" customHeight="1" x14ac:dyDescent="0.35">
      <c r="B2" s="299" t="s">
        <v>96</v>
      </c>
      <c r="C2" s="300" t="s">
        <v>97</v>
      </c>
      <c r="D2" s="296" t="s">
        <v>98</v>
      </c>
      <c r="E2" s="306" t="s">
        <v>306</v>
      </c>
      <c r="F2" s="306" t="s">
        <v>307</v>
      </c>
      <c r="G2" s="306" t="s">
        <v>308</v>
      </c>
      <c r="H2" s="306" t="s">
        <v>309</v>
      </c>
      <c r="I2" s="300" t="s">
        <v>99</v>
      </c>
      <c r="J2" s="294" t="s">
        <v>1</v>
      </c>
      <c r="K2" s="315" t="s">
        <v>100</v>
      </c>
      <c r="L2" s="315" t="s">
        <v>101</v>
      </c>
      <c r="M2" s="296" t="s">
        <v>102</v>
      </c>
      <c r="N2" s="296" t="s">
        <v>103</v>
      </c>
      <c r="O2" s="296" t="s">
        <v>255</v>
      </c>
      <c r="P2" s="294" t="s">
        <v>104</v>
      </c>
      <c r="Q2" s="294" t="s">
        <v>105</v>
      </c>
      <c r="R2" s="295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299"/>
      <c r="C3" s="300"/>
      <c r="D3" s="296"/>
      <c r="E3" s="307"/>
      <c r="F3" s="307"/>
      <c r="G3" s="307"/>
      <c r="H3" s="307"/>
      <c r="I3" s="300"/>
      <c r="J3" s="294"/>
      <c r="K3" s="316"/>
      <c r="L3" s="316"/>
      <c r="M3" s="296"/>
      <c r="N3" s="296"/>
      <c r="O3" s="296"/>
      <c r="P3" s="294"/>
      <c r="Q3" s="294"/>
      <c r="R3" s="295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7" t="s">
        <v>106</v>
      </c>
      <c r="C4" s="60">
        <v>1</v>
      </c>
      <c r="D4" s="148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8">
        <f t="shared" ref="P4:P11" si="2">SUMIF($S$2:$AR$2,"&lt;="&amp;$D$1,S4:AR4)</f>
        <v>256</v>
      </c>
      <c r="Q4" s="158">
        <f t="shared" ref="Q4:Q67" si="3">J4-P4</f>
        <v>774</v>
      </c>
      <c r="R4" s="158">
        <f t="shared" ref="R4" si="4">SUM(S4:XFD4)</f>
        <v>256</v>
      </c>
      <c r="S4" s="149">
        <v>0</v>
      </c>
      <c r="T4" s="149">
        <v>0</v>
      </c>
      <c r="U4" s="149"/>
      <c r="V4" s="149"/>
      <c r="W4" s="149"/>
      <c r="X4" s="153">
        <v>1.5</v>
      </c>
      <c r="Y4" s="153">
        <v>3.5</v>
      </c>
      <c r="Z4" s="153">
        <v>4</v>
      </c>
      <c r="AA4" s="153">
        <v>4</v>
      </c>
      <c r="AB4" s="153">
        <v>4</v>
      </c>
      <c r="AC4" s="153">
        <v>4</v>
      </c>
      <c r="AD4" s="153">
        <v>3</v>
      </c>
      <c r="AE4" s="153">
        <v>2</v>
      </c>
      <c r="AF4" s="153"/>
      <c r="AG4" s="153"/>
      <c r="AH4" s="153">
        <v>20</v>
      </c>
      <c r="AI4" s="153">
        <v>20</v>
      </c>
      <c r="AJ4" s="153">
        <v>20</v>
      </c>
      <c r="AK4" s="153">
        <v>20</v>
      </c>
      <c r="AL4" s="153">
        <v>40</v>
      </c>
      <c r="AM4" s="153">
        <v>40</v>
      </c>
      <c r="AN4" s="153">
        <v>30</v>
      </c>
      <c r="AO4" s="153">
        <v>20</v>
      </c>
      <c r="AP4" s="153">
        <v>10</v>
      </c>
      <c r="AQ4" s="149">
        <v>10</v>
      </c>
      <c r="AR4" s="149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</row>
    <row r="5" spans="2:64" x14ac:dyDescent="0.4">
      <c r="B5" s="297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7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297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7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297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4">
        <f t="shared" si="6"/>
        <v>75</v>
      </c>
      <c r="S7" s="157">
        <v>52</v>
      </c>
      <c r="T7" s="157">
        <v>2</v>
      </c>
      <c r="U7" s="157">
        <v>2</v>
      </c>
      <c r="V7" s="157">
        <v>2</v>
      </c>
      <c r="W7" s="157">
        <v>2</v>
      </c>
      <c r="X7" s="157">
        <v>2</v>
      </c>
      <c r="Y7" s="157">
        <v>1</v>
      </c>
      <c r="Z7" s="157">
        <v>1</v>
      </c>
      <c r="AA7" s="157">
        <v>1</v>
      </c>
      <c r="AB7" s="157">
        <v>1</v>
      </c>
      <c r="AC7" s="157">
        <v>1</v>
      </c>
      <c r="AD7" s="157">
        <v>1</v>
      </c>
      <c r="AE7" s="157"/>
      <c r="AF7" s="157">
        <v>1</v>
      </c>
      <c r="AG7" s="157">
        <v>1</v>
      </c>
      <c r="AH7" s="157"/>
      <c r="AI7" s="157"/>
      <c r="AJ7" s="157">
        <v>1</v>
      </c>
      <c r="AK7" s="157">
        <v>1</v>
      </c>
      <c r="AL7" s="157">
        <v>1</v>
      </c>
      <c r="AM7" s="157">
        <v>1</v>
      </c>
      <c r="AN7" s="157">
        <v>1</v>
      </c>
      <c r="AO7" s="157"/>
      <c r="AP7" s="155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297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6">
        <v>4</v>
      </c>
      <c r="X8" s="156">
        <v>8</v>
      </c>
      <c r="Y8" s="156">
        <v>8</v>
      </c>
      <c r="Z8" s="156">
        <v>10</v>
      </c>
      <c r="AA8" s="156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297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297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297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297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297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297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297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297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297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297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297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297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297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297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297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297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297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297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297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297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297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297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297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297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297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297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297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297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297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297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297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297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297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297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297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297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297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297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297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297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297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297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297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297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297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297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297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297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297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297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297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297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297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297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297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297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297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297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297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297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297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297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297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297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297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297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297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297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297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297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297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297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297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297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297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297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297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297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297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297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297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297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297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297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297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297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297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297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297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297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297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297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297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297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297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297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297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297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297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297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297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297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297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297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297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297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297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ht="29" x14ac:dyDescent="0.4">
      <c r="B116" s="297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297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297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297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297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297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297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297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297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297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297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297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297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297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311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311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311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311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311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311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311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311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311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311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311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311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311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311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311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311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311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311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311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311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311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311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311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311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311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311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311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1"/>
    </row>
    <row r="165" spans="10:10" x14ac:dyDescent="0.4">
      <c r="J165" s="151"/>
    </row>
  </sheetData>
  <mergeCells count="34"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Sheet1</vt:lpstr>
      <vt:lpstr>Preliminary Activity</vt:lpstr>
      <vt:lpstr>Manpower</vt:lpstr>
      <vt:lpstr>Machinery</vt:lpstr>
      <vt:lpstr>Ordering</vt:lpstr>
      <vt:lpstr>MDL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2025-07-24T05:07:42Z</dcterms:modified>
</cp:coreProperties>
</file>