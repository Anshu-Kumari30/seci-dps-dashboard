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19" documentId="8_{0461939A-6277-4B90-A902-BA48B45E2A17}" xr6:coauthVersionLast="47" xr6:coauthVersionMax="47" xr10:uidLastSave="{3213665A-0163-49B0-B5E9-A343F7483D69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Sheet1" sheetId="18" state="hidden" r:id="rId2"/>
    <sheet name="Preliminary Activity" sheetId="14" r:id="rId3"/>
    <sheet name="Manpower" sheetId="10" state="hidden" r:id="rId4"/>
    <sheet name="Machinery" sheetId="12" state="hidden" r:id="rId5"/>
    <sheet name="Ordering" sheetId="15" r:id="rId6"/>
    <sheet name="MDL (2)" sheetId="23" r:id="rId7"/>
    <sheet name="Construction Status" sheetId="11" r:id="rId8"/>
    <sheet name="MDL" sheetId="21" state="hidden" r:id="rId9"/>
    <sheet name="Engineering &amp; Delivery" sheetId="16" state="hidden" r:id="rId10"/>
    <sheet name="Hinderance Register" sheetId="13" state="hidden" r:id="rId11"/>
    <sheet name="Construction Status (2)" sheetId="17" state="hidden" r:id="rId12"/>
  </sheets>
  <externalReferences>
    <externalReference r:id="rId13"/>
    <externalReference r:id="rId14"/>
  </externalReferences>
  <definedNames>
    <definedName name="_xlnm._FilterDatabase" localSheetId="7" hidden="1">'Construction Status'!$B$1:$BN$120</definedName>
    <definedName name="_xlnm._FilterDatabase" localSheetId="11" hidden="1">'Construction Status (2)'!$B$1:$BL$156</definedName>
    <definedName name="_xlnm._FilterDatabase" localSheetId="8" hidden="1">MDL!$A$2:$AB$206</definedName>
    <definedName name="_xlnm._FilterDatabase" localSheetId="6" hidden="1">'MDL (2)'!$A$2:$U$219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10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1" l="1"/>
  <c r="S12" i="11"/>
  <c r="T12" i="11"/>
  <c r="T11" i="11"/>
  <c r="O12" i="11"/>
  <c r="K6" i="8" l="1"/>
  <c r="I11" i="11" l="1"/>
  <c r="D1" i="11"/>
  <c r="Q12" i="11" s="1"/>
  <c r="P12" i="11" s="1"/>
  <c r="N4" i="8" l="1"/>
  <c r="A26" i="14" l="1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9" i="8"/>
  <c r="I18" i="8"/>
  <c r="I17" i="8"/>
  <c r="I16" i="8"/>
  <c r="I15" i="8"/>
  <c r="I14" i="8"/>
  <c r="I12" i="8"/>
  <c r="I11" i="8"/>
  <c r="K19" i="8" a="1"/>
  <c r="K19" i="8" s="1"/>
  <c r="K18" i="8" a="1"/>
  <c r="K18" i="8" s="1"/>
  <c r="K17" i="8" a="1"/>
  <c r="K17" i="8" s="1"/>
  <c r="K16" i="8" a="1"/>
  <c r="K16" i="8" s="1"/>
  <c r="K15" i="8" a="1"/>
  <c r="K15" i="8" s="1"/>
  <c r="K14" i="8" a="1"/>
  <c r="K14" i="8" s="1"/>
  <c r="O219" i="23"/>
  <c r="S218" i="23"/>
  <c r="P218" i="23"/>
  <c r="O218" i="23"/>
  <c r="H218" i="23"/>
  <c r="H216" i="23"/>
  <c r="S214" i="23"/>
  <c r="O214" i="23"/>
  <c r="H214" i="23"/>
  <c r="H213" i="23"/>
  <c r="H212" i="23"/>
  <c r="H211" i="23"/>
  <c r="H210" i="23"/>
  <c r="H209" i="23"/>
  <c r="G208" i="23"/>
  <c r="H208" i="23" s="1"/>
  <c r="G207" i="23"/>
  <c r="G206" i="23"/>
  <c r="H206" i="23" s="1"/>
  <c r="G205" i="23"/>
  <c r="H205" i="23" s="1"/>
  <c r="G204" i="23"/>
  <c r="G203" i="23"/>
  <c r="H203" i="23" s="1"/>
  <c r="G202" i="23"/>
  <c r="H202" i="23" s="1"/>
  <c r="G201" i="23"/>
  <c r="H201" i="23" s="1"/>
  <c r="G200" i="23"/>
  <c r="G199" i="23"/>
  <c r="H199" i="23" s="1"/>
  <c r="G198" i="23"/>
  <c r="H198" i="23" s="1"/>
  <c r="G197" i="23"/>
  <c r="G196" i="23"/>
  <c r="H196" i="23" s="1"/>
  <c r="G195" i="23"/>
  <c r="H195" i="23" s="1"/>
  <c r="G194" i="23"/>
  <c r="H194" i="23" s="1"/>
  <c r="G193" i="23"/>
  <c r="H193" i="23" s="1"/>
  <c r="H192" i="23"/>
  <c r="G192" i="23"/>
  <c r="S191" i="23"/>
  <c r="H191" i="23"/>
  <c r="G191" i="23"/>
  <c r="H190" i="23"/>
  <c r="G190" i="23"/>
  <c r="H189" i="23"/>
  <c r="G189" i="23"/>
  <c r="S187" i="23"/>
  <c r="O187" i="23"/>
  <c r="H186" i="23"/>
  <c r="G185" i="23"/>
  <c r="H185" i="23" s="1"/>
  <c r="G184" i="23"/>
  <c r="A184" i="23"/>
  <c r="A185" i="23" s="1"/>
  <c r="A186" i="23" s="1"/>
  <c r="A187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1" i="23" s="1"/>
  <c r="A212" i="23" s="1"/>
  <c r="A213" i="23" s="1"/>
  <c r="G183" i="23"/>
  <c r="G182" i="23"/>
  <c r="G181" i="23"/>
  <c r="H180" i="23"/>
  <c r="G180" i="23"/>
  <c r="H179" i="23"/>
  <c r="G178" i="23"/>
  <c r="H178" i="23" s="1"/>
  <c r="G177" i="23"/>
  <c r="H177" i="23" s="1"/>
  <c r="G176" i="23"/>
  <c r="G175" i="23"/>
  <c r="H175" i="23" s="1"/>
  <c r="G174" i="23"/>
  <c r="H174" i="23" s="1"/>
  <c r="H173" i="23"/>
  <c r="G173" i="23"/>
  <c r="G172" i="23"/>
  <c r="H172" i="23" s="1"/>
  <c r="G171" i="23"/>
  <c r="G170" i="23"/>
  <c r="H170" i="23" s="1"/>
  <c r="G169" i="23"/>
  <c r="H169" i="23" s="1"/>
  <c r="G168" i="23"/>
  <c r="H168" i="23" s="1"/>
  <c r="G167" i="23"/>
  <c r="G166" i="23"/>
  <c r="H166" i="23" s="1"/>
  <c r="G165" i="23"/>
  <c r="H165" i="23" s="1"/>
  <c r="G164" i="23"/>
  <c r="H164" i="23" s="1"/>
  <c r="G162" i="23"/>
  <c r="H162" i="23" s="1"/>
  <c r="G161" i="23"/>
  <c r="H161" i="23" s="1"/>
  <c r="H155" i="23"/>
  <c r="S154" i="23"/>
  <c r="H154" i="23"/>
  <c r="H153" i="23"/>
  <c r="O151" i="23"/>
  <c r="P150" i="23"/>
  <c r="O150" i="23"/>
  <c r="S149" i="23"/>
  <c r="P149" i="23"/>
  <c r="O149" i="23"/>
  <c r="H149" i="23"/>
  <c r="O148" i="23"/>
  <c r="P147" i="23"/>
  <c r="O147" i="23"/>
  <c r="S146" i="23"/>
  <c r="P146" i="23"/>
  <c r="O146" i="23"/>
  <c r="H146" i="23"/>
  <c r="H145" i="23"/>
  <c r="S142" i="23"/>
  <c r="Q142" i="23"/>
  <c r="H142" i="23"/>
  <c r="J139" i="23"/>
  <c r="J138" i="23"/>
  <c r="S135" i="23"/>
  <c r="P135" i="23"/>
  <c r="O135" i="23"/>
  <c r="H135" i="23"/>
  <c r="O134" i="23"/>
  <c r="U133" i="23"/>
  <c r="P133" i="23"/>
  <c r="O133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14" i="23"/>
  <c r="S111" i="23"/>
  <c r="O111" i="23"/>
  <c r="H111" i="23"/>
  <c r="H110" i="23"/>
  <c r="H109" i="23"/>
  <c r="H108" i="23"/>
  <c r="H107" i="23"/>
  <c r="O105" i="23"/>
  <c r="S104" i="23"/>
  <c r="P104" i="23"/>
  <c r="O104" i="23"/>
  <c r="H104" i="23"/>
  <c r="S103" i="23"/>
  <c r="H103" i="23"/>
  <c r="S101" i="23"/>
  <c r="P101" i="23"/>
  <c r="O101" i="23"/>
  <c r="H101" i="23"/>
  <c r="P99" i="23"/>
  <c r="O99" i="23"/>
  <c r="P98" i="23"/>
  <c r="O98" i="23"/>
  <c r="S97" i="23"/>
  <c r="P97" i="23"/>
  <c r="O97" i="23"/>
  <c r="H97" i="23"/>
  <c r="H96" i="23"/>
  <c r="H93" i="23"/>
  <c r="H89" i="23"/>
  <c r="H84" i="23"/>
  <c r="O71" i="23"/>
  <c r="P70" i="23"/>
  <c r="O70" i="23"/>
  <c r="U69" i="23"/>
  <c r="S69" i="23"/>
  <c r="R69" i="23"/>
  <c r="Q69" i="23"/>
  <c r="P69" i="23"/>
  <c r="O69" i="23"/>
  <c r="H69" i="23"/>
  <c r="S67" i="23"/>
  <c r="P67" i="23"/>
  <c r="O67" i="23"/>
  <c r="H67" i="23"/>
  <c r="H55" i="23"/>
  <c r="H54" i="23"/>
  <c r="H53" i="23"/>
  <c r="H52" i="23"/>
  <c r="H51" i="23"/>
  <c r="H50" i="23"/>
  <c r="H49" i="23"/>
  <c r="H48" i="23"/>
  <c r="S44" i="23"/>
  <c r="P44" i="23"/>
  <c r="O44" i="23"/>
  <c r="H44" i="23"/>
  <c r="S42" i="23"/>
  <c r="H42" i="23"/>
  <c r="O40" i="23"/>
  <c r="P39" i="23"/>
  <c r="O39" i="23"/>
  <c r="S38" i="23"/>
  <c r="Q38" i="23"/>
  <c r="P38" i="23"/>
  <c r="O38" i="23"/>
  <c r="H38" i="23"/>
  <c r="O37" i="23"/>
  <c r="S36" i="23"/>
  <c r="P36" i="23"/>
  <c r="O36" i="23"/>
  <c r="H36" i="23"/>
  <c r="S35" i="23"/>
  <c r="H35" i="23"/>
  <c r="O34" i="23"/>
  <c r="O33" i="23"/>
  <c r="P32" i="23"/>
  <c r="O32" i="23"/>
  <c r="P31" i="23"/>
  <c r="O31" i="23"/>
  <c r="U30" i="23"/>
  <c r="S30" i="23"/>
  <c r="Q30" i="23"/>
  <c r="P30" i="23"/>
  <c r="O30" i="23"/>
  <c r="H30" i="23"/>
  <c r="S29" i="23"/>
  <c r="H29" i="23"/>
  <c r="S28" i="23"/>
  <c r="H28" i="23"/>
  <c r="O27" i="23"/>
  <c r="P26" i="23"/>
  <c r="O26" i="23"/>
  <c r="S25" i="23"/>
  <c r="P25" i="23"/>
  <c r="O25" i="23"/>
  <c r="H25" i="23"/>
  <c r="O21" i="23"/>
  <c r="P20" i="23"/>
  <c r="O20" i="23"/>
  <c r="U19" i="23"/>
  <c r="S19" i="23"/>
  <c r="Q19" i="23"/>
  <c r="P19" i="23"/>
  <c r="O19" i="23"/>
  <c r="H19" i="23"/>
  <c r="S18" i="23"/>
  <c r="O18" i="23"/>
  <c r="S14" i="23"/>
  <c r="P14" i="23"/>
  <c r="O14" i="23"/>
  <c r="S13" i="23"/>
  <c r="S10" i="23"/>
  <c r="Q10" i="23"/>
  <c r="O10" i="23"/>
  <c r="O8" i="23"/>
  <c r="U7" i="23"/>
  <c r="S7" i="23"/>
  <c r="R7" i="23"/>
  <c r="Q7" i="23"/>
  <c r="P7" i="23"/>
  <c r="O7" i="23"/>
  <c r="P5" i="23"/>
  <c r="O5" i="23"/>
  <c r="P4" i="23"/>
  <c r="O4" i="23"/>
  <c r="U1" i="23"/>
  <c r="U142" i="23" s="1"/>
  <c r="O1" i="23"/>
  <c r="P219" i="23" s="1"/>
  <c r="U16" i="23" l="1"/>
  <c r="O16" i="23"/>
  <c r="U28" i="23"/>
  <c r="O15" i="23"/>
  <c r="U149" i="23"/>
  <c r="U111" i="23"/>
  <c r="O42" i="23"/>
  <c r="O130" i="23"/>
  <c r="U104" i="23"/>
  <c r="U130" i="23"/>
  <c r="O28" i="23"/>
  <c r="O145" i="23"/>
  <c r="U145" i="23"/>
  <c r="O114" i="23"/>
  <c r="U114" i="23"/>
  <c r="U14" i="23"/>
  <c r="U187" i="23"/>
  <c r="P187" i="23"/>
  <c r="U214" i="23"/>
  <c r="U135" i="23"/>
  <c r="O68" i="23"/>
  <c r="O137" i="23"/>
  <c r="P214" i="23"/>
  <c r="O35" i="23"/>
  <c r="U35" i="23"/>
  <c r="U101" i="23"/>
  <c r="U154" i="23"/>
  <c r="O102" i="23"/>
  <c r="O189" i="23"/>
  <c r="U189" i="23"/>
  <c r="O29" i="23"/>
  <c r="O142" i="23"/>
  <c r="U103" i="23"/>
  <c r="U218" i="23"/>
  <c r="U29" i="23"/>
  <c r="P111" i="23"/>
  <c r="O154" i="23"/>
  <c r="O103" i="23"/>
  <c r="U146" i="23"/>
  <c r="U18" i="23"/>
  <c r="U13" i="23"/>
  <c r="U25" i="23"/>
  <c r="U67" i="23"/>
  <c r="O100" i="23"/>
  <c r="P148" i="23"/>
  <c r="H13" i="11" l="1"/>
  <c r="O205" i="21" l="1"/>
  <c r="H205" i="21"/>
  <c r="H204" i="21"/>
  <c r="H203" i="21"/>
  <c r="O201" i="21"/>
  <c r="H201" i="21"/>
  <c r="G200" i="21"/>
  <c r="H200" i="21" s="1"/>
  <c r="G199" i="21"/>
  <c r="H199" i="21" s="1"/>
  <c r="G198" i="21"/>
  <c r="H198" i="21" s="1"/>
  <c r="G197" i="21"/>
  <c r="H197" i="21" s="1"/>
  <c r="G196" i="21"/>
  <c r="G195" i="21"/>
  <c r="H195" i="21" s="1"/>
  <c r="G194" i="21"/>
  <c r="H194" i="21" s="1"/>
  <c r="G193" i="21"/>
  <c r="H193" i="21" s="1"/>
  <c r="G192" i="21"/>
  <c r="H192" i="21" s="1"/>
  <c r="G191" i="21"/>
  <c r="H191" i="21" s="1"/>
  <c r="G190" i="21"/>
  <c r="H190" i="21" s="1"/>
  <c r="G189" i="21"/>
  <c r="H189" i="21" s="1"/>
  <c r="G188" i="21"/>
  <c r="H188" i="21" s="1"/>
  <c r="G187" i="21"/>
  <c r="H187" i="21" s="1"/>
  <c r="G186" i="21"/>
  <c r="H186" i="21" s="1"/>
  <c r="G185" i="21"/>
  <c r="H185" i="21" s="1"/>
  <c r="G184" i="21"/>
  <c r="H184" i="21" s="1"/>
  <c r="G183" i="21"/>
  <c r="H183" i="21" s="1"/>
  <c r="G182" i="21"/>
  <c r="H182" i="21" s="1"/>
  <c r="G181" i="21"/>
  <c r="H181" i="21" s="1"/>
  <c r="G180" i="21"/>
  <c r="H180" i="21" s="1"/>
  <c r="G179" i="21"/>
  <c r="G178" i="21"/>
  <c r="H177" i="21"/>
  <c r="G177" i="21"/>
  <c r="H176" i="21"/>
  <c r="G176" i="21"/>
  <c r="A176" i="2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8" i="21" s="1"/>
  <c r="A199" i="21" s="1"/>
  <c r="A200" i="21" s="1"/>
  <c r="S175" i="21"/>
  <c r="O175" i="21"/>
  <c r="H175" i="21"/>
  <c r="H174" i="21"/>
  <c r="G173" i="21"/>
  <c r="H173" i="21" s="1"/>
  <c r="A173" i="21"/>
  <c r="A174" i="21" s="1"/>
  <c r="A175" i="21" s="1"/>
  <c r="G172" i="21"/>
  <c r="H172" i="21" s="1"/>
  <c r="A172" i="21"/>
  <c r="G171" i="21"/>
  <c r="H171" i="21" s="1"/>
  <c r="G170" i="21"/>
  <c r="H170" i="21" s="1"/>
  <c r="G169" i="21"/>
  <c r="H169" i="21" s="1"/>
  <c r="G168" i="21"/>
  <c r="H168" i="21" s="1"/>
  <c r="H167" i="21"/>
  <c r="G166" i="21"/>
  <c r="H166" i="21" s="1"/>
  <c r="G165" i="21"/>
  <c r="H165" i="21" s="1"/>
  <c r="G164" i="21"/>
  <c r="H164" i="21" s="1"/>
  <c r="G163" i="21"/>
  <c r="H163" i="21" s="1"/>
  <c r="G162" i="21"/>
  <c r="H162" i="21" s="1"/>
  <c r="G161" i="21"/>
  <c r="H161" i="21" s="1"/>
  <c r="G160" i="21"/>
  <c r="H160" i="21" s="1"/>
  <c r="G159" i="21"/>
  <c r="H159" i="21" s="1"/>
  <c r="G158" i="21"/>
  <c r="H158" i="21" s="1"/>
  <c r="G157" i="21"/>
  <c r="H157" i="21" s="1"/>
  <c r="G156" i="21"/>
  <c r="H156" i="21" s="1"/>
  <c r="G155" i="21"/>
  <c r="H155" i="21" s="1"/>
  <c r="G154" i="21"/>
  <c r="H154" i="21" s="1"/>
  <c r="G153" i="21"/>
  <c r="H153" i="21" s="1"/>
  <c r="G152" i="21"/>
  <c r="H152" i="21" s="1"/>
  <c r="G150" i="21"/>
  <c r="H150" i="21" s="1"/>
  <c r="G149" i="21"/>
  <c r="H149" i="21" s="1"/>
  <c r="H146" i="21"/>
  <c r="H179" i="21" s="1"/>
  <c r="H145" i="21"/>
  <c r="H178" i="21" s="1"/>
  <c r="H143" i="21"/>
  <c r="H142" i="21"/>
  <c r="H141" i="21"/>
  <c r="O139" i="21"/>
  <c r="S138" i="21"/>
  <c r="P138" i="21"/>
  <c r="O138" i="21"/>
  <c r="H138" i="21"/>
  <c r="O137" i="21"/>
  <c r="S136" i="21"/>
  <c r="P136" i="21"/>
  <c r="O136" i="21"/>
  <c r="H136" i="21"/>
  <c r="H135" i="21"/>
  <c r="S133" i="21"/>
  <c r="Q133" i="21"/>
  <c r="H133" i="21"/>
  <c r="H132" i="21"/>
  <c r="H131" i="21"/>
  <c r="J130" i="21"/>
  <c r="J129" i="21"/>
  <c r="S127" i="21"/>
  <c r="P127" i="21"/>
  <c r="O127" i="21"/>
  <c r="H127" i="21"/>
  <c r="O126" i="21"/>
  <c r="U125" i="21"/>
  <c r="P125" i="21"/>
  <c r="O125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09" i="21"/>
  <c r="H108" i="21"/>
  <c r="H107" i="21"/>
  <c r="H106" i="21"/>
  <c r="S105" i="21"/>
  <c r="O105" i="21"/>
  <c r="H105" i="21"/>
  <c r="H104" i="21"/>
  <c r="H103" i="21"/>
  <c r="H102" i="21"/>
  <c r="H101" i="21"/>
  <c r="S99" i="21"/>
  <c r="P99" i="21"/>
  <c r="O99" i="21"/>
  <c r="H99" i="21"/>
  <c r="H98" i="21"/>
  <c r="S96" i="21"/>
  <c r="P96" i="21"/>
  <c r="O96" i="21"/>
  <c r="H96" i="21"/>
  <c r="P94" i="21"/>
  <c r="O94" i="21"/>
  <c r="P93" i="21"/>
  <c r="O93" i="21"/>
  <c r="S92" i="21"/>
  <c r="P92" i="21"/>
  <c r="O92" i="21"/>
  <c r="H92" i="21"/>
  <c r="H91" i="21"/>
  <c r="H88" i="21"/>
  <c r="H84" i="21"/>
  <c r="H79" i="21"/>
  <c r="H67" i="21"/>
  <c r="O66" i="21"/>
  <c r="P65" i="21"/>
  <c r="O65" i="21"/>
  <c r="U64" i="21"/>
  <c r="S64" i="21"/>
  <c r="R64" i="21"/>
  <c r="Q64" i="21"/>
  <c r="P64" i="21"/>
  <c r="O64" i="21"/>
  <c r="H64" i="21"/>
  <c r="S62" i="21"/>
  <c r="P62" i="21"/>
  <c r="O62" i="21"/>
  <c r="H62" i="21"/>
  <c r="H59" i="21"/>
  <c r="H50" i="21"/>
  <c r="H49" i="21"/>
  <c r="H48" i="21"/>
  <c r="H47" i="21"/>
  <c r="H46" i="21"/>
  <c r="H45" i="21"/>
  <c r="H44" i="21"/>
  <c r="H43" i="21"/>
  <c r="S41" i="21"/>
  <c r="P41" i="21"/>
  <c r="O41" i="21"/>
  <c r="H41" i="21"/>
  <c r="S39" i="21"/>
  <c r="H39" i="21"/>
  <c r="O38" i="21"/>
  <c r="P37" i="21"/>
  <c r="O37" i="21"/>
  <c r="S36" i="21"/>
  <c r="Q36" i="21"/>
  <c r="P36" i="21"/>
  <c r="O36" i="21"/>
  <c r="H36" i="21"/>
  <c r="O35" i="21"/>
  <c r="S34" i="21"/>
  <c r="P34" i="21"/>
  <c r="O34" i="21"/>
  <c r="H34" i="21"/>
  <c r="S33" i="21"/>
  <c r="H33" i="21"/>
  <c r="O32" i="21"/>
  <c r="P31" i="21"/>
  <c r="O31" i="21"/>
  <c r="P30" i="21"/>
  <c r="O30" i="21"/>
  <c r="U29" i="21"/>
  <c r="S29" i="21"/>
  <c r="Q29" i="21"/>
  <c r="P29" i="21"/>
  <c r="O29" i="21"/>
  <c r="H29" i="21"/>
  <c r="H28" i="21"/>
  <c r="S27" i="21"/>
  <c r="H27" i="21"/>
  <c r="O26" i="21"/>
  <c r="P25" i="21"/>
  <c r="O25" i="21"/>
  <c r="S24" i="21"/>
  <c r="P24" i="21"/>
  <c r="O24" i="21"/>
  <c r="H24" i="21"/>
  <c r="O20" i="21"/>
  <c r="P19" i="21"/>
  <c r="O19" i="21"/>
  <c r="U18" i="21"/>
  <c r="S18" i="21"/>
  <c r="Q18" i="21"/>
  <c r="P18" i="21"/>
  <c r="O18" i="21"/>
  <c r="H18" i="21"/>
  <c r="S17" i="21"/>
  <c r="O17" i="21"/>
  <c r="S13" i="21"/>
  <c r="P13" i="21"/>
  <c r="O13" i="21"/>
  <c r="S10" i="21"/>
  <c r="Q10" i="21"/>
  <c r="O10" i="21"/>
  <c r="O8" i="21"/>
  <c r="U7" i="21"/>
  <c r="S7" i="21"/>
  <c r="R7" i="21"/>
  <c r="Q7" i="21"/>
  <c r="P7" i="21"/>
  <c r="O7" i="21"/>
  <c r="P5" i="21"/>
  <c r="O5" i="21"/>
  <c r="P4" i="21"/>
  <c r="O4" i="21"/>
  <c r="U1" i="21"/>
  <c r="U175" i="21" s="1"/>
  <c r="O1" i="21"/>
  <c r="O15" i="21" s="1"/>
  <c r="U133" i="21" l="1"/>
  <c r="O28" i="21"/>
  <c r="O97" i="21"/>
  <c r="O122" i="21"/>
  <c r="P137" i="21"/>
  <c r="U27" i="21"/>
  <c r="U15" i="21"/>
  <c r="U96" i="21"/>
  <c r="P205" i="21"/>
  <c r="O133" i="21"/>
  <c r="O100" i="21"/>
  <c r="O39" i="21"/>
  <c r="O27" i="21"/>
  <c r="O14" i="21"/>
  <c r="O142" i="21"/>
  <c r="O106" i="21"/>
  <c r="P175" i="21"/>
  <c r="O95" i="21"/>
  <c r="O63" i="21"/>
  <c r="P139" i="21"/>
  <c r="P105" i="21"/>
  <c r="P201" i="21"/>
  <c r="O128" i="21"/>
  <c r="O42" i="21"/>
  <c r="O33" i="21"/>
  <c r="O135" i="21"/>
  <c r="O98" i="21"/>
  <c r="O176" i="21"/>
  <c r="U17" i="21"/>
  <c r="U28" i="21"/>
  <c r="U122" i="21"/>
  <c r="U127" i="21"/>
  <c r="U176" i="21"/>
  <c r="U98" i="21"/>
  <c r="U135" i="21"/>
  <c r="U138" i="21"/>
  <c r="U24" i="21"/>
  <c r="U36" i="21"/>
  <c r="U201" i="21"/>
  <c r="U33" i="21"/>
  <c r="U62" i="21"/>
  <c r="U105" i="21"/>
  <c r="U13" i="21"/>
  <c r="U99" i="21"/>
  <c r="U136" i="21"/>
  <c r="U106" i="21"/>
  <c r="U142" i="2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0" i="11"/>
  <c r="T9" i="11"/>
  <c r="T8" i="11"/>
  <c r="T7" i="11"/>
  <c r="T6" i="11"/>
  <c r="T5" i="11"/>
  <c r="T4" i="11"/>
  <c r="L19" i="8" a="1"/>
  <c r="L19" i="8" s="1"/>
  <c r="L18" i="8" a="1"/>
  <c r="L18" i="8" s="1"/>
  <c r="L17" i="8" a="1"/>
  <c r="L17" i="8" s="1"/>
  <c r="L16" i="8" a="1"/>
  <c r="L16" i="8" s="1"/>
  <c r="L15" i="8" a="1"/>
  <c r="L15" i="8" s="1"/>
  <c r="L14" i="8" a="1"/>
  <c r="L14" i="8" s="1"/>
  <c r="L12" i="8" a="1"/>
  <c r="L12" i="8" s="1"/>
  <c r="L11" i="8" a="1"/>
  <c r="L11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P29" i="11" l="1"/>
  <c r="Q29" i="11"/>
  <c r="R29" i="11" s="1"/>
  <c r="P31" i="11"/>
  <c r="Q31" i="11"/>
  <c r="R31" i="11" s="1"/>
  <c r="P35" i="11"/>
  <c r="P33" i="11"/>
  <c r="Q35" i="11"/>
  <c r="Q33" i="11"/>
  <c r="R33" i="11" s="1"/>
  <c r="P28" i="11"/>
  <c r="Q28" i="11"/>
  <c r="R28" i="11" s="1"/>
  <c r="P30" i="11"/>
  <c r="Q30" i="11"/>
  <c r="R30" i="11" s="1"/>
  <c r="P32" i="11"/>
  <c r="Q32" i="11"/>
  <c r="R32" i="11" s="1"/>
  <c r="P34" i="11"/>
  <c r="Q34" i="11"/>
  <c r="K11" i="8" a="1"/>
  <c r="K11" i="8" s="1"/>
  <c r="K12" i="8" a="1"/>
  <c r="K12" i="8" s="1"/>
  <c r="E12" i="8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13" i="11"/>
  <c r="P87" i="11"/>
  <c r="P14" i="11"/>
  <c r="P88" i="11"/>
  <c r="P15" i="11"/>
  <c r="P16" i="11"/>
  <c r="P55" i="11"/>
  <c r="P26" i="11"/>
  <c r="P65" i="11"/>
  <c r="P100" i="11"/>
  <c r="P99" i="11"/>
  <c r="P27" i="11"/>
  <c r="P66" i="11"/>
  <c r="P101" i="11"/>
  <c r="P111" i="11"/>
  <c r="P77" i="11"/>
  <c r="P78" i="11"/>
  <c r="P89" i="11"/>
  <c r="P25" i="11"/>
  <c r="P63" i="11"/>
  <c r="P75" i="11"/>
  <c r="P110" i="11"/>
  <c r="P7" i="11"/>
  <c r="P19" i="11"/>
  <c r="P38" i="11"/>
  <c r="P46" i="11"/>
  <c r="P57" i="11"/>
  <c r="P69" i="11"/>
  <c r="P81" i="11"/>
  <c r="P93" i="11"/>
  <c r="P104" i="11"/>
  <c r="P115" i="11"/>
  <c r="P9" i="11"/>
  <c r="P21" i="11"/>
  <c r="P40" i="11"/>
  <c r="P48" i="11"/>
  <c r="P59" i="11"/>
  <c r="P71" i="11"/>
  <c r="P83" i="11"/>
  <c r="P95" i="11"/>
  <c r="P106" i="11"/>
  <c r="P117" i="11"/>
  <c r="P6" i="11"/>
  <c r="P18" i="11"/>
  <c r="P37" i="11"/>
  <c r="P45" i="11"/>
  <c r="P56" i="11"/>
  <c r="P68" i="11"/>
  <c r="P80" i="11"/>
  <c r="P92" i="11"/>
  <c r="P103" i="11"/>
  <c r="P22" i="11"/>
  <c r="P49" i="11"/>
  <c r="P60" i="11"/>
  <c r="P72" i="11"/>
  <c r="P84" i="11"/>
  <c r="P96" i="11"/>
  <c r="P107" i="11"/>
  <c r="P118" i="11"/>
  <c r="P17" i="11"/>
  <c r="P36" i="11"/>
  <c r="P44" i="11"/>
  <c r="P67" i="11"/>
  <c r="P79" i="11"/>
  <c r="P91" i="11"/>
  <c r="P102" i="11"/>
  <c r="P114" i="11"/>
  <c r="P20" i="11"/>
  <c r="P39" i="11"/>
  <c r="P47" i="11"/>
  <c r="P58" i="11"/>
  <c r="P70" i="11"/>
  <c r="P82" i="11"/>
  <c r="P94" i="11"/>
  <c r="P105" i="11"/>
  <c r="P116" i="11"/>
  <c r="P23" i="11"/>
  <c r="P50" i="11"/>
  <c r="P61" i="11"/>
  <c r="P73" i="11"/>
  <c r="P85" i="11"/>
  <c r="P97" i="11"/>
  <c r="P108" i="11"/>
  <c r="P119" i="11"/>
  <c r="P24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N40" i="11"/>
  <c r="O40" i="11" s="1"/>
  <c r="S39" i="11"/>
  <c r="N39" i="11"/>
  <c r="O39" i="11" s="1"/>
  <c r="N38" i="11"/>
  <c r="S37" i="11"/>
  <c r="N37" i="11"/>
  <c r="O37" i="11" s="1"/>
  <c r="S36" i="11"/>
  <c r="N36" i="11"/>
  <c r="O36" i="11" s="1"/>
  <c r="S35" i="11"/>
  <c r="S34" i="11"/>
  <c r="S33" i="11"/>
  <c r="S32" i="11"/>
  <c r="S31" i="11"/>
  <c r="S30" i="11"/>
  <c r="S29" i="11"/>
  <c r="S28" i="11"/>
  <c r="N26" i="11"/>
  <c r="N21" i="11"/>
  <c r="O21" i="11" s="1"/>
  <c r="N16" i="11"/>
  <c r="S15" i="11"/>
  <c r="S14" i="11"/>
  <c r="S13" i="11"/>
  <c r="N15" i="11"/>
  <c r="O15" i="11" s="1"/>
  <c r="S11" i="11"/>
  <c r="P11" i="11" s="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R5" i="11" l="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Q14" i="11"/>
  <c r="R14" i="11" s="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Q13" i="11"/>
  <c r="R13" i="11" s="1"/>
  <c r="Q36" i="11"/>
  <c r="R36" i="11" s="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Q15" i="11"/>
  <c r="R15" i="11" s="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Q37" i="11"/>
  <c r="R37" i="11" s="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12" i="11"/>
  <c r="Q40" i="11"/>
  <c r="R40" i="11" s="1"/>
  <c r="Q67" i="11"/>
  <c r="R67" i="11" s="1"/>
  <c r="N12" i="1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Q39" i="11"/>
  <c r="R39" i="11" s="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O20" i="11"/>
  <c r="S16" i="11"/>
  <c r="Q16" i="11"/>
  <c r="R16" i="11" s="1"/>
  <c r="O81" i="11"/>
  <c r="R81" i="11"/>
  <c r="N19" i="11"/>
  <c r="S43" i="11"/>
  <c r="Q43" i="11"/>
  <c r="R43" i="11" s="1"/>
  <c r="Q26" i="11"/>
  <c r="R26" i="11" s="1"/>
  <c r="S26" i="11"/>
  <c r="S21" i="11"/>
  <c r="Q21" i="11"/>
  <c r="R21" i="11" s="1"/>
  <c r="Q38" i="11"/>
  <c r="R38" i="11" s="1"/>
  <c r="H11" i="8" l="1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/>
  <c r="R25" i="11" s="1"/>
  <c r="S20" i="11"/>
  <c r="Q20" i="11"/>
  <c r="R20" i="11" s="1"/>
  <c r="G59" i="8" l="1"/>
  <c r="C72" i="8" s="1"/>
  <c r="N27" i="11"/>
  <c r="O27" i="11" s="1"/>
  <c r="S19" i="11"/>
  <c r="Q19" i="11"/>
  <c r="R19" i="11" s="1"/>
  <c r="S24" i="11"/>
  <c r="Q24" i="11"/>
  <c r="R24" i="11" s="1"/>
  <c r="O18" i="11"/>
  <c r="N24" i="11"/>
  <c r="O24" i="11" s="1"/>
  <c r="O17" i="11"/>
  <c r="Q18" i="11" l="1"/>
  <c r="R18" i="11" s="1"/>
  <c r="S18" i="11"/>
  <c r="S17" i="11"/>
  <c r="Q17" i="11"/>
  <c r="R17" i="11" s="1"/>
  <c r="S23" i="11"/>
  <c r="Q23" i="11"/>
  <c r="R23" i="11" s="1"/>
  <c r="N23" i="11"/>
  <c r="O23" i="11" s="1"/>
  <c r="N22" i="11"/>
  <c r="O22" i="11" s="1"/>
  <c r="S22" i="11"/>
  <c r="Q22" i="11"/>
  <c r="R22" i="11" s="1"/>
  <c r="S27" i="11"/>
  <c r="Q27" i="11"/>
  <c r="R27" i="11" s="1"/>
  <c r="E5" i="12" l="1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<sst xmlns="http://schemas.openxmlformats.org/spreadsheetml/2006/main" count="3540" uniqueCount="854">
  <si>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</si>
  <si>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</si>
  <si>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</si>
  <si>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</si>
  <si>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</si>
  <si>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</si>
  <si>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</si>
  <si>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</si>
  <si>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</si>
  <si>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</si>
  <si>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</si>
  <si>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</si>
  <si>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</si>
  <si>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</si>
  <si>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</si>
  <si>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</si>
  <si>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</si>
  <si>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</si>
  <si>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</si>
  <si>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</si>
  <si>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</si>
  <si>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</si>
  <si>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</si>
  <si>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</si>
  <si>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</si>
  <si>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</si>
  <si>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</si>
  <si>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</si>
  <si>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</si>
  <si>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</si>
  <si>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</si>
  <si>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</si>
  <si>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</si>
  <si>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</si>
  <si>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</si>
  <si>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</si>
  <si>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</si>
  <si>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</si>
  <si>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</si>
  <si>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</si>
  <si>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</si>
  <si>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</si>
  <si>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</si>
  <si>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</si>
  <si>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</si>
  <si>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</si>
  <si>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</si>
  <si>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</si>
  <si>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</si>
  <si>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</si>
  <si>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</si>
  <si>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</si>
  <si>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</si>
  <si>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</si>
  <si>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</si>
  <si>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</si>
  <si>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</si>
  <si>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</si>
  <si>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</si>
  <si>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</si>
  <si>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</si>
  <si>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</si>
  <si>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</si>
  <si>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</si>
  <si>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</si>
  <si>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</si>
  <si>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</si>
  <si>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</si>
  <si>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</si>
  <si>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</si>
  <si>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</si>
  <si>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</si>
  <si>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</si>
  <si>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</si>
  <si>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</si>
  <si>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</si>
  <si>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</si>
  <si>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</si>
  <si>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</si>
  <si>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</si>
  <si>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</si>
  <si>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</si>
  <si>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</si>
  <si>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</si>
  <si>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</si>
  <si>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</si>
  <si>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</si>
  <si>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</si>
  <si>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</si>
  <si>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</si>
  <si>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</si>
  <si>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</si>
  <si>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</si>
  <si>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</si>
  <si>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</si>
  <si>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</si>
  <si>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</si>
  <si>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</si>
  <si>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</si>
  <si>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</si>
  <si>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</si>
  <si>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</si>
  <si>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</si>
  <si>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</si>
  <si>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</si>
  <si>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</si>
  <si>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</si>
  <si>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</si>
  <si>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</si>
  <si>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</si>
  <si>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</si>
  <si>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</si>
  <si>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</si>
  <si>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</si>
  <si>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</si>
  <si>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</si>
  <si>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</si>
  <si>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</si>
  <si>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</si>
  <si>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</si>
  <si>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</si>
  <si>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</si>
  <si>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</si>
  <si>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</si>
  <si>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</si>
  <si>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</si>
  <si>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</si>
  <si>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</si>
  <si>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</si>
  <si>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</si>
  <si>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</si>
  <si>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</si>
  <si>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</si>
  <si>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</si>
  <si>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</si>
  <si>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</si>
  <si>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</si>
  <si>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</si>
  <si>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</si>
  <si>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</si>
  <si>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</si>
  <si>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</si>
  <si>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</si>
  <si>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</si>
  <si>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</si>
  <si>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</si>
  <si>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</si>
  <si>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</si>
  <si>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</si>
  <si>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</si>
  <si>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</si>
  <si>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</si>
  <si>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</si>
  <si>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</si>
  <si>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</si>
  <si>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</si>
  <si>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</si>
  <si>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</si>
  <si>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</si>
  <si>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</si>
  <si>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</si>
  <si>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</si>
  <si>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</si>
  <si>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</si>
  <si>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</si>
  <si>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</si>
  <si>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</si>
  <si>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</si>
  <si>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</si>
  <si>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</si>
  <si>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</si>
  <si>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</si>
  <si>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</si>
  <si>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</si>
  <si>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</si>
  <si>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</si>
  <si>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</si>
  <si>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</si>
  <si>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</si>
  <si>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</si>
  <si>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</si>
  <si>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</si>
  <si>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</si>
  <si>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</si>
  <si>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</si>
  <si>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</si>
  <si>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</si>
  <si>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</si>
  <si>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</si>
  <si>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</si>
  <si>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</si>
  <si>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</si>
  <si>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</si>
  <si>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</si>
  <si>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</si>
  <si>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</si>
  <si>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</si>
  <si>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</si>
  <si>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</si>
  <si>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</si>
  <si>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</si>
  <si>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</si>
  <si>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</si>
  <si>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</si>
  <si>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</si>
  <si>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</si>
  <si>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</si>
  <si>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</si>
  <si>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</si>
  <si>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</si>
  <si>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</si>
  <si>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</si>
  <si>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</si>
  <si>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</si>
  <si>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</si>
  <si>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</si>
  <si>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</si>
  <si>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</si>
  <si>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</si>
  <si>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</si>
  <si>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</si>
  <si>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</si>
  <si>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</si>
  <si>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</si>
  <si>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</si>
  <si>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</si>
  <si>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</si>
  <si>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</si>
  <si>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</si>
  <si>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</si>
  <si>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</si>
  <si>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</si>
  <si>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</si>
  <si>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</si>
  <si>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</si>
  <si>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</si>
  <si>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</si>
  <si>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</si>
  <si>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</si>
  <si>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</si>
  <si>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</si>
  <si>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</si>
  <si>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</si>
  <si>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</si>
  <si>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</si>
  <si>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</si>
  <si>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</si>
  <si>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</si>
  <si>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</si>
  <si>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</si>
  <si>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</si>
  <si>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</si>
  <si>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</si>
  <si>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</si>
  <si>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</si>
  <si>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</si>
  <si>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</si>
  <si>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</si>
  <si>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</si>
  <si>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</si>
  <si>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</si>
  <si>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</si>
  <si>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</si>
  <si>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</si>
  <si>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</si>
  <si>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</si>
  <si>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</si>
  <si>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</si>
  <si>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</si>
  <si>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</si>
  <si>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</si>
  <si>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</si>
  <si>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</si>
  <si>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</si>
  <si>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</si>
  <si>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</si>
  <si>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</si>
  <si>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</si>
  <si>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</si>
  <si>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</si>
  <si>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</si>
  <si>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</si>
  <si>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</si>
  <si>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</si>
  <si>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</si>
  <si>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</si>
  <si>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</si>
  <si>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</si>
  <si>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</si>
  <si>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</si>
  <si>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</si>
  <si>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</si>
  <si>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</si>
  <si>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</si>
  <si>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</si>
  <si>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</si>
  <si>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</si>
  <si>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</si>
  <si>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</si>
  <si>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</si>
  <si>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</si>
  <si>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</si>
  <si>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</si>
  <si>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</si>
  <si>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</si>
  <si>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</si>
  <si>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</si>
  <si>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</si>
  <si>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</si>
  <si>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</si>
  <si>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</si>
  <si>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</si>
  <si>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</si>
  <si>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</si>
  <si>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</si>
  <si>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</si>
  <si>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</si>
  <si>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</si>
  <si>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</si>
  <si>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</si>
  <si>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</si>
  <si>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</si>
  <si>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</si>
  <si>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</si>
  <si>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</si>
  <si>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</si>
  <si>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</si>
  <si>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</si>
  <si>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</si>
  <si>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</si>
  <si>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</si>
  <si>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Pull out test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</si>
  <si>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</si>
  <si>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</si>
  <si>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</si>
  <si>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</si>
  <si>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</si>
  <si>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</si>
  <si>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</si>
  <si>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</si>
  <si>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</si>
  <si>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</si>
  <si>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</si>
  <si>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</si>
  <si>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</si>
  <si>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</si>
  <si>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</si>
  <si>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</si>
  <si>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</si>
  <si>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</si>
  <si>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</si>
  <si>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</si>
  <si>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</si>
  <si>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</si>
  <si>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</si>
  <si>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</si>
  <si>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</si>
  <si>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</si>
  <si>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</si>
  <si>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</si>
  <si>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</si>
  <si>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</si>
  <si>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</si>
  <si>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</si>
  <si>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</si>
  <si>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</si>
  <si>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</si>
  <si>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</si>
  <si>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</si>
  <si>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</si>
  <si>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</si>
  <si>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</si>
  <si>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</si>
  <si>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</si>
  <si>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</si>
  <si>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</si>
  <si>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</si>
  <si>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</si>
  <si>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</si>
  <si>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</si>
  <si>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</si>
  <si>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</si>
  <si>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</si>
  <si>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</si>
  <si>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</si>
  <si>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</si>
  <si>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</si>
  <si>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</si>
  <si>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</si>
  <si>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</si>
  <si>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</si>
  <si>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</si>
  <si>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</si>
  <si>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Fencing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</si>
  <si>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</si>
  <si>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</si>
  <si>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</si>
  <si>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</si>
  <si>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</si>
  <si>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</si>
  <si>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</si>
  <si>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</si>
  <si>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</si>
  <si>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</si>
  <si>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</si>
  <si>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</si>
  <si>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</si>
  <si>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</si>
  <si>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</si>
  <si>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</si>
  <si>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</si>
  <si>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</si>
  <si>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</si>
  <si>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</si>
  <si>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</si>
  <si>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</si>
  <si>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</si>
  <si>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</si>
  <si>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</si>
  <si>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</si>
  <si>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</si>
  <si>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</si>
  <si>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</si>
  <si>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</si>
  <si>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</si>
  <si>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</si>
  <si>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</si>
  <si>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</si>
  <si>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</si>
  <si>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</si>
  <si>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</si>
  <si>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</si>
  <si>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</si>
  <si>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Table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</si>
  <si>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</si>
  <si>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</si>
  <si>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</si>
  <si>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</si>
  <si>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</si>
  <si>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</si>
  <si>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</si>
  <si>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</si>
  <si>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</si>
  <si>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</si>
  <si>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</si>
  <si>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</si>
  <si>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 xml:space="preserve">MDL SUMMARY - 300MW SECI PV </t>
  </si>
  <si>
    <t>Sl.No.</t>
  </si>
  <si>
    <t>Discipline</t>
  </si>
  <si>
    <t>Document Title</t>
  </si>
  <si>
    <t>Document
Number</t>
  </si>
  <si>
    <t>Approval
Catogery</t>
  </si>
  <si>
    <t>Planned  Submission
Date (EPCC)</t>
  </si>
  <si>
    <t>Other drawing linked</t>
  </si>
  <si>
    <t>Tentative approval date- linked docs.</t>
  </si>
  <si>
    <t>Revision</t>
  </si>
  <si>
    <t>Submission Date</t>
  </si>
  <si>
    <t>Response date</t>
  </si>
  <si>
    <t>CLIENT Comments / Approval(CAT-I,CAT-II CAT-III &amp; CAT-IV)</t>
  </si>
  <si>
    <t>No.of Days Reviwed by SECI</t>
  </si>
  <si>
    <t>No.of Days Reviwed by ARIPL</t>
  </si>
  <si>
    <t>Approved date</t>
  </si>
  <si>
    <t>Submission/Review By</t>
  </si>
  <si>
    <t>Approved Category</t>
  </si>
  <si>
    <t>Days taken for review/re-submission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</si>
  <si>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</si>
  <si>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</si>
  <si>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</si>
  <si>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</si>
  <si>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</si>
  <si>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</si>
  <si>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</si>
  <si>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</si>
  <si>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</si>
  <si>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</si>
  <si>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</si>
  <si>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</si>
  <si>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</si>
  <si>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</si>
  <si>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</si>
  <si>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</si>
  <si>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Yet to be submitted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</si>
  <si>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</si>
  <si>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</si>
  <si>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</si>
  <si>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</si>
  <si>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</si>
  <si>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</si>
  <si>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</si>
  <si>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</si>
  <si>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</si>
  <si>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</si>
  <si>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</si>
  <si>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</si>
  <si>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</si>
  <si>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</si>
  <si>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</si>
  <si>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</si>
  <si>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</si>
  <si>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</si>
  <si>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</si>
  <si>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</si>
  <si>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</si>
  <si>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</si>
  <si>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</si>
  <si>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</si>
  <si>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</si>
  <si>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</si>
  <si>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</si>
  <si>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</si>
  <si>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</si>
  <si>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</si>
  <si>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</si>
  <si>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</si>
  <si>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</si>
  <si>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</si>
  <si>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</si>
  <si>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</si>
  <si>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</si>
  <si>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</si>
  <si>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SECI-RG300-PL-CIV-104A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</si>
  <si>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</si>
  <si>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</si>
  <si>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</si>
  <si>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</si>
  <si>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</si>
  <si>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</si>
  <si>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</si>
  <si>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</si>
  <si>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SECI-RG300-PL-CIV-108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</si>
  <si>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</si>
  <si>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</si>
  <si>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</si>
  <si>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</si>
  <si>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</si>
  <si>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Architecture dwg.</t>
  </si>
  <si>
    <t>MCR - Structural drawing of 
foundation, plinth beam &amp; column</t>
  </si>
  <si>
    <t>SECI-RG300-PL-CIV-203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</si>
  <si>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</si>
  <si>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</si>
  <si>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</si>
  <si>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</si>
  <si>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</si>
  <si>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</si>
  <si>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</si>
  <si>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</si>
  <si>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</si>
  <si>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</si>
  <si>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</si>
  <si>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</si>
  <si>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</si>
  <si>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Design document for Inverter Station</t>
  </si>
  <si>
    <t>SECI-RG300-PL-CIV-301</t>
  </si>
  <si>
    <t>Inverter Platform - Architectural &amp; Structural details                     ICOG)</t>
  </si>
  <si>
    <t>SECI-RG300-PL-CIV-302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</si>
  <si>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</si>
  <si>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</si>
  <si>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</si>
  <si>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>SECI-RG300-PL-CIV-304</t>
  </si>
  <si>
    <t xml:space="preserve">IDT Foundation GA and detail drawing </t>
  </si>
  <si>
    <t>SECI-RG300-PL-CIV-305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</si>
  <si>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</si>
  <si>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</si>
  <si>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</si>
  <si>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</si>
  <si>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</si>
  <si>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</si>
  <si>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</si>
  <si>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</si>
  <si>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</si>
  <si>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</si>
  <si>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</si>
  <si>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</si>
  <si>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</si>
  <si>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</si>
  <si>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</si>
  <si>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</si>
  <si>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</si>
  <si>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</si>
  <si>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</si>
  <si>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</si>
  <si>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</si>
  <si>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</si>
  <si>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</si>
  <si>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</si>
  <si>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</si>
  <si>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</si>
  <si>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</si>
  <si>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</si>
  <si>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</si>
  <si>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</si>
  <si>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</si>
  <si>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</si>
  <si>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</si>
  <si>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</si>
  <si>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</si>
  <si>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</si>
  <si>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</si>
  <si>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</si>
  <si>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</si>
  <si>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</si>
  <si>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</si>
  <si>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</si>
  <si>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</si>
  <si>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</si>
  <si>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</si>
  <si>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</si>
  <si>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</si>
  <si>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</si>
  <si>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</si>
  <si>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</si>
  <si>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</si>
  <si>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</si>
  <si>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</si>
  <si>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</si>
  <si>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</si>
  <si>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</si>
  <si>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</si>
  <si>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</si>
  <si>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</si>
  <si>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</si>
  <si>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</si>
  <si>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</si>
  <si>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</si>
  <si>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</si>
  <si>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</si>
  <si>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</si>
  <si>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</si>
  <si>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</si>
  <si>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</si>
  <si>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</si>
  <si>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 xml:space="preserve">DC SINGLE LINE DIAGRAM
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</si>
  <si>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</si>
  <si>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</si>
  <si>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</si>
  <si>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</si>
  <si>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</si>
  <si>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</si>
  <si>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</si>
  <si>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Overall layout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</si>
  <si>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</si>
  <si>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</si>
  <si>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</si>
  <si>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</si>
  <si>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</si>
  <si>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</si>
  <si>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</si>
  <si>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</si>
  <si>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</si>
  <si>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</si>
  <si>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</si>
  <si>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</si>
  <si>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ICR Equipment layout/ 
AC Earthing calculation</t>
  </si>
  <si>
    <t>Layouts - Plant Illuminatoin layout</t>
  </si>
  <si>
    <t>SECI-RG300-PL-ELE-012</t>
  </si>
  <si>
    <t>ICR Equipment layout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</si>
  <si>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</si>
  <si>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</si>
  <si>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</si>
  <si>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</si>
  <si>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</si>
  <si>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</si>
  <si>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</si>
  <si>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</si>
  <si>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GA GTP- SCADA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</si>
  <si>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</si>
  <si>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</si>
  <si>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</si>
  <si>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</si>
  <si>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</si>
  <si>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</si>
  <si>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</si>
  <si>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</si>
  <si>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</si>
  <si>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</si>
  <si>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</si>
  <si>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</si>
  <si>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</si>
  <si>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</si>
  <si>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</si>
  <si>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</si>
  <si>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</si>
  <si>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</si>
  <si>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</si>
  <si>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</si>
  <si>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</si>
  <si>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</si>
  <si>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</si>
  <si>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</si>
  <si>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</si>
  <si>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</si>
  <si>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</si>
  <si>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</si>
  <si>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</si>
  <si>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</si>
  <si>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</si>
  <si>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</si>
  <si>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</si>
  <si>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</si>
  <si>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</si>
  <si>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</si>
  <si>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</si>
  <si>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</si>
  <si>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</si>
  <si>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</si>
  <si>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</si>
  <si>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</si>
  <si>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</si>
  <si>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</si>
  <si>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</si>
  <si>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</si>
  <si>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</si>
  <si>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</si>
  <si>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</si>
  <si>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</si>
  <si>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</si>
  <si>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</si>
  <si>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Inverter Duty Transformer-GTP, GA &amp; Type test reports  (T&amp;R)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</si>
  <si>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</si>
  <si>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</si>
  <si>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</si>
  <si>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</si>
  <si>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</si>
  <si>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</si>
  <si>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</si>
  <si>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</si>
  <si>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</si>
  <si>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</si>
  <si>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</si>
  <si>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</si>
  <si>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</si>
  <si>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</si>
  <si>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</si>
  <si>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</si>
  <si>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</si>
  <si>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</si>
  <si>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</si>
  <si>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</si>
  <si>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</si>
  <si>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</si>
  <si>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</si>
  <si>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</si>
  <si>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</si>
  <si>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</si>
  <si>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</si>
  <si>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</si>
  <si>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</si>
  <si>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</si>
  <si>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</si>
  <si>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</si>
  <si>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</si>
  <si>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</si>
  <si>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</si>
  <si>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</si>
  <si>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</si>
  <si>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</si>
  <si>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</si>
  <si>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</si>
  <si>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</si>
  <si>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</si>
  <si>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</si>
  <si>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</si>
  <si>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</si>
  <si>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</si>
  <si>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</si>
  <si>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</si>
  <si>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</si>
  <si>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</si>
  <si>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</si>
  <si>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</si>
  <si>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</si>
  <si>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</si>
  <si>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</si>
  <si>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</si>
  <si>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</si>
  <si>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</si>
  <si>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</si>
  <si>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</si>
  <si>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</si>
  <si>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</si>
  <si>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</si>
  <si>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</si>
  <si>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</si>
  <si>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</si>
  <si>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</si>
  <si>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</si>
  <si>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</si>
  <si>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</si>
  <si>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</si>
  <si>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</si>
  <si>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</si>
  <si>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</si>
  <si>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</si>
  <si>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</si>
  <si>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</si>
  <si>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</si>
  <si>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</si>
  <si>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</si>
  <si>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</si>
  <si>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</si>
  <si>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</si>
  <si>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</si>
  <si>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</si>
  <si>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</si>
  <si>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</si>
  <si>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</si>
  <si>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</si>
  <si>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</si>
  <si>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</si>
  <si>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</si>
  <si>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</si>
  <si>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</si>
  <si>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</si>
  <si>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</si>
  <si>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</si>
  <si>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</si>
  <si>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</si>
  <si>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</si>
  <si>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</si>
  <si>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</si>
  <si>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</si>
  <si>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</si>
  <si>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</si>
  <si>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</si>
  <si>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</si>
  <si>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</si>
  <si>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</si>
  <si>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</si>
  <si>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</si>
  <si>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</si>
  <si>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</si>
  <si>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</si>
  <si>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</si>
  <si>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</si>
  <si>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</si>
  <si>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</si>
  <si>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</si>
  <si>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</si>
  <si>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</si>
  <si>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</si>
  <si>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</si>
  <si>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Submitted/Expected Submission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</si>
  <si>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</si>
  <si>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</si>
  <si>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</si>
  <si>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</si>
  <si>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</si>
  <si>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</si>
  <si>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Data Date</t>
  </si>
  <si>
    <t>Store Yard Fencing Work</t>
  </si>
  <si>
    <t>Trinity Touch</t>
  </si>
  <si>
    <t>Periphery Boundary Fencing</t>
  </si>
  <si>
    <t>Civil Activities</t>
  </si>
  <si>
    <t xml:space="preserve">Approved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</si>
</sst>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3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2060"/>
      <name val="Times New Roman"/>
      <family val="1"/>
    </font>
    <font>
      <sz val="11"/>
      <color rgb="FF00206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indexed="18"/>
      <name val="Times New Roman"/>
      <family val="1"/>
    </font>
    <font>
      <sz val="11"/>
      <color theme="0"/>
      <name val="Times New Roman"/>
      <family val="1"/>
    </font>
    <font>
      <b/>
      <sz val="14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5117038483843"/>
        <bgColor indexed="64"/>
      </patternFill>
    </fill>
  </fills>
  <borders count="4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5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wrapText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43" fillId="21" borderId="1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4" fillId="0" borderId="1" xfId="0" applyFont="1" applyBorder="1"/>
    <xf numFmtId="0" fontId="44" fillId="0" borderId="1" xfId="0" applyFont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14" fontId="45" fillId="0" borderId="1" xfId="0" applyNumberFormat="1" applyFont="1" applyBorder="1" applyAlignment="1">
      <alignment horizontal="center" vertical="center"/>
    </xf>
    <xf numFmtId="0" fontId="44" fillId="0" borderId="0" xfId="0" applyFont="1"/>
    <xf numFmtId="0" fontId="46" fillId="22" borderId="1" xfId="0" applyFont="1" applyFill="1" applyBorder="1" applyAlignment="1">
      <alignment horizontal="center" vertical="center"/>
    </xf>
    <xf numFmtId="0" fontId="46" fillId="22" borderId="1" xfId="0" applyFont="1" applyFill="1" applyBorder="1" applyAlignment="1">
      <alignment horizontal="center" vertical="center" wrapText="1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horizontal="center" vertical="center"/>
    </xf>
    <xf numFmtId="164" fontId="44" fillId="23" borderId="1" xfId="0" applyNumberFormat="1" applyFont="1" applyFill="1" applyBorder="1" applyAlignment="1">
      <alignment horizontal="center" vertical="center"/>
    </xf>
    <xf numFmtId="171" fontId="44" fillId="23" borderId="1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/>
    </xf>
    <xf numFmtId="0" fontId="44" fillId="0" borderId="5" xfId="0" applyFont="1" applyBorder="1" applyAlignment="1">
      <alignment horizontal="center" vertical="center"/>
    </xf>
    <xf numFmtId="0" fontId="44" fillId="0" borderId="5" xfId="0" applyFont="1" applyBorder="1"/>
    <xf numFmtId="15" fontId="44" fillId="23" borderId="1" xfId="0" applyNumberFormat="1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 wrapText="1"/>
    </xf>
    <xf numFmtId="0" fontId="47" fillId="5" borderId="1" xfId="7" applyFont="1" applyFill="1" applyBorder="1" applyAlignment="1">
      <alignment horizontal="left" vertical="center" wrapText="1"/>
    </xf>
    <xf numFmtId="164" fontId="44" fillId="5" borderId="1" xfId="0" applyNumberFormat="1" applyFont="1" applyFill="1" applyBorder="1" applyAlignment="1">
      <alignment horizontal="center" vertical="center"/>
    </xf>
    <xf numFmtId="171" fontId="44" fillId="5" borderId="1" xfId="0" applyNumberFormat="1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/>
    </xf>
    <xf numFmtId="0" fontId="47" fillId="24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1" borderId="1" xfId="7" applyFont="1" applyFill="1" applyBorder="1" applyAlignment="1">
      <alignment horizontal="left" vertical="center" wrapText="1"/>
    </xf>
    <xf numFmtId="0" fontId="44" fillId="0" borderId="1" xfId="0" applyFont="1" applyBorder="1" applyAlignment="1">
      <alignment horizontal="center"/>
    </xf>
    <xf numFmtId="164" fontId="44" fillId="0" borderId="1" xfId="0" applyNumberFormat="1" applyFont="1" applyBorder="1" applyAlignment="1">
      <alignment horizontal="center" vertical="center"/>
    </xf>
    <xf numFmtId="171" fontId="44" fillId="0" borderId="1" xfId="0" applyNumberFormat="1" applyFont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164" fontId="48" fillId="5" borderId="1" xfId="0" applyNumberFormat="1" applyFont="1" applyFill="1" applyBorder="1" applyAlignment="1">
      <alignment horizontal="center" vertical="center"/>
    </xf>
    <xf numFmtId="171" fontId="48" fillId="5" borderId="1" xfId="0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48" fillId="0" borderId="0" xfId="0" applyFont="1"/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4" fillId="24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 wrapText="1"/>
    </xf>
    <xf numFmtId="0" fontId="44" fillId="21" borderId="1" xfId="7" applyFont="1" applyFill="1" applyBorder="1" applyAlignment="1">
      <alignment horizontal="left" vertical="center" wrapText="1"/>
    </xf>
    <xf numFmtId="171" fontId="49" fillId="5" borderId="1" xfId="0" applyNumberFormat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0" fontId="49" fillId="0" borderId="0" xfId="0" applyFont="1"/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1" xfId="7" applyFont="1" applyBorder="1" applyAlignment="1">
      <alignment horizontal="left" vertical="center" wrapText="1"/>
    </xf>
    <xf numFmtId="0" fontId="47" fillId="24" borderId="1" xfId="7" applyFont="1" applyFill="1" applyBorder="1" applyAlignment="1">
      <alignment horizontal="left" vertical="center" wrapText="1"/>
    </xf>
    <xf numFmtId="0" fontId="50" fillId="24" borderId="1" xfId="7" applyFont="1" applyFill="1" applyBorder="1" applyAlignment="1">
      <alignment horizontal="left" vertical="center" wrapText="1"/>
    </xf>
    <xf numFmtId="164" fontId="44" fillId="0" borderId="0" xfId="0" applyNumberFormat="1" applyFont="1"/>
    <xf numFmtId="164" fontId="44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164" fontId="44" fillId="0" borderId="2" xfId="0" applyNumberFormat="1" applyFont="1" applyBorder="1" applyAlignment="1">
      <alignment vertical="center"/>
    </xf>
    <xf numFmtId="0" fontId="47" fillId="24" borderId="1" xfId="0" applyFont="1" applyFill="1" applyBorder="1" applyAlignment="1">
      <alignment vertical="center"/>
    </xf>
    <xf numFmtId="0" fontId="47" fillId="24" borderId="1" xfId="0" applyFont="1" applyFill="1" applyBorder="1" applyAlignment="1">
      <alignment horizontal="center" vertical="center" wrapText="1"/>
    </xf>
    <xf numFmtId="164" fontId="44" fillId="5" borderId="2" xfId="0" applyNumberFormat="1" applyFont="1" applyFill="1" applyBorder="1" applyAlignment="1">
      <alignment vertical="center"/>
    </xf>
    <xf numFmtId="0" fontId="44" fillId="0" borderId="2" xfId="0" applyFont="1" applyBorder="1" applyAlignment="1">
      <alignment horizontal="center"/>
    </xf>
    <xf numFmtId="164" fontId="44" fillId="5" borderId="42" xfId="0" applyNumberFormat="1" applyFont="1" applyFill="1" applyBorder="1" applyAlignment="1">
      <alignment vertical="center"/>
    </xf>
    <xf numFmtId="171" fontId="51" fillId="0" borderId="1" xfId="0" applyNumberFormat="1" applyFont="1" applyBorder="1" applyAlignment="1">
      <alignment horizontal="center" vertical="center"/>
    </xf>
    <xf numFmtId="0" fontId="47" fillId="25" borderId="1" xfId="0" applyFont="1" applyFill="1" applyBorder="1" applyAlignment="1">
      <alignment vertical="center"/>
    </xf>
    <xf numFmtId="0" fontId="47" fillId="25" borderId="1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1" xfId="7" applyFont="1" applyFill="1" applyBorder="1" applyAlignment="1">
      <alignment horizontal="left" vertical="center" wrapText="1"/>
    </xf>
    <xf numFmtId="171" fontId="44" fillId="0" borderId="1" xfId="0" applyNumberFormat="1" applyFont="1" applyBorder="1" applyAlignment="1">
      <alignment horizontal="center" vertical="center" wrapText="1"/>
    </xf>
    <xf numFmtId="171" fontId="44" fillId="0" borderId="2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9" fillId="25" borderId="1" xfId="0" applyFont="1" applyFill="1" applyBorder="1" applyAlignment="1">
      <alignment vertical="center"/>
    </xf>
    <xf numFmtId="0" fontId="49" fillId="25" borderId="1" xfId="0" applyFont="1" applyFill="1" applyBorder="1" applyAlignment="1">
      <alignment horizontal="center" vertical="center"/>
    </xf>
    <xf numFmtId="0" fontId="49" fillId="23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4" fillId="0" borderId="0" xfId="0" applyFont="1" applyAlignment="1">
      <alignment wrapText="1"/>
    </xf>
    <xf numFmtId="0" fontId="47" fillId="25" borderId="5" xfId="0" applyFont="1" applyFill="1" applyBorder="1" applyAlignment="1">
      <alignment horizontal="center" vertical="center"/>
    </xf>
    <xf numFmtId="0" fontId="47" fillId="25" borderId="2" xfId="7" applyFont="1" applyFill="1" applyBorder="1" applyAlignment="1">
      <alignment horizontal="left" vertical="center" wrapText="1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164" fontId="44" fillId="0" borderId="5" xfId="0" applyNumberFormat="1" applyFont="1" applyBorder="1" applyAlignment="1">
      <alignment horizontal="center" vertical="center"/>
    </xf>
    <xf numFmtId="15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7" fillId="23" borderId="7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0" fontId="44" fillId="23" borderId="0" xfId="0" applyFont="1" applyFill="1"/>
    <xf numFmtId="0" fontId="47" fillId="25" borderId="5" xfId="0" applyFont="1" applyFill="1" applyBorder="1" applyAlignment="1">
      <alignment vertical="center"/>
    </xf>
    <xf numFmtId="0" fontId="44" fillId="5" borderId="0" xfId="0" applyFont="1" applyFill="1"/>
    <xf numFmtId="0" fontId="46" fillId="21" borderId="1" xfId="7" applyFont="1" applyFill="1" applyBorder="1" applyAlignment="1">
      <alignment horizontal="left" vertical="center" wrapText="1"/>
    </xf>
    <xf numFmtId="0" fontId="46" fillId="24" borderId="1" xfId="7" applyFont="1" applyFill="1" applyBorder="1" applyAlignment="1">
      <alignment horizontal="left" vertical="center" wrapText="1"/>
    </xf>
    <xf numFmtId="2" fontId="44" fillId="0" borderId="1" xfId="0" applyNumberFormat="1" applyFont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41" fillId="18" borderId="41" xfId="0" applyFont="1" applyFill="1" applyBorder="1" applyAlignment="1">
      <alignment horizontal="left" vertical="center" wrapText="1"/>
    </xf>
    <xf numFmtId="0" fontId="52" fillId="18" borderId="1" xfId="0" applyFont="1" applyFill="1" applyBorder="1" applyAlignment="1">
      <alignment horizontal="center" vertical="center"/>
    </xf>
    <xf numFmtId="164" fontId="52" fillId="18" borderId="1" xfId="0" applyNumberFormat="1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4" fillId="0" borderId="41" xfId="0" applyFont="1" applyBorder="1" applyAlignment="1">
      <alignment horizontal="left" wrapText="1" readingOrder="1"/>
    </xf>
    <xf numFmtId="15" fontId="34" fillId="0" borderId="41" xfId="0" applyNumberFormat="1" applyFont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wrapText="1"/>
    </xf>
    <xf numFmtId="0" fontId="34" fillId="0" borderId="41" xfId="0" applyFont="1" applyBorder="1" applyAlignment="1">
      <alignment horizontal="center" wrapText="1" readingOrder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4" fillId="18" borderId="41" xfId="0" applyFont="1" applyFill="1" applyBorder="1" applyAlignment="1">
      <alignment horizontal="left" wrapText="1" readingOrder="1"/>
    </xf>
    <xf numFmtId="15" fontId="34" fillId="18" borderId="41" xfId="0" applyNumberFormat="1" applyFont="1" applyFill="1" applyBorder="1" applyAlignment="1">
      <alignment horizontal="center" wrapText="1" readingOrder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0" fontId="50" fillId="23" borderId="1" xfId="7" applyFont="1" applyFill="1" applyBorder="1" applyAlignment="1">
      <alignment horizontal="left" vertical="center" wrapText="1"/>
    </xf>
    <xf numFmtId="164" fontId="44" fillId="23" borderId="0" xfId="0" applyNumberFormat="1" applyFont="1" applyFill="1"/>
    <xf numFmtId="0" fontId="44" fillId="23" borderId="0" xfId="0" applyFont="1" applyFill="1" applyAlignment="1">
      <alignment horizontal="center"/>
    </xf>
    <xf numFmtId="0" fontId="47" fillId="23" borderId="5" xfId="0" applyFont="1" applyFill="1" applyBorder="1" applyAlignment="1">
      <alignment horizontal="center" vertical="center"/>
    </xf>
    <xf numFmtId="0" fontId="44" fillId="23" borderId="5" xfId="0" applyFont="1" applyFill="1" applyBorder="1" applyAlignment="1">
      <alignment horizontal="center" vertical="center"/>
    </xf>
    <xf numFmtId="164" fontId="44" fillId="23" borderId="5" xfId="0" applyNumberFormat="1" applyFont="1" applyFill="1" applyBorder="1" applyAlignment="1">
      <alignment horizontal="center" vertical="center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4" fontId="44" fillId="23" borderId="1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 vertical="center"/>
    </xf>
    <xf numFmtId="0" fontId="43" fillId="21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0" fontId="47" fillId="23" borderId="2" xfId="0" applyFont="1" applyFill="1" applyBorder="1" applyAlignment="1">
      <alignment horizontal="center" vertical="center"/>
    </xf>
    <xf numFmtId="0" fontId="47" fillId="23" borderId="7" xfId="0" applyFont="1" applyFill="1" applyBorder="1" applyAlignment="1">
      <alignment horizontal="center" vertical="center"/>
    </xf>
    <xf numFmtId="0" fontId="47" fillId="23" borderId="2" xfId="0" applyFont="1" applyFill="1" applyBorder="1" applyAlignment="1">
      <alignment horizontal="center" vertical="center" wrapText="1"/>
    </xf>
    <xf numFmtId="0" fontId="47" fillId="23" borderId="7" xfId="0" applyFont="1" applyFill="1" applyBorder="1" applyAlignment="1">
      <alignment horizontal="center" vertical="center" wrapText="1"/>
    </xf>
    <xf numFmtId="0" fontId="47" fillId="23" borderId="2" xfId="7" applyFont="1" applyFill="1" applyBorder="1" applyAlignment="1">
      <alignment horizontal="center" vertical="center" wrapText="1"/>
    </xf>
    <xf numFmtId="0" fontId="47" fillId="23" borderId="7" xfId="7" applyFont="1" applyFill="1" applyBorder="1" applyAlignment="1">
      <alignment horizontal="center" vertical="center" wrapText="1"/>
    </xf>
    <xf numFmtId="0" fontId="44" fillId="23" borderId="2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164" fontId="44" fillId="23" borderId="2" xfId="0" applyNumberFormat="1" applyFont="1" applyFill="1" applyBorder="1" applyAlignment="1">
      <alignment horizontal="center" vertical="center"/>
    </xf>
    <xf numFmtId="164" fontId="44" fillId="23" borderId="7" xfId="0" applyNumberFormat="1" applyFont="1" applyFill="1" applyBorder="1" applyAlignment="1">
      <alignment horizontal="center" vertical="center"/>
    </xf>
    <xf numFmtId="15" fontId="44" fillId="23" borderId="2" xfId="0" applyNumberFormat="1" applyFont="1" applyFill="1" applyBorder="1" applyAlignment="1">
      <alignment horizontal="center" vertical="center"/>
    </xf>
    <xf numFmtId="15" fontId="44" fillId="23" borderId="7" xfId="0" applyNumberFormat="1" applyFont="1" applyFill="1" applyBorder="1" applyAlignment="1">
      <alignment horizontal="center" vertical="center"/>
    </xf>
    <xf numFmtId="15" fontId="44" fillId="23" borderId="1" xfId="0" applyNumberFormat="1" applyFont="1" applyFill="1" applyBorder="1" applyAlignment="1">
      <alignment horizontal="center" vertical="center"/>
    </xf>
    <xf numFmtId="0" fontId="47" fillId="23" borderId="2" xfId="7" applyFont="1" applyFill="1" applyBorder="1" applyAlignment="1">
      <alignment vertical="center" wrapText="1"/>
    </xf>
    <xf numFmtId="0" fontId="47" fillId="23" borderId="42" xfId="0" applyFont="1" applyFill="1" applyBorder="1" applyAlignment="1">
      <alignment horizontal="center" vertical="center"/>
    </xf>
    <xf numFmtId="0" fontId="47" fillId="23" borderId="42" xfId="0" applyFont="1" applyFill="1" applyBorder="1" applyAlignment="1">
      <alignment horizontal="center" vertical="center" wrapText="1"/>
    </xf>
    <xf numFmtId="0" fontId="47" fillId="23" borderId="42" xfId="7" applyFont="1" applyFill="1" applyBorder="1" applyAlignment="1">
      <alignment horizontal="center" vertical="center" wrapText="1"/>
    </xf>
    <xf numFmtId="0" fontId="44" fillId="23" borderId="42" xfId="0" applyFont="1" applyFill="1" applyBorder="1" applyAlignment="1">
      <alignment horizontal="center" vertical="center"/>
    </xf>
    <xf numFmtId="16" fontId="44" fillId="23" borderId="2" xfId="0" applyNumberFormat="1" applyFont="1" applyFill="1" applyBorder="1" applyAlignment="1">
      <alignment horizontal="center" vertical="center"/>
    </xf>
    <xf numFmtId="16" fontId="44" fillId="23" borderId="42" xfId="0" applyNumberFormat="1" applyFont="1" applyFill="1" applyBorder="1" applyAlignment="1">
      <alignment horizontal="center" vertical="center"/>
    </xf>
    <xf numFmtId="16" fontId="44" fillId="23" borderId="7" xfId="0" applyNumberFormat="1" applyFont="1" applyFill="1" applyBorder="1" applyAlignment="1">
      <alignment horizontal="center" vertical="center"/>
    </xf>
    <xf numFmtId="164" fontId="44" fillId="23" borderId="42" xfId="0" applyNumberFormat="1" applyFont="1" applyFill="1" applyBorder="1" applyAlignment="1">
      <alignment horizontal="center" vertical="center"/>
    </xf>
    <xf numFmtId="0" fontId="47" fillId="23" borderId="42" xfId="7" applyFont="1" applyFill="1" applyBorder="1" applyAlignment="1">
      <alignment vertical="center" wrapText="1"/>
    </xf>
    <xf numFmtId="0" fontId="47" fillId="23" borderId="7" xfId="7" applyFont="1" applyFill="1" applyBorder="1" applyAlignment="1">
      <alignment vertical="center" wrapText="1"/>
    </xf>
    <xf numFmtId="15" fontId="44" fillId="23" borderId="42" xfId="0" applyNumberFormat="1" applyFont="1" applyFill="1" applyBorder="1" applyAlignment="1">
      <alignment horizontal="center" vertical="center"/>
    </xf>
    <xf numFmtId="164" fontId="44" fillId="0" borderId="2" xfId="0" applyNumberFormat="1" applyFont="1" applyBorder="1" applyAlignment="1">
      <alignment horizontal="center" vertical="center"/>
    </xf>
    <xf numFmtId="164" fontId="44" fillId="0" borderId="42" xfId="0" applyNumberFormat="1" applyFont="1" applyBorder="1" applyAlignment="1">
      <alignment horizontal="center" vertical="center"/>
    </xf>
    <xf numFmtId="164" fontId="44" fillId="0" borderId="7" xfId="0" applyNumberFormat="1" applyFont="1" applyBorder="1" applyAlignment="1">
      <alignment horizontal="center" vertical="center"/>
    </xf>
    <xf numFmtId="16" fontId="44" fillId="23" borderId="1" xfId="0" applyNumberFormat="1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42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7" fillId="24" borderId="2" xfId="0" applyFont="1" applyFill="1" applyBorder="1" applyAlignment="1">
      <alignment horizontal="center" vertical="center"/>
    </xf>
    <xf numFmtId="0" fontId="47" fillId="24" borderId="42" xfId="0" applyFont="1" applyFill="1" applyBorder="1" applyAlignment="1">
      <alignment horizontal="center" vertical="center"/>
    </xf>
    <xf numFmtId="0" fontId="47" fillId="24" borderId="7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4" borderId="1" xfId="7" applyFont="1" applyFill="1" applyBorder="1" applyAlignment="1">
      <alignment vertical="center" wrapText="1"/>
    </xf>
    <xf numFmtId="0" fontId="44" fillId="0" borderId="1" xfId="0" applyFont="1" applyBorder="1" applyAlignment="1">
      <alignment horizontal="center" vertical="center"/>
    </xf>
    <xf numFmtId="0" fontId="47" fillId="24" borderId="2" xfId="0" applyFont="1" applyFill="1" applyBorder="1" applyAlignment="1">
      <alignment horizontal="center" vertical="center" wrapText="1"/>
    </xf>
    <xf numFmtId="0" fontId="47" fillId="24" borderId="7" xfId="0" applyFont="1" applyFill="1" applyBorder="1" applyAlignment="1">
      <alignment horizontal="center" vertical="center" wrapText="1"/>
    </xf>
    <xf numFmtId="0" fontId="47" fillId="24" borderId="2" xfId="7" applyFont="1" applyFill="1" applyBorder="1" applyAlignment="1">
      <alignment horizontal="center" vertical="center" wrapText="1"/>
    </xf>
    <xf numFmtId="0" fontId="47" fillId="24" borderId="7" xfId="7" applyFont="1" applyFill="1" applyBorder="1" applyAlignment="1">
      <alignment vertical="center" wrapText="1"/>
    </xf>
    <xf numFmtId="0" fontId="44" fillId="5" borderId="2" xfId="0" applyFont="1" applyFill="1" applyBorder="1" applyAlignment="1">
      <alignment horizontal="center" vertical="center"/>
    </xf>
    <xf numFmtId="0" fontId="44" fillId="5" borderId="7" xfId="0" applyFont="1" applyFill="1" applyBorder="1" applyAlignment="1">
      <alignment horizontal="center" vertical="center"/>
    </xf>
    <xf numFmtId="164" fontId="44" fillId="5" borderId="2" xfId="0" applyNumberFormat="1" applyFont="1" applyFill="1" applyBorder="1" applyAlignment="1">
      <alignment horizontal="center" vertical="center"/>
    </xf>
    <xf numFmtId="164" fontId="44" fillId="5" borderId="7" xfId="0" applyNumberFormat="1" applyFont="1" applyFill="1" applyBorder="1" applyAlignment="1">
      <alignment horizontal="center" vertical="center"/>
    </xf>
    <xf numFmtId="171" fontId="44" fillId="5" borderId="2" xfId="0" applyNumberFormat="1" applyFont="1" applyFill="1" applyBorder="1" applyAlignment="1">
      <alignment horizontal="center" vertical="center"/>
    </xf>
    <xf numFmtId="171" fontId="44" fillId="5" borderId="7" xfId="0" applyNumberFormat="1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47" fillId="25" borderId="1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horizontal="left" vertical="center" wrapText="1"/>
    </xf>
    <xf numFmtId="0" fontId="47" fillId="25" borderId="7" xfId="7" applyFont="1" applyFill="1" applyBorder="1" applyAlignment="1">
      <alignment horizontal="left" vertical="center" wrapText="1"/>
    </xf>
    <xf numFmtId="164" fontId="44" fillId="0" borderId="1" xfId="0" applyNumberFormat="1" applyFont="1" applyBorder="1" applyAlignment="1">
      <alignment horizontal="center" vertical="center"/>
    </xf>
    <xf numFmtId="0" fontId="47" fillId="25" borderId="1" xfId="7" applyFont="1" applyFill="1" applyBorder="1" applyAlignment="1">
      <alignment horizontal="left" vertical="center" wrapText="1"/>
    </xf>
    <xf numFmtId="171" fontId="45" fillId="0" borderId="2" xfId="0" applyNumberFormat="1" applyFont="1" applyBorder="1" applyAlignment="1">
      <alignment horizontal="center" vertical="center"/>
    </xf>
    <xf numFmtId="171" fontId="45" fillId="0" borderId="42" xfId="0" applyNumberFormat="1" applyFont="1" applyBorder="1" applyAlignment="1">
      <alignment horizontal="center" vertical="center"/>
    </xf>
    <xf numFmtId="171" fontId="45" fillId="0" borderId="7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42" xfId="0" applyFont="1" applyFill="1" applyBorder="1" applyAlignment="1">
      <alignment horizontal="center" vertical="center"/>
    </xf>
    <xf numFmtId="0" fontId="47" fillId="25" borderId="7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7" fillId="25" borderId="42" xfId="0" applyFont="1" applyFill="1" applyBorder="1" applyAlignment="1">
      <alignment horizontal="center" vertical="center" wrapText="1"/>
    </xf>
    <xf numFmtId="0" fontId="47" fillId="25" borderId="7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vertical="center" wrapText="1"/>
    </xf>
    <xf numFmtId="0" fontId="47" fillId="25" borderId="42" xfId="7" applyFont="1" applyFill="1" applyBorder="1" applyAlignment="1">
      <alignment vertical="center" wrapText="1"/>
    </xf>
    <xf numFmtId="0" fontId="47" fillId="25" borderId="7" xfId="7" applyFont="1" applyFill="1" applyBorder="1" applyAlignment="1">
      <alignment vertical="center" wrapText="1"/>
    </xf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4" fillId="23" borderId="2" xfId="0" applyFont="1" applyFill="1" applyBorder="1" applyAlignment="1">
      <alignment horizontal="center" vertical="center" wrapText="1"/>
    </xf>
    <xf numFmtId="0" fontId="44" fillId="23" borderId="42" xfId="0" applyFont="1" applyFill="1" applyBorder="1" applyAlignment="1">
      <alignment horizontal="center" vertical="center" wrapText="1"/>
    </xf>
    <xf numFmtId="0" fontId="44" fillId="23" borderId="7" xfId="0" applyFont="1" applyFill="1" applyBorder="1" applyAlignment="1">
      <alignment horizontal="center" vertical="center" wrapText="1"/>
    </xf>
    <xf numFmtId="0" fontId="44" fillId="23" borderId="2" xfId="7" applyFont="1" applyFill="1" applyBorder="1" applyAlignment="1">
      <alignment horizontal="center" vertical="center" wrapText="1"/>
    </xf>
    <xf numFmtId="0" fontId="44" fillId="23" borderId="42" xfId="7" applyFont="1" applyFill="1" applyBorder="1" applyAlignment="1">
      <alignment horizontal="center" vertical="center" wrapText="1"/>
    </xf>
    <xf numFmtId="0" fontId="44" fillId="23" borderId="7" xfId="7" applyFont="1" applyFill="1" applyBorder="1" applyAlignment="1">
      <alignment vertical="center" wrapText="1"/>
    </xf>
    <xf numFmtId="0" fontId="47" fillId="25" borderId="2" xfId="7" applyFont="1" applyFill="1" applyBorder="1" applyAlignment="1">
      <alignment horizontal="center" vertical="center" wrapText="1"/>
    </xf>
    <xf numFmtId="0" fontId="47" fillId="25" borderId="7" xfId="7" applyFont="1" applyFill="1" applyBorder="1" applyAlignment="1">
      <alignment horizontal="center" vertical="center" wrapText="1"/>
    </xf>
    <xf numFmtId="16" fontId="44" fillId="0" borderId="2" xfId="0" applyNumberFormat="1" applyFont="1" applyBorder="1" applyAlignment="1">
      <alignment horizontal="center" vertical="center"/>
    </xf>
    <xf numFmtId="16" fontId="44" fillId="0" borderId="7" xfId="0" applyNumberFormat="1" applyFont="1" applyBorder="1" applyAlignment="1">
      <alignment horizontal="center" vertical="center"/>
    </xf>
    <xf numFmtId="0" fontId="44" fillId="23" borderId="5" xfId="0" applyFont="1" applyFill="1" applyBorder="1" applyAlignment="1">
      <alignment horizontal="center" vertical="center"/>
    </xf>
    <xf numFmtId="0" fontId="47" fillId="23" borderId="5" xfId="0" applyFont="1" applyFill="1" applyBorder="1" applyAlignment="1">
      <alignment horizontal="center" vertical="center" wrapText="1"/>
    </xf>
    <xf numFmtId="0" fontId="47" fillId="23" borderId="5" xfId="7" applyFont="1" applyFill="1" applyBorder="1" applyAlignment="1">
      <alignment horizontal="center" vertical="center" wrapText="1"/>
    </xf>
    <xf numFmtId="171" fontId="44" fillId="23" borderId="5" xfId="0" applyNumberFormat="1" applyFont="1" applyFill="1" applyBorder="1" applyAlignment="1">
      <alignment horizontal="center" vertical="center"/>
    </xf>
    <xf numFmtId="171" fontId="44" fillId="23" borderId="8" xfId="0" applyNumberFormat="1" applyFont="1" applyFill="1" applyBorder="1" applyAlignment="1">
      <alignment horizontal="center" vertical="center"/>
    </xf>
    <xf numFmtId="171" fontId="44" fillId="23" borderId="21" xfId="0" applyNumberFormat="1" applyFont="1" applyFill="1" applyBorder="1" applyAlignment="1">
      <alignment horizontal="center" vertical="center"/>
    </xf>
    <xf numFmtId="171" fontId="44" fillId="0" borderId="2" xfId="0" applyNumberFormat="1" applyFont="1" applyBorder="1" applyAlignment="1">
      <alignment horizontal="center" vertical="center"/>
    </xf>
    <xf numFmtId="171" fontId="44" fillId="0" borderId="7" xfId="0" applyNumberFormat="1" applyFont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171" fontId="44" fillId="0" borderId="5" xfId="0" applyNumberFormat="1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 wrapText="1"/>
    </xf>
    <xf numFmtId="0" fontId="47" fillId="25" borderId="5" xfId="7" applyFont="1" applyFill="1" applyBorder="1" applyAlignment="1">
      <alignment horizontal="center" vertical="center" wrapText="1"/>
    </xf>
    <xf numFmtId="164" fontId="44" fillId="0" borderId="5" xfId="0" applyNumberFormat="1" applyFont="1" applyBorder="1" applyAlignment="1">
      <alignment horizontal="center" vertical="center"/>
    </xf>
    <xf numFmtId="164" fontId="44" fillId="0" borderId="8" xfId="0" applyNumberFormat="1" applyFont="1" applyBorder="1" applyAlignment="1">
      <alignment horizontal="center" vertical="center"/>
    </xf>
    <xf numFmtId="164" fontId="44" fillId="0" borderId="21" xfId="0" applyNumberFormat="1" applyFont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/>
    </xf>
    <xf numFmtId="0" fontId="49" fillId="23" borderId="2" xfId="0" applyFont="1" applyFill="1" applyBorder="1" applyAlignment="1">
      <alignment horizontal="center" vertical="center"/>
    </xf>
    <xf numFmtId="0" fontId="49" fillId="23" borderId="7" xfId="0" applyFont="1" applyFill="1" applyBorder="1" applyAlignment="1">
      <alignment horizontal="center" vertical="center"/>
    </xf>
    <xf numFmtId="0" fontId="44" fillId="23" borderId="7" xfId="7" applyFont="1" applyFill="1" applyBorder="1" applyAlignment="1">
      <alignment horizontal="center" vertical="center" wrapText="1"/>
    </xf>
    <xf numFmtId="15" fontId="49" fillId="23" borderId="2" xfId="0" applyNumberFormat="1" applyFont="1" applyFill="1" applyBorder="1" applyAlignment="1">
      <alignment horizontal="center" vertical="center"/>
    </xf>
    <xf numFmtId="15" fontId="49" fillId="23" borderId="7" xfId="0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0" fontId="47" fillId="24" borderId="7" xfId="7" applyFont="1" applyFill="1" applyBorder="1" applyAlignment="1">
      <alignment horizontal="center" vertical="center" wrapText="1"/>
    </xf>
    <xf numFmtId="0" fontId="47" fillId="24" borderId="1" xfId="0" applyFont="1" applyFill="1" applyBorder="1" applyAlignment="1">
      <alignment horizontal="center" vertical="center"/>
    </xf>
    <xf numFmtId="0" fontId="47" fillId="21" borderId="1" xfId="7" applyFont="1" applyFill="1" applyBorder="1" applyAlignment="1">
      <alignment horizontal="left" vertical="center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262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B727682A-D8FD-4341-8EFF-DD7872A7770B}"/>
            </a:ext>
          </a:extLst>
        </xdr:cNvPr>
        <xdr:cNvSpPr txBox="1">
          <a:spLocks noChangeArrowheads="1"/>
        </xdr:cNvSpPr>
      </xdr:nvSpPr>
      <xdr:spPr>
        <a:xfrm>
          <a:off x="2654300" y="6595110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249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5367E1D-03AB-4DB7-8BA5-5A41204E790E}"/>
            </a:ext>
          </a:extLst>
        </xdr:cNvPr>
        <xdr:cNvSpPr txBox="1">
          <a:spLocks noChangeArrowheads="1"/>
        </xdr:cNvSpPr>
      </xdr:nvSpPr>
      <xdr:spPr>
        <a:xfrm>
          <a:off x="2654300" y="6350635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araraja-my.sharepoint.com/personal/smd1_amararaja_com/Documents/300MW%20SECI%20Ramgiri%20Project/Engineering/MDL/Ordering%20&amp;%20Vendor%20Doc%20submission.xlsx" TargetMode="External"/><Relationship Id="rId1" Type="http://schemas.openxmlformats.org/officeDocument/2006/relationships/externalLinkPath" Target="/personal/smd1_amararaja_com/Documents/300MW%20SECI%20Ramgiri%20Project/Client%20meeting/Ordering%20&amp;%20Vendor%20Doc%20submi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</sheetNames>
    <sheetDataSet>
      <sheetData sheetId="0">
        <row r="41">
          <cell r="E41">
            <v>45834</v>
          </cell>
        </row>
        <row r="42">
          <cell r="E42">
            <v>45848</v>
          </cell>
        </row>
        <row r="44">
          <cell r="E44">
            <v>45826</v>
          </cell>
        </row>
        <row r="45">
          <cell r="E45">
            <v>45826</v>
          </cell>
        </row>
        <row r="46">
          <cell r="E46">
            <v>45826</v>
          </cell>
        </row>
        <row r="47">
          <cell r="E47">
            <v>45833</v>
          </cell>
        </row>
        <row r="48">
          <cell r="E48">
            <v>45847</v>
          </cell>
        </row>
        <row r="49">
          <cell r="E49">
            <v>45870</v>
          </cell>
        </row>
        <row r="50">
          <cell r="E50">
            <v>45870</v>
          </cell>
        </row>
        <row r="51">
          <cell r="E51">
            <v>45845</v>
          </cell>
        </row>
        <row r="52">
          <cell r="E52">
            <v>45845</v>
          </cell>
        </row>
        <row r="53">
          <cell r="E53">
            <v>45865</v>
          </cell>
        </row>
        <row r="54">
          <cell r="E54">
            <v>45843</v>
          </cell>
        </row>
        <row r="55">
          <cell r="E55">
            <v>45840</v>
          </cell>
        </row>
        <row r="56">
          <cell r="E56">
            <v>45822</v>
          </cell>
        </row>
        <row r="57">
          <cell r="E57">
            <v>45840</v>
          </cell>
        </row>
        <row r="58">
          <cell r="E58">
            <v>45847</v>
          </cell>
        </row>
        <row r="59">
          <cell r="E59">
            <v>45894</v>
          </cell>
        </row>
        <row r="60">
          <cell r="E60">
            <v>45813</v>
          </cell>
        </row>
        <row r="61">
          <cell r="E61">
            <v>45858</v>
          </cell>
        </row>
        <row r="62">
          <cell r="E62">
            <v>45834</v>
          </cell>
        </row>
        <row r="63">
          <cell r="E63">
            <v>45840</v>
          </cell>
        </row>
        <row r="64">
          <cell r="E64">
            <v>45962</v>
          </cell>
        </row>
        <row r="65">
          <cell r="E65">
            <v>45826</v>
          </cell>
        </row>
        <row r="66">
          <cell r="E66">
            <v>45853</v>
          </cell>
        </row>
        <row r="67">
          <cell r="E67" t="str">
            <v>Done</v>
          </cell>
        </row>
        <row r="68">
          <cell r="E68">
            <v>45814</v>
          </cell>
        </row>
        <row r="69">
          <cell r="E69">
            <v>45834</v>
          </cell>
        </row>
        <row r="70">
          <cell r="E70">
            <v>45814</v>
          </cell>
        </row>
        <row r="71">
          <cell r="E71">
            <v>45814</v>
          </cell>
        </row>
        <row r="72">
          <cell r="E72">
            <v>45826</v>
          </cell>
        </row>
        <row r="73">
          <cell r="E73">
            <v>45834</v>
          </cell>
        </row>
        <row r="74">
          <cell r="E74">
            <v>45848</v>
          </cell>
        </row>
        <row r="75">
          <cell r="E75">
            <v>45824</v>
          </cell>
        </row>
        <row r="76">
          <cell r="E76">
            <v>45826</v>
          </cell>
        </row>
        <row r="77">
          <cell r="E77">
            <v>45826</v>
          </cell>
        </row>
        <row r="78">
          <cell r="E78">
            <v>45826</v>
          </cell>
        </row>
        <row r="79">
          <cell r="E79">
            <v>45833</v>
          </cell>
        </row>
        <row r="80">
          <cell r="E80">
            <v>45870</v>
          </cell>
        </row>
        <row r="81">
          <cell r="E81">
            <v>45845</v>
          </cell>
        </row>
        <row r="82">
          <cell r="E82">
            <v>45845</v>
          </cell>
        </row>
        <row r="83">
          <cell r="E83">
            <v>45865</v>
          </cell>
        </row>
        <row r="84">
          <cell r="E84">
            <v>45843</v>
          </cell>
        </row>
        <row r="85">
          <cell r="E85">
            <v>45822</v>
          </cell>
        </row>
        <row r="86">
          <cell r="E86">
            <v>45840</v>
          </cell>
        </row>
        <row r="87">
          <cell r="E87">
            <v>45870</v>
          </cell>
        </row>
        <row r="88">
          <cell r="E88">
            <v>45813</v>
          </cell>
        </row>
        <row r="89">
          <cell r="E89">
            <v>45858</v>
          </cell>
        </row>
        <row r="90">
          <cell r="E90">
            <v>45834</v>
          </cell>
        </row>
        <row r="91">
          <cell r="E91">
            <v>45840</v>
          </cell>
        </row>
        <row r="92">
          <cell r="E92">
            <v>45826</v>
          </cell>
        </row>
        <row r="93">
          <cell r="E93" t="str">
            <v>Done</v>
          </cell>
        </row>
        <row r="94">
          <cell r="E94">
            <v>45853</v>
          </cell>
        </row>
        <row r="95">
          <cell r="E95">
            <v>45826</v>
          </cell>
        </row>
        <row r="96">
          <cell r="E96" t="str">
            <v>Done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="80" zoomScaleNormal="80" workbookViewId="0">
      <pane xSplit="6" ySplit="7" topLeftCell="G41" activePane="bottomRight" state="frozen"/>
      <selection pane="topRight" activeCell="G1" sqref="G1"/>
      <selection pane="bottomLeft" activeCell="A8" sqref="A8"/>
      <selection pane="bottomRight" activeCell="G25" sqref="G25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6.26953125" hidden="1" customWidth="1"/>
    <col min="15" max="15" width="5" hidden="1" customWidth="1"/>
  </cols>
  <sheetData>
    <row r="1" spans="1:15" s="10" customFormat="1" ht="37" customHeight="1" x14ac:dyDescent="0.35">
      <c r="A1" s="354" t="s">
        <v>52</v>
      </c>
      <c r="B1" s="355"/>
      <c r="C1" s="355"/>
      <c r="D1" s="355"/>
      <c r="E1" s="355"/>
      <c r="F1" s="355"/>
      <c r="G1" s="356"/>
      <c r="H1" s="356"/>
      <c r="I1" s="356"/>
      <c r="J1" s="356"/>
      <c r="K1" s="356"/>
      <c r="L1" s="357"/>
    </row>
    <row r="2" spans="1:15" s="13" customFormat="1" ht="12" x14ac:dyDescent="0.35">
      <c r="A2" s="117" t="s">
        <v>48</v>
      </c>
      <c r="B2" s="346" t="s">
        <v>49</v>
      </c>
      <c r="C2" s="347"/>
      <c r="D2" s="347"/>
      <c r="E2" s="347"/>
      <c r="F2" s="347"/>
      <c r="G2" s="114"/>
      <c r="H2" s="114"/>
      <c r="I2" s="114"/>
      <c r="J2" s="114"/>
      <c r="K2" s="114"/>
      <c r="L2" s="115"/>
      <c r="N2" s="143" t="s">
        <v>394</v>
      </c>
      <c r="O2" s="143" t="s">
        <v>395</v>
      </c>
    </row>
    <row r="3" spans="1:15" s="13" customFormat="1" ht="12" x14ac:dyDescent="0.35">
      <c r="A3" s="118" t="s">
        <v>50</v>
      </c>
      <c r="B3" s="348">
        <v>390</v>
      </c>
      <c r="C3" s="349"/>
      <c r="D3" s="349"/>
      <c r="E3" s="349"/>
      <c r="F3" s="350"/>
      <c r="G3" s="114"/>
      <c r="H3" s="114"/>
      <c r="I3" s="114"/>
      <c r="J3" s="114"/>
      <c r="K3" s="114"/>
      <c r="L3" s="115"/>
      <c r="N3" s="142">
        <v>45852</v>
      </c>
      <c r="O3" s="142">
        <v>45839</v>
      </c>
    </row>
    <row r="4" spans="1:15" s="13" customFormat="1" ht="12" x14ac:dyDescent="0.35">
      <c r="A4" s="116" t="s">
        <v>51</v>
      </c>
      <c r="B4" s="351">
        <v>45694</v>
      </c>
      <c r="C4" s="352"/>
      <c r="D4" s="352"/>
      <c r="E4" s="352"/>
      <c r="F4" s="353"/>
      <c r="G4" s="114"/>
      <c r="H4" s="114"/>
      <c r="I4" s="114"/>
      <c r="J4" s="114"/>
      <c r="K4" s="114"/>
      <c r="L4" s="115"/>
      <c r="N4" s="142">
        <f>N3+5</f>
        <v>45857</v>
      </c>
      <c r="O4" s="142">
        <v>45869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2" t="s">
        <v>403</v>
      </c>
      <c r="L5" s="163" t="s">
        <v>404</v>
      </c>
    </row>
    <row r="6" spans="1:15" s="13" customFormat="1" ht="12" x14ac:dyDescent="0.35">
      <c r="A6" s="116" t="s">
        <v>10</v>
      </c>
      <c r="B6" s="14">
        <v>45853</v>
      </c>
      <c r="C6" s="12"/>
      <c r="D6" s="12"/>
      <c r="E6" s="12"/>
      <c r="F6" s="120"/>
      <c r="G6" s="114"/>
      <c r="H6" s="114"/>
      <c r="I6" s="114"/>
      <c r="J6" s="114"/>
      <c r="K6" s="164">
        <f>N3</f>
        <v>45852</v>
      </c>
      <c r="L6" s="163">
        <v>45839</v>
      </c>
    </row>
    <row r="7" spans="1:15" s="13" customFormat="1" ht="12" x14ac:dyDescent="0.35">
      <c r="A7" s="117"/>
      <c r="B7" s="303"/>
      <c r="C7" s="304"/>
      <c r="D7" s="304"/>
      <c r="E7" s="304"/>
      <c r="F7" s="308"/>
      <c r="G7" s="114"/>
      <c r="H7" s="114"/>
      <c r="I7" s="114"/>
      <c r="J7" s="114"/>
      <c r="K7" s="309">
        <f>N4</f>
        <v>45857</v>
      </c>
      <c r="L7" s="310">
        <f>L6+30</f>
        <v>45869</v>
      </c>
    </row>
    <row r="8" spans="1:15" s="2" customFormat="1" ht="29" x14ac:dyDescent="0.35">
      <c r="A8" s="311" t="s">
        <v>0</v>
      </c>
      <c r="B8" s="311" t="s">
        <v>9</v>
      </c>
      <c r="C8" s="311" t="s">
        <v>3</v>
      </c>
      <c r="D8" s="311" t="s">
        <v>7</v>
      </c>
      <c r="E8" s="311" t="s">
        <v>8</v>
      </c>
      <c r="F8" s="312" t="s">
        <v>59</v>
      </c>
      <c r="G8" s="312" t="s">
        <v>58</v>
      </c>
      <c r="H8" s="312" t="s">
        <v>57</v>
      </c>
      <c r="I8" s="312" t="s">
        <v>61</v>
      </c>
      <c r="J8" s="312" t="s">
        <v>62</v>
      </c>
      <c r="K8" s="312" t="s">
        <v>408</v>
      </c>
      <c r="L8" s="312" t="s">
        <v>409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313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7" t="s">
        <v>406</v>
      </c>
      <c r="B11" s="8">
        <v>1033</v>
      </c>
      <c r="C11" s="8" t="s">
        <v>5</v>
      </c>
      <c r="D11" s="6">
        <f>'Construction Status'!S4</f>
        <v>872</v>
      </c>
      <c r="E11" s="6">
        <f>B11-D11</f>
        <v>161</v>
      </c>
      <c r="F11" s="166">
        <v>0.01</v>
      </c>
      <c r="G11" s="113">
        <f>F11*H11</f>
        <v>8.4414327202323326E-3</v>
      </c>
      <c r="H11" s="18">
        <f>D11/B11</f>
        <v>0.84414327202323325</v>
      </c>
      <c r="I11" s="7">
        <f>SUMIF('Construction Status'!$U$2:$DF$2,'Construction DASHBOARD'!$B$6,'Construction Status'!U4:DF4)</f>
        <v>0</v>
      </c>
      <c r="J11" s="7">
        <v>5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60">
        <v>45754</v>
      </c>
      <c r="O11" s="3">
        <v>1</v>
      </c>
    </row>
    <row r="12" spans="1:15" s="3" customFormat="1" x14ac:dyDescent="0.35">
      <c r="A12" s="167" t="s">
        <v>407</v>
      </c>
      <c r="B12" s="8">
        <v>1033</v>
      </c>
      <c r="C12" s="8" t="s">
        <v>5</v>
      </c>
      <c r="D12" s="6">
        <f>'Construction Status'!S5</f>
        <v>872</v>
      </c>
      <c r="E12" s="6">
        <f>B12-D12</f>
        <v>161</v>
      </c>
      <c r="F12" s="166">
        <v>0.01</v>
      </c>
      <c r="G12" s="113">
        <f>F12*H12</f>
        <v>8.4414327202323326E-3</v>
      </c>
      <c r="H12" s="18">
        <f>D12/B12</f>
        <v>0.84414327202323325</v>
      </c>
      <c r="I12" s="7">
        <f>SUMIF('Construction Status'!$U$2:$DF$2,'Construction DASHBOARD'!$B$6,'Construction Status'!U5:DF5)</f>
        <v>0</v>
      </c>
      <c r="J12" s="7">
        <v>5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60"/>
    </row>
    <row r="13" spans="1:15" s="3" customFormat="1" x14ac:dyDescent="0.35">
      <c r="A13" s="313" t="s">
        <v>19</v>
      </c>
      <c r="B13" s="8"/>
      <c r="C13" s="8"/>
      <c r="D13" s="6"/>
      <c r="E13" s="6"/>
      <c r="F13" s="165"/>
      <c r="G13" s="18"/>
      <c r="H13" s="18"/>
      <c r="I13" s="7"/>
      <c r="J13" s="7"/>
      <c r="K13" s="7"/>
      <c r="L13" s="7"/>
      <c r="N13" s="160">
        <v>45755</v>
      </c>
      <c r="O13" s="3">
        <v>1</v>
      </c>
    </row>
    <row r="14" spans="1:15" s="3" customFormat="1" x14ac:dyDescent="0.35">
      <c r="A14" s="314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19" si="0">B14-D14</f>
        <v>0</v>
      </c>
      <c r="F14" s="166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/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60">
        <v>45756</v>
      </c>
      <c r="O14" s="3">
        <v>1</v>
      </c>
    </row>
    <row r="15" spans="1:15" s="3" customFormat="1" x14ac:dyDescent="0.35">
      <c r="A15" s="314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6">
        <v>7.4999999999999997E-3</v>
      </c>
      <c r="G15" s="113">
        <f t="shared" ref="G15:G19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/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60">
        <v>45757</v>
      </c>
      <c r="O15" s="3">
        <v>1</v>
      </c>
    </row>
    <row r="16" spans="1:15" s="3" customFormat="1" x14ac:dyDescent="0.35">
      <c r="A16" s="314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6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/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60">
        <v>45758</v>
      </c>
      <c r="O16" s="3">
        <v>2</v>
      </c>
    </row>
    <row r="17" spans="1:15" s="3" customFormat="1" x14ac:dyDescent="0.35">
      <c r="A17" s="314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6">
        <v>2.5000000000000001E-3</v>
      </c>
      <c r="G17" s="113">
        <f t="shared" si="1"/>
        <v>2.5000000000000001E-3</v>
      </c>
      <c r="H17" s="18">
        <f t="shared" ref="H17:H19" si="2">D17/B17</f>
        <v>1</v>
      </c>
      <c r="I17" s="7">
        <f>SUMIF('Construction Status'!$U$2:$DF$2,'Construction DASHBOARD'!$B$6,'Construction Status'!U9:DF9)</f>
        <v>0</v>
      </c>
      <c r="J17" s="7"/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60">
        <v>45759</v>
      </c>
      <c r="O17" s="3">
        <v>2</v>
      </c>
    </row>
    <row r="18" spans="1:15" s="3" customFormat="1" x14ac:dyDescent="0.35">
      <c r="A18" s="314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6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/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60">
        <v>45760</v>
      </c>
      <c r="O18" s="3">
        <v>1</v>
      </c>
    </row>
    <row r="19" spans="1:15" s="3" customFormat="1" ht="16" x14ac:dyDescent="0.35">
      <c r="A19" s="68" t="s">
        <v>844</v>
      </c>
      <c r="B19" s="8">
        <f>'Construction Status'!K11</f>
        <v>240</v>
      </c>
      <c r="C19" s="8" t="s">
        <v>11</v>
      </c>
      <c r="D19" s="6">
        <f>'Construction Status'!Q11</f>
        <v>63</v>
      </c>
      <c r="E19" s="6">
        <f t="shared" si="0"/>
        <v>177</v>
      </c>
      <c r="F19" s="166">
        <v>2E-3</v>
      </c>
      <c r="G19" s="113">
        <f t="shared" si="1"/>
        <v>5.2500000000000008E-4</v>
      </c>
      <c r="H19" s="18">
        <f t="shared" si="2"/>
        <v>0.26250000000000001</v>
      </c>
      <c r="I19" s="7">
        <f>SUMIF('Construction Status'!$U$2:$DF$2,'Construction DASHBOARD'!$B$6,'Construction Status'!U11:DF11)</f>
        <v>0</v>
      </c>
      <c r="J19" s="7">
        <v>4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60">
        <v>45761</v>
      </c>
      <c r="O19" s="3">
        <v>1</v>
      </c>
    </row>
    <row r="20" spans="1:15" s="3" customFormat="1" x14ac:dyDescent="0.35">
      <c r="A20" s="313" t="s">
        <v>6</v>
      </c>
      <c r="B20" s="8"/>
      <c r="C20" s="8"/>
      <c r="D20" s="6"/>
      <c r="E20" s="6"/>
      <c r="F20" s="165"/>
      <c r="G20" s="18"/>
      <c r="H20" s="18"/>
      <c r="I20" s="7"/>
      <c r="J20" s="7"/>
      <c r="K20" s="7"/>
      <c r="L20" s="7"/>
      <c r="N20" s="160">
        <v>45762</v>
      </c>
    </row>
    <row r="21" spans="1:15" s="3" customFormat="1" x14ac:dyDescent="0.35">
      <c r="A21" s="314" t="s">
        <v>20</v>
      </c>
      <c r="B21" s="8"/>
      <c r="C21" s="8" t="s">
        <v>315</v>
      </c>
      <c r="D21" s="6"/>
      <c r="E21" s="6"/>
      <c r="F21" s="166">
        <v>0.21</v>
      </c>
      <c r="G21" s="18"/>
      <c r="H21" s="18"/>
      <c r="I21" s="7"/>
      <c r="J21" s="7"/>
      <c r="K21" s="7"/>
      <c r="L21" s="7"/>
      <c r="N21" s="160">
        <v>45763</v>
      </c>
    </row>
    <row r="22" spans="1:15" x14ac:dyDescent="0.35">
      <c r="A22" s="314" t="s">
        <v>21</v>
      </c>
      <c r="B22" s="8">
        <v>24</v>
      </c>
      <c r="C22" s="8" t="s">
        <v>2</v>
      </c>
      <c r="D22" s="9"/>
      <c r="E22" s="9"/>
      <c r="F22" s="166">
        <v>0.05</v>
      </c>
      <c r="G22" s="19"/>
      <c r="H22" s="19"/>
      <c r="I22" s="8"/>
      <c r="J22" s="8"/>
      <c r="K22" s="8"/>
      <c r="L22" s="8"/>
      <c r="N22" s="160">
        <v>45764</v>
      </c>
      <c r="O22" s="3">
        <v>4</v>
      </c>
    </row>
    <row r="23" spans="1:15" x14ac:dyDescent="0.35">
      <c r="A23" s="314" t="s">
        <v>22</v>
      </c>
      <c r="B23" s="8">
        <v>24</v>
      </c>
      <c r="C23" s="8" t="s">
        <v>2</v>
      </c>
      <c r="D23" s="9"/>
      <c r="E23" s="9"/>
      <c r="F23" s="166">
        <v>0.05</v>
      </c>
      <c r="G23" s="19"/>
      <c r="H23" s="19"/>
      <c r="I23" s="8"/>
      <c r="J23" s="8"/>
      <c r="K23" s="8"/>
      <c r="L23" s="8"/>
      <c r="N23" s="160">
        <v>45765</v>
      </c>
      <c r="O23" s="3">
        <v>4</v>
      </c>
    </row>
    <row r="24" spans="1:15" x14ac:dyDescent="0.35">
      <c r="A24" s="314" t="s">
        <v>133</v>
      </c>
      <c r="B24" s="8">
        <v>1</v>
      </c>
      <c r="C24" s="8" t="s">
        <v>11</v>
      </c>
      <c r="D24" s="9"/>
      <c r="E24" s="9"/>
      <c r="F24" s="166">
        <v>0.06</v>
      </c>
      <c r="G24" s="19"/>
      <c r="H24" s="19"/>
      <c r="I24" s="8"/>
      <c r="J24" s="8"/>
      <c r="K24" s="8"/>
      <c r="L24" s="8"/>
      <c r="N24" s="160">
        <v>45766</v>
      </c>
      <c r="O24" s="3">
        <v>4</v>
      </c>
    </row>
    <row r="25" spans="1:15" ht="17.149999999999999" customHeight="1" x14ac:dyDescent="0.35">
      <c r="A25" s="314" t="s">
        <v>23</v>
      </c>
      <c r="B25" s="8"/>
      <c r="C25" s="8" t="s">
        <v>204</v>
      </c>
      <c r="D25" s="9"/>
      <c r="E25" s="9"/>
      <c r="F25" s="166">
        <v>0.02</v>
      </c>
      <c r="G25" s="19"/>
      <c r="H25" s="19"/>
      <c r="I25" s="8"/>
      <c r="J25" s="8"/>
      <c r="K25" s="8"/>
      <c r="L25" s="8"/>
      <c r="N25" s="160">
        <v>45767</v>
      </c>
      <c r="O25" s="3">
        <v>4</v>
      </c>
    </row>
    <row r="26" spans="1:15" ht="17.149999999999999" customHeight="1" x14ac:dyDescent="0.35">
      <c r="A26" s="314" t="s">
        <v>393</v>
      </c>
      <c r="B26" s="8">
        <v>21000</v>
      </c>
      <c r="C26" s="8" t="s">
        <v>204</v>
      </c>
      <c r="D26" s="9"/>
      <c r="E26" s="9"/>
      <c r="F26" s="166">
        <v>0.02</v>
      </c>
      <c r="G26" s="19"/>
      <c r="H26" s="19"/>
      <c r="I26" s="8"/>
      <c r="J26" s="8"/>
      <c r="K26" s="8"/>
      <c r="L26" s="8"/>
      <c r="N26" s="160">
        <v>45768</v>
      </c>
      <c r="O26">
        <v>4</v>
      </c>
    </row>
    <row r="27" spans="1:15" x14ac:dyDescent="0.35">
      <c r="A27" s="313" t="s">
        <v>24</v>
      </c>
      <c r="B27" s="8"/>
      <c r="C27" s="8"/>
      <c r="D27" s="9"/>
      <c r="E27" s="9"/>
      <c r="F27" s="165"/>
      <c r="G27" s="19"/>
      <c r="H27" s="19"/>
      <c r="I27" s="9"/>
      <c r="J27" s="9"/>
      <c r="K27" s="9"/>
      <c r="L27" s="9"/>
      <c r="N27" s="160">
        <v>45769</v>
      </c>
      <c r="O27">
        <v>6</v>
      </c>
    </row>
    <row r="28" spans="1:15" x14ac:dyDescent="0.35">
      <c r="A28" s="314" t="s">
        <v>25</v>
      </c>
      <c r="B28" s="8">
        <v>24</v>
      </c>
      <c r="C28" s="8" t="s">
        <v>2</v>
      </c>
      <c r="D28" s="9"/>
      <c r="E28" s="9"/>
      <c r="F28" s="166">
        <v>0.08</v>
      </c>
      <c r="G28" s="19"/>
      <c r="H28" s="19"/>
      <c r="I28" s="9"/>
      <c r="J28" s="9"/>
      <c r="K28" s="9"/>
      <c r="L28" s="9"/>
      <c r="N28" s="160">
        <v>45770</v>
      </c>
      <c r="O28">
        <v>6</v>
      </c>
    </row>
    <row r="29" spans="1:15" x14ac:dyDescent="0.35">
      <c r="A29" s="314" t="s">
        <v>26</v>
      </c>
      <c r="B29" s="8">
        <v>24</v>
      </c>
      <c r="C29" s="8" t="s">
        <v>2</v>
      </c>
      <c r="D29" s="9"/>
      <c r="E29" s="9"/>
      <c r="F29" s="166">
        <v>0.06</v>
      </c>
      <c r="G29" s="19"/>
      <c r="H29" s="19"/>
      <c r="I29" s="9"/>
      <c r="J29" s="9"/>
      <c r="K29" s="9"/>
      <c r="L29" s="9"/>
      <c r="N29" s="160">
        <v>45771</v>
      </c>
      <c r="O29">
        <v>6</v>
      </c>
    </row>
    <row r="30" spans="1:15" x14ac:dyDescent="0.35">
      <c r="A30" s="313" t="s">
        <v>14</v>
      </c>
      <c r="B30" s="9"/>
      <c r="C30" s="8"/>
      <c r="D30" s="9"/>
      <c r="E30" s="9"/>
      <c r="F30" s="165"/>
      <c r="G30" s="19"/>
      <c r="H30" s="19"/>
      <c r="I30" s="9"/>
      <c r="J30" s="9"/>
      <c r="K30" s="9"/>
      <c r="L30" s="9"/>
      <c r="N30" s="160">
        <v>45772</v>
      </c>
      <c r="O30">
        <v>6</v>
      </c>
    </row>
    <row r="31" spans="1:15" x14ac:dyDescent="0.35">
      <c r="A31" s="314" t="s">
        <v>27</v>
      </c>
      <c r="B31" s="8">
        <v>1360</v>
      </c>
      <c r="C31" s="8" t="s">
        <v>17</v>
      </c>
      <c r="D31" s="9"/>
      <c r="E31" s="9"/>
      <c r="F31" s="166">
        <v>0.02</v>
      </c>
      <c r="G31" s="19"/>
      <c r="H31" s="19"/>
      <c r="I31" s="9"/>
      <c r="J31" s="9"/>
      <c r="K31" s="9"/>
      <c r="L31" s="9"/>
      <c r="N31" s="160">
        <v>45773</v>
      </c>
      <c r="O31">
        <v>4</v>
      </c>
    </row>
    <row r="32" spans="1:15" x14ac:dyDescent="0.35">
      <c r="A32" s="314" t="s">
        <v>28</v>
      </c>
      <c r="B32" s="8">
        <v>1360</v>
      </c>
      <c r="C32" s="8" t="s">
        <v>17</v>
      </c>
      <c r="D32" s="9"/>
      <c r="E32" s="9"/>
      <c r="F32" s="166">
        <v>0.02</v>
      </c>
      <c r="G32" s="19"/>
      <c r="H32" s="19"/>
      <c r="I32" s="9"/>
      <c r="J32" s="9"/>
      <c r="K32" s="9"/>
      <c r="L32" s="9"/>
      <c r="N32" s="160">
        <v>45774</v>
      </c>
    </row>
    <row r="33" spans="1:12" x14ac:dyDescent="0.35">
      <c r="A33" s="314" t="s">
        <v>46</v>
      </c>
      <c r="B33" s="8">
        <v>1360</v>
      </c>
      <c r="C33" s="8" t="s">
        <v>17</v>
      </c>
      <c r="D33" s="9"/>
      <c r="E33" s="9"/>
      <c r="F33" s="166">
        <v>0.03</v>
      </c>
      <c r="G33" s="19"/>
      <c r="H33" s="19"/>
      <c r="I33" s="9"/>
      <c r="J33" s="9"/>
      <c r="K33" s="9"/>
      <c r="L33" s="9"/>
    </row>
    <row r="34" spans="1:12" x14ac:dyDescent="0.35">
      <c r="A34" s="314" t="s">
        <v>29</v>
      </c>
      <c r="B34" s="8">
        <v>1360</v>
      </c>
      <c r="C34" s="8" t="s">
        <v>17</v>
      </c>
      <c r="D34" s="9"/>
      <c r="E34" s="9"/>
      <c r="F34" s="166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314" t="s">
        <v>55</v>
      </c>
      <c r="B35" s="8">
        <v>1360</v>
      </c>
      <c r="C35" s="8" t="s">
        <v>17</v>
      </c>
      <c r="D35" s="9"/>
      <c r="E35" s="9"/>
      <c r="F35" s="166">
        <v>0.04</v>
      </c>
      <c r="G35" s="19"/>
      <c r="H35" s="19"/>
      <c r="I35" s="9"/>
      <c r="J35" s="9"/>
      <c r="K35" s="9"/>
      <c r="L35" s="9"/>
    </row>
    <row r="36" spans="1:12" x14ac:dyDescent="0.35">
      <c r="A36" s="314" t="s">
        <v>56</v>
      </c>
      <c r="B36" s="8">
        <v>1360</v>
      </c>
      <c r="C36" s="8" t="s">
        <v>17</v>
      </c>
      <c r="D36" s="9"/>
      <c r="E36" s="9"/>
      <c r="F36" s="166">
        <v>0.02</v>
      </c>
      <c r="G36" s="19"/>
      <c r="H36" s="19"/>
      <c r="I36" s="9"/>
      <c r="J36" s="9"/>
      <c r="K36" s="9"/>
      <c r="L36" s="9"/>
    </row>
    <row r="37" spans="1:12" x14ac:dyDescent="0.35">
      <c r="A37" s="314" t="s">
        <v>47</v>
      </c>
      <c r="B37" s="8">
        <v>1360</v>
      </c>
      <c r="C37" s="8" t="s">
        <v>17</v>
      </c>
      <c r="D37" s="9"/>
      <c r="E37" s="9"/>
      <c r="F37" s="166">
        <v>0.02</v>
      </c>
      <c r="G37" s="19"/>
      <c r="H37" s="19"/>
      <c r="I37" s="9"/>
      <c r="J37" s="9"/>
      <c r="K37" s="9"/>
      <c r="L37" s="9"/>
    </row>
    <row r="38" spans="1:12" x14ac:dyDescent="0.35">
      <c r="A38" s="313" t="s">
        <v>15</v>
      </c>
      <c r="B38" s="9"/>
      <c r="C38" s="8"/>
      <c r="D38" s="9"/>
      <c r="E38" s="9"/>
      <c r="F38" s="165"/>
      <c r="G38" s="19"/>
      <c r="H38" s="19"/>
      <c r="I38" s="9"/>
      <c r="J38" s="9"/>
      <c r="K38" s="9"/>
      <c r="L38" s="9"/>
    </row>
    <row r="39" spans="1:12" x14ac:dyDescent="0.35">
      <c r="A39" s="314" t="s">
        <v>30</v>
      </c>
      <c r="B39" s="8">
        <v>24</v>
      </c>
      <c r="C39" s="8" t="s">
        <v>2</v>
      </c>
      <c r="D39" s="9"/>
      <c r="E39" s="9"/>
      <c r="F39" s="166">
        <v>0.02</v>
      </c>
      <c r="G39" s="19"/>
      <c r="H39" s="19"/>
      <c r="I39" s="9"/>
      <c r="J39" s="9"/>
      <c r="K39" s="9"/>
      <c r="L39" s="9"/>
    </row>
    <row r="40" spans="1:12" x14ac:dyDescent="0.35">
      <c r="A40" s="314" t="s">
        <v>31</v>
      </c>
      <c r="B40" s="8">
        <v>24</v>
      </c>
      <c r="C40" s="8" t="s">
        <v>2</v>
      </c>
      <c r="D40" s="9"/>
      <c r="E40" s="9"/>
      <c r="F40" s="166">
        <v>0.02</v>
      </c>
      <c r="G40" s="19"/>
      <c r="H40" s="19"/>
      <c r="I40" s="9"/>
      <c r="J40" s="9"/>
      <c r="K40" s="9"/>
      <c r="L40" s="9"/>
    </row>
    <row r="41" spans="1:12" x14ac:dyDescent="0.35">
      <c r="A41" s="314" t="s">
        <v>32</v>
      </c>
      <c r="B41" s="8">
        <v>24</v>
      </c>
      <c r="C41" s="8" t="s">
        <v>2</v>
      </c>
      <c r="D41" s="9"/>
      <c r="E41" s="9"/>
      <c r="F41" s="166">
        <v>0.04</v>
      </c>
      <c r="G41" s="19"/>
      <c r="H41" s="19"/>
      <c r="I41" s="9"/>
      <c r="J41" s="9"/>
      <c r="K41" s="9"/>
      <c r="L41" s="9"/>
    </row>
    <row r="42" spans="1:12" x14ac:dyDescent="0.35">
      <c r="A42" s="314" t="s">
        <v>33</v>
      </c>
      <c r="B42" s="8">
        <v>24</v>
      </c>
      <c r="C42" s="8" t="s">
        <v>2</v>
      </c>
      <c r="D42" s="9"/>
      <c r="E42" s="9"/>
      <c r="F42" s="166">
        <v>0.01</v>
      </c>
      <c r="G42" s="19"/>
      <c r="H42" s="19"/>
      <c r="I42" s="9"/>
      <c r="J42" s="9"/>
      <c r="K42" s="9"/>
      <c r="L42" s="9"/>
    </row>
    <row r="43" spans="1:12" x14ac:dyDescent="0.35">
      <c r="A43" s="314" t="s">
        <v>34</v>
      </c>
      <c r="B43" s="8">
        <v>24</v>
      </c>
      <c r="C43" s="8" t="s">
        <v>2</v>
      </c>
      <c r="D43" s="9"/>
      <c r="E43" s="9"/>
      <c r="F43" s="166">
        <v>0.01</v>
      </c>
      <c r="G43" s="19"/>
      <c r="H43" s="19"/>
      <c r="I43" s="9"/>
      <c r="J43" s="9"/>
      <c r="K43" s="9"/>
      <c r="L43" s="9"/>
    </row>
    <row r="44" spans="1:12" x14ac:dyDescent="0.35">
      <c r="A44" s="314" t="s">
        <v>16</v>
      </c>
      <c r="B44" s="8">
        <v>24</v>
      </c>
      <c r="C44" s="8" t="s">
        <v>2</v>
      </c>
      <c r="D44" s="9"/>
      <c r="E44" s="9"/>
      <c r="F44" s="166">
        <v>0.02</v>
      </c>
      <c r="G44" s="19"/>
      <c r="H44" s="19"/>
      <c r="I44" s="9"/>
      <c r="J44" s="9"/>
      <c r="K44" s="9"/>
      <c r="L44" s="9"/>
    </row>
    <row r="45" spans="1:12" x14ac:dyDescent="0.35">
      <c r="A45" s="314" t="s">
        <v>35</v>
      </c>
      <c r="B45" s="8">
        <v>24</v>
      </c>
      <c r="C45" s="8" t="s">
        <v>2</v>
      </c>
      <c r="D45" s="9"/>
      <c r="E45" s="9"/>
      <c r="F45" s="166">
        <v>0.01</v>
      </c>
      <c r="G45" s="19"/>
      <c r="H45" s="19"/>
      <c r="I45" s="9"/>
      <c r="J45" s="9"/>
      <c r="K45" s="9"/>
      <c r="L45" s="9"/>
    </row>
    <row r="46" spans="1:12" x14ac:dyDescent="0.35">
      <c r="A46" s="313" t="s">
        <v>36</v>
      </c>
      <c r="B46" s="9"/>
      <c r="C46" s="8"/>
      <c r="D46" s="9"/>
      <c r="E46" s="9"/>
      <c r="F46" s="165"/>
      <c r="G46" s="19"/>
      <c r="H46" s="19"/>
      <c r="I46" s="9"/>
      <c r="J46" s="9"/>
      <c r="K46" s="9"/>
      <c r="L46" s="9"/>
    </row>
    <row r="47" spans="1:12" x14ac:dyDescent="0.35">
      <c r="A47" s="314" t="s">
        <v>37</v>
      </c>
      <c r="B47" s="8">
        <v>1173</v>
      </c>
      <c r="C47" s="8" t="s">
        <v>13</v>
      </c>
      <c r="D47" s="9"/>
      <c r="E47" s="9"/>
      <c r="F47" s="166">
        <v>0.02</v>
      </c>
      <c r="G47" s="19"/>
      <c r="H47" s="19"/>
      <c r="I47" s="9"/>
      <c r="J47" s="9"/>
      <c r="K47" s="9"/>
      <c r="L47" s="9"/>
    </row>
    <row r="48" spans="1:12" x14ac:dyDescent="0.35">
      <c r="A48" s="314" t="s">
        <v>38</v>
      </c>
      <c r="B48" s="8">
        <v>24</v>
      </c>
      <c r="C48" s="8" t="s">
        <v>2</v>
      </c>
      <c r="D48" s="9"/>
      <c r="E48" s="9"/>
      <c r="F48" s="166">
        <v>0.02</v>
      </c>
      <c r="G48" s="19"/>
      <c r="H48" s="19"/>
      <c r="I48" s="9"/>
      <c r="J48" s="9"/>
      <c r="K48" s="9"/>
      <c r="L48" s="9"/>
    </row>
    <row r="49" spans="1:12" x14ac:dyDescent="0.35">
      <c r="A49" s="313" t="s">
        <v>39</v>
      </c>
      <c r="B49" s="9"/>
      <c r="C49" s="8"/>
      <c r="D49" s="9"/>
      <c r="E49" s="9"/>
      <c r="F49" s="166"/>
      <c r="G49" s="19"/>
      <c r="H49" s="19"/>
      <c r="I49" s="9"/>
      <c r="J49" s="9"/>
      <c r="K49" s="9"/>
      <c r="L49" s="9"/>
    </row>
    <row r="50" spans="1:12" x14ac:dyDescent="0.35">
      <c r="A50" s="314" t="s">
        <v>40</v>
      </c>
      <c r="B50" s="8">
        <v>1</v>
      </c>
      <c r="C50" s="8" t="s">
        <v>11</v>
      </c>
      <c r="D50" s="9"/>
      <c r="E50" s="9"/>
      <c r="F50" s="166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314" t="s">
        <v>41</v>
      </c>
      <c r="B51" s="8">
        <v>1</v>
      </c>
      <c r="C51" s="8" t="s">
        <v>11</v>
      </c>
      <c r="D51" s="9"/>
      <c r="E51" s="9"/>
      <c r="F51" s="166">
        <v>0.01</v>
      </c>
      <c r="G51" s="19"/>
      <c r="H51" s="19"/>
      <c r="I51" s="9"/>
      <c r="J51" s="9"/>
      <c r="K51" s="9"/>
      <c r="L51" s="9"/>
    </row>
    <row r="52" spans="1:12" x14ac:dyDescent="0.35">
      <c r="A52" s="314" t="s">
        <v>296</v>
      </c>
      <c r="B52" s="8">
        <v>1</v>
      </c>
      <c r="C52" s="8" t="s">
        <v>11</v>
      </c>
      <c r="D52" s="9"/>
      <c r="E52" s="9"/>
      <c r="F52" s="166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314" t="s">
        <v>42</v>
      </c>
      <c r="B53" s="8">
        <v>1</v>
      </c>
      <c r="C53" s="8" t="s">
        <v>11</v>
      </c>
      <c r="D53" s="9"/>
      <c r="E53" s="9"/>
      <c r="F53" s="166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313" t="s">
        <v>53</v>
      </c>
      <c r="B54" s="9"/>
      <c r="C54" s="8"/>
      <c r="D54" s="9"/>
      <c r="E54" s="9"/>
      <c r="F54" s="166"/>
      <c r="G54" s="19"/>
      <c r="H54" s="19"/>
      <c r="I54" s="9"/>
      <c r="J54" s="9"/>
      <c r="K54" s="9"/>
      <c r="L54" s="9"/>
    </row>
    <row r="55" spans="1:12" x14ac:dyDescent="0.35">
      <c r="A55" s="314" t="s">
        <v>43</v>
      </c>
      <c r="B55" s="8">
        <v>100</v>
      </c>
      <c r="C55" s="8" t="s">
        <v>12</v>
      </c>
      <c r="D55" s="9"/>
      <c r="E55" s="9"/>
      <c r="F55" s="166">
        <v>0.01</v>
      </c>
      <c r="G55" s="19"/>
      <c r="H55" s="19"/>
      <c r="I55" s="9"/>
      <c r="J55" s="9"/>
      <c r="K55" s="9"/>
      <c r="L55" s="9"/>
    </row>
    <row r="56" spans="1:12" x14ac:dyDescent="0.35">
      <c r="A56" s="314" t="s">
        <v>44</v>
      </c>
      <c r="B56" s="8">
        <v>100</v>
      </c>
      <c r="C56" s="8" t="s">
        <v>12</v>
      </c>
      <c r="D56" s="9"/>
      <c r="E56" s="9"/>
      <c r="F56" s="166">
        <v>0.01</v>
      </c>
      <c r="G56" s="19"/>
      <c r="H56" s="19"/>
      <c r="I56" s="9"/>
      <c r="J56" s="9"/>
      <c r="K56" s="9"/>
      <c r="L56" s="9"/>
    </row>
    <row r="57" spans="1:12" x14ac:dyDescent="0.35">
      <c r="A57" s="314" t="s">
        <v>45</v>
      </c>
      <c r="B57" s="8">
        <v>100</v>
      </c>
      <c r="C57" s="8" t="s">
        <v>12</v>
      </c>
      <c r="D57" s="9"/>
      <c r="E57" s="9"/>
      <c r="F57" s="166">
        <v>0.01</v>
      </c>
      <c r="G57" s="19"/>
      <c r="H57" s="19"/>
      <c r="I57" s="9"/>
      <c r="J57" s="9"/>
      <c r="K57" s="9"/>
      <c r="L57" s="9"/>
    </row>
    <row r="58" spans="1:12" x14ac:dyDescent="0.35">
      <c r="A58" s="314" t="s">
        <v>54</v>
      </c>
      <c r="B58" s="8">
        <v>100</v>
      </c>
      <c r="C58" s="8" t="s">
        <v>12</v>
      </c>
      <c r="D58" s="9"/>
      <c r="E58" s="9"/>
      <c r="F58" s="166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315">
        <f>SUM(F11:F58)</f>
        <v>1.0000000000000002</v>
      </c>
      <c r="G59" s="315">
        <f>SUM(G11:G58)</f>
        <v>4.0407865440464666E-2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4.0407865440464666E-2</v>
      </c>
    </row>
    <row r="73" spans="2:3" x14ac:dyDescent="0.35">
      <c r="B73" s="20" t="s">
        <v>8</v>
      </c>
      <c r="C73" s="21">
        <f>C71-C72</f>
        <v>0.95959213455953551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1" t="s">
        <v>10</v>
      </c>
      <c r="B2" s="172">
        <v>45754</v>
      </c>
      <c r="C2" s="172">
        <v>45755</v>
      </c>
      <c r="D2" s="172">
        <v>45756</v>
      </c>
      <c r="E2" s="172">
        <v>45757</v>
      </c>
      <c r="F2" s="172">
        <v>45758</v>
      </c>
      <c r="G2" s="172">
        <v>45759</v>
      </c>
      <c r="H2" s="172">
        <v>45760</v>
      </c>
      <c r="I2" s="172">
        <v>45761</v>
      </c>
      <c r="J2" s="172">
        <v>45762</v>
      </c>
      <c r="K2" s="172">
        <v>45763</v>
      </c>
      <c r="L2" s="172">
        <v>45764</v>
      </c>
      <c r="M2" s="172">
        <v>45765</v>
      </c>
      <c r="N2" s="172">
        <v>45766</v>
      </c>
      <c r="O2" s="172">
        <v>45767</v>
      </c>
      <c r="P2" s="172">
        <v>45768</v>
      </c>
      <c r="Q2" s="172">
        <v>45769</v>
      </c>
      <c r="R2" s="172">
        <v>45770</v>
      </c>
      <c r="S2" s="172">
        <v>45771</v>
      </c>
      <c r="T2" s="172">
        <v>45772</v>
      </c>
      <c r="U2" s="172">
        <v>45773</v>
      </c>
      <c r="V2" s="172">
        <v>45774</v>
      </c>
      <c r="W2" s="172">
        <v>45775</v>
      </c>
      <c r="X2" s="172">
        <v>45776</v>
      </c>
      <c r="Y2" s="172">
        <v>45777</v>
      </c>
      <c r="Z2" s="172">
        <v>45778</v>
      </c>
      <c r="AA2" s="172">
        <v>45779</v>
      </c>
      <c r="AB2" s="172">
        <v>45780</v>
      </c>
      <c r="AC2" s="172">
        <v>45781</v>
      </c>
      <c r="AD2" s="172">
        <v>45782</v>
      </c>
      <c r="AE2" s="172">
        <v>45783</v>
      </c>
      <c r="AF2" s="172">
        <v>45784</v>
      </c>
      <c r="AG2" s="172">
        <v>45785</v>
      </c>
      <c r="AH2" s="172">
        <v>45786</v>
      </c>
      <c r="AI2" s="172">
        <v>45787</v>
      </c>
      <c r="AJ2" s="172">
        <v>45788</v>
      </c>
      <c r="AK2" s="172">
        <v>45789</v>
      </c>
      <c r="AL2" s="172">
        <v>45790</v>
      </c>
      <c r="AM2" s="172">
        <v>45791</v>
      </c>
    </row>
    <row r="3" spans="1:43" s="10" customFormat="1" x14ac:dyDescent="0.35">
      <c r="A3" s="171" t="s">
        <v>411</v>
      </c>
      <c r="B3" s="173">
        <v>1</v>
      </c>
      <c r="C3" s="173">
        <v>1</v>
      </c>
      <c r="D3" s="173">
        <v>1</v>
      </c>
      <c r="E3" s="173">
        <v>1</v>
      </c>
      <c r="F3" s="173">
        <v>2</v>
      </c>
      <c r="G3" s="174">
        <v>2</v>
      </c>
      <c r="H3" s="174">
        <v>1</v>
      </c>
      <c r="I3" s="174">
        <v>1</v>
      </c>
      <c r="J3" s="175"/>
      <c r="K3" s="175"/>
      <c r="L3" s="174">
        <v>4</v>
      </c>
      <c r="M3" s="174">
        <v>4</v>
      </c>
      <c r="N3" s="174">
        <v>4</v>
      </c>
      <c r="O3" s="174">
        <v>4</v>
      </c>
      <c r="P3" s="174">
        <v>4</v>
      </c>
      <c r="Q3" s="174">
        <v>6</v>
      </c>
      <c r="R3" s="174">
        <v>6</v>
      </c>
      <c r="S3" s="174">
        <v>6</v>
      </c>
      <c r="T3" s="174">
        <v>6</v>
      </c>
      <c r="U3" s="174">
        <v>4</v>
      </c>
      <c r="V3" s="174">
        <v>4</v>
      </c>
      <c r="W3" s="176">
        <v>4</v>
      </c>
      <c r="X3" s="176">
        <v>6</v>
      </c>
      <c r="Y3" s="176">
        <v>6</v>
      </c>
      <c r="Z3" s="176">
        <v>4</v>
      </c>
      <c r="AA3" s="176">
        <v>4</v>
      </c>
      <c r="AB3" s="176">
        <v>6</v>
      </c>
      <c r="AC3" s="176">
        <v>6</v>
      </c>
      <c r="AD3" s="176">
        <v>6</v>
      </c>
      <c r="AE3" s="174">
        <v>5</v>
      </c>
      <c r="AF3" s="176">
        <v>4</v>
      </c>
      <c r="AG3" s="176">
        <v>3</v>
      </c>
      <c r="AH3" s="176">
        <v>5</v>
      </c>
      <c r="AI3" s="176">
        <v>5</v>
      </c>
      <c r="AJ3" s="176">
        <v>5</v>
      </c>
      <c r="AK3" s="176">
        <v>4</v>
      </c>
      <c r="AL3" s="176">
        <v>6</v>
      </c>
      <c r="AM3" s="176"/>
      <c r="AP3" s="177">
        <f>SUM(B3:AK3)</f>
        <v>135</v>
      </c>
    </row>
    <row r="4" spans="1:43" s="10" customFormat="1" x14ac:dyDescent="0.35">
      <c r="A4" s="171" t="s">
        <v>412</v>
      </c>
      <c r="B4" s="176">
        <f>'Construction Status'!Z4</f>
        <v>1.5</v>
      </c>
      <c r="C4" s="176">
        <f>'Construction Status'!AA4</f>
        <v>3.5</v>
      </c>
      <c r="D4" s="176">
        <f>'Construction Status'!AB4</f>
        <v>4</v>
      </c>
      <c r="E4" s="176">
        <f>'Construction Status'!AC4</f>
        <v>4</v>
      </c>
      <c r="F4" s="176">
        <f>'Construction Status'!AD4</f>
        <v>4</v>
      </c>
      <c r="G4" s="176">
        <f>'Construction Status'!AE4</f>
        <v>4</v>
      </c>
      <c r="H4" s="176">
        <f>'Construction Status'!AF4</f>
        <v>3</v>
      </c>
      <c r="I4" s="176">
        <f>'Construction Status'!AG4</f>
        <v>2</v>
      </c>
      <c r="J4" s="176">
        <f>'Construction Status'!AH4</f>
        <v>0</v>
      </c>
      <c r="K4" s="176">
        <f>'Construction Status'!AI4-10</f>
        <v>0</v>
      </c>
      <c r="L4" s="176">
        <f>'Construction Status'!AJ4</f>
        <v>20</v>
      </c>
      <c r="M4" s="176">
        <f>'Construction Status'!AK4</f>
        <v>20</v>
      </c>
      <c r="N4" s="176">
        <f>'Construction Status'!AL4+5</f>
        <v>25</v>
      </c>
      <c r="O4" s="176">
        <f>'Construction Status'!AM4+5</f>
        <v>26</v>
      </c>
      <c r="P4" s="176">
        <f>'Construction Status'!AN4</f>
        <v>40</v>
      </c>
      <c r="Q4" s="176">
        <f>'Construction Status'!AO4</f>
        <v>40</v>
      </c>
      <c r="R4" s="176">
        <f>'Construction Status'!AP4</f>
        <v>40</v>
      </c>
      <c r="S4" s="176">
        <f>'Construction Status'!AQ4</f>
        <v>38</v>
      </c>
      <c r="T4" s="176">
        <f>'Construction Status'!AR4</f>
        <v>0</v>
      </c>
      <c r="U4" s="176">
        <f>'Construction Status'!AS4</f>
        <v>0</v>
      </c>
      <c r="V4" s="176">
        <f>'Construction Status'!AT4</f>
        <v>0</v>
      </c>
      <c r="W4" s="176">
        <f>'Construction Status'!AU4</f>
        <v>0</v>
      </c>
      <c r="X4" s="176">
        <f>'Construction Status'!AV4</f>
        <v>0</v>
      </c>
      <c r="Y4" s="176">
        <f>'Construction Status'!AW4</f>
        <v>0</v>
      </c>
      <c r="Z4" s="176">
        <f>'Construction Status'!AX4</f>
        <v>0</v>
      </c>
      <c r="AA4" s="176">
        <f>'Construction Status'!AY4</f>
        <v>0</v>
      </c>
      <c r="AB4" s="176">
        <f>'Construction Status'!AZ4</f>
        <v>0</v>
      </c>
      <c r="AC4" s="176">
        <f>'Construction Status'!BA4</f>
        <v>0</v>
      </c>
      <c r="AD4" s="176"/>
      <c r="AE4" s="176"/>
      <c r="AF4" s="176">
        <v>5</v>
      </c>
      <c r="AG4" s="176">
        <v>10</v>
      </c>
      <c r="AH4" s="176">
        <v>10</v>
      </c>
      <c r="AI4" s="176">
        <v>5</v>
      </c>
      <c r="AJ4" s="176">
        <v>7</v>
      </c>
      <c r="AK4" s="176">
        <v>5</v>
      </c>
      <c r="AL4" s="176"/>
      <c r="AM4" s="176"/>
      <c r="AP4" s="177">
        <f>SUM(B4:AK4)</f>
        <v>317</v>
      </c>
      <c r="AQ4" s="178">
        <f>AP4/AP3</f>
        <v>2.3481481481481481</v>
      </c>
    </row>
    <row r="5" spans="1:43" s="10" customFormat="1" x14ac:dyDescent="0.35">
      <c r="A5" s="171" t="s">
        <v>413</v>
      </c>
      <c r="B5" s="176">
        <f>'Construction Status'!Z5</f>
        <v>0</v>
      </c>
      <c r="C5" s="176">
        <f>'Construction Status'!AA5</f>
        <v>0</v>
      </c>
      <c r="D5" s="176">
        <f>'Construction Status'!AB5</f>
        <v>0</v>
      </c>
      <c r="E5" s="176">
        <f>'Construction Status'!AC5</f>
        <v>0</v>
      </c>
      <c r="F5" s="176">
        <f>'Construction Status'!AD5</f>
        <v>0</v>
      </c>
      <c r="G5" s="176">
        <f>'Construction Status'!AE5</f>
        <v>0</v>
      </c>
      <c r="H5" s="176">
        <f>'Construction Status'!AF5</f>
        <v>0</v>
      </c>
      <c r="I5" s="176">
        <f>'Construction Status'!AG5</f>
        <v>0</v>
      </c>
      <c r="J5" s="176">
        <f>'Construction Status'!AH5</f>
        <v>0</v>
      </c>
      <c r="K5" s="176">
        <f>'Construction Status'!AI5</f>
        <v>0</v>
      </c>
      <c r="L5" s="176">
        <f>'Construction Status'!AJ5</f>
        <v>0</v>
      </c>
      <c r="M5" s="176">
        <f>'Construction Status'!AK5</f>
        <v>0</v>
      </c>
      <c r="N5" s="176">
        <f>'Construction Status'!AL5</f>
        <v>0</v>
      </c>
      <c r="O5" s="176">
        <f>'Construction Status'!AM5</f>
        <v>0</v>
      </c>
      <c r="P5" s="176">
        <f>'Construction Status'!AN5</f>
        <v>0</v>
      </c>
      <c r="Q5" s="176">
        <f>'Construction Status'!AO5</f>
        <v>0</v>
      </c>
      <c r="R5" s="176">
        <f>'Construction Status'!AP5</f>
        <v>0</v>
      </c>
      <c r="S5" s="176">
        <f>'Construction Status'!AQ5</f>
        <v>0</v>
      </c>
      <c r="T5" s="176">
        <f>'Construction Status'!AR5</f>
        <v>10</v>
      </c>
      <c r="U5" s="176">
        <f>'Construction Status'!AS5</f>
        <v>10</v>
      </c>
      <c r="V5" s="176">
        <f>'Construction Status'!AT5</f>
        <v>10</v>
      </c>
      <c r="W5" s="176">
        <f>'Construction Status'!AU5</f>
        <v>10</v>
      </c>
      <c r="X5" s="176">
        <f>'Construction Status'!AV5</f>
        <v>12</v>
      </c>
      <c r="Y5" s="176">
        <f>'Construction Status'!AW5</f>
        <v>13</v>
      </c>
      <c r="Z5" s="176">
        <f>'Construction Status'!AX5</f>
        <v>10</v>
      </c>
      <c r="AA5" s="176">
        <f>'Construction Status'!AY5</f>
        <v>12</v>
      </c>
      <c r="AB5" s="176">
        <f>'Construction Status'!AZ5</f>
        <v>11</v>
      </c>
      <c r="AC5" s="176">
        <f>'Construction Status'!BA5</f>
        <v>20</v>
      </c>
      <c r="AD5" s="176">
        <v>14</v>
      </c>
      <c r="AE5" s="176">
        <v>16</v>
      </c>
      <c r="AF5" s="176">
        <v>16</v>
      </c>
      <c r="AG5" s="176">
        <v>10</v>
      </c>
      <c r="AH5" s="176">
        <v>10</v>
      </c>
      <c r="AI5" s="176">
        <v>5</v>
      </c>
      <c r="AJ5" s="176">
        <v>7</v>
      </c>
      <c r="AK5" s="176">
        <v>5</v>
      </c>
      <c r="AL5" s="176"/>
      <c r="AM5" s="176"/>
      <c r="AP5" s="177">
        <f>SUM(T3:AK3)</f>
        <v>87</v>
      </c>
    </row>
    <row r="6" spans="1:43" s="10" customFormat="1" x14ac:dyDescent="0.35">
      <c r="A6" s="179" t="s">
        <v>414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P6" s="177">
        <f>SUM(B5:AK5)</f>
        <v>201</v>
      </c>
      <c r="AQ6" s="178">
        <f>AP6/AP5</f>
        <v>2.3103448275862069</v>
      </c>
    </row>
    <row r="7" spans="1:43" s="10" customFormat="1" x14ac:dyDescent="0.35">
      <c r="A7" s="171" t="s">
        <v>412</v>
      </c>
      <c r="B7" s="181">
        <f>B4/B3</f>
        <v>1.5</v>
      </c>
      <c r="C7" s="181">
        <f t="shared" ref="C7:S7" si="0">C4/C3</f>
        <v>3.5</v>
      </c>
      <c r="D7" s="181">
        <f t="shared" si="0"/>
        <v>4</v>
      </c>
      <c r="E7" s="181">
        <f t="shared" si="0"/>
        <v>4</v>
      </c>
      <c r="F7" s="181">
        <f t="shared" si="0"/>
        <v>2</v>
      </c>
      <c r="G7" s="181">
        <f t="shared" si="0"/>
        <v>2</v>
      </c>
      <c r="H7" s="181">
        <f t="shared" si="0"/>
        <v>3</v>
      </c>
      <c r="I7" s="181">
        <f t="shared" si="0"/>
        <v>2</v>
      </c>
      <c r="J7" s="181"/>
      <c r="K7" s="181"/>
      <c r="L7" s="181">
        <f t="shared" si="0"/>
        <v>5</v>
      </c>
      <c r="M7" s="181">
        <f t="shared" si="0"/>
        <v>5</v>
      </c>
      <c r="N7" s="181">
        <f t="shared" si="0"/>
        <v>6.25</v>
      </c>
      <c r="O7" s="181">
        <f t="shared" si="0"/>
        <v>6.5</v>
      </c>
      <c r="P7" s="181">
        <f t="shared" si="0"/>
        <v>10</v>
      </c>
      <c r="Q7" s="181">
        <f t="shared" si="0"/>
        <v>6.666666666666667</v>
      </c>
      <c r="R7" s="181">
        <f t="shared" si="0"/>
        <v>6.666666666666667</v>
      </c>
      <c r="S7" s="181">
        <f t="shared" si="0"/>
        <v>6.333333333333333</v>
      </c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</row>
    <row r="8" spans="1:43" s="10" customFormat="1" x14ac:dyDescent="0.35">
      <c r="A8" s="171" t="s">
        <v>413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1">
        <f>T5/T3</f>
        <v>1.6666666666666667</v>
      </c>
      <c r="U8" s="181">
        <f t="shared" ref="U8:AD8" si="1">U5/U3</f>
        <v>2.5</v>
      </c>
      <c r="V8" s="181">
        <f t="shared" si="1"/>
        <v>2.5</v>
      </c>
      <c r="W8" s="181">
        <f t="shared" si="1"/>
        <v>2.5</v>
      </c>
      <c r="X8" s="181">
        <f t="shared" si="1"/>
        <v>2</v>
      </c>
      <c r="Y8" s="181">
        <f t="shared" si="1"/>
        <v>2.1666666666666665</v>
      </c>
      <c r="Z8" s="181">
        <f t="shared" si="1"/>
        <v>2.5</v>
      </c>
      <c r="AA8" s="181">
        <f t="shared" si="1"/>
        <v>3</v>
      </c>
      <c r="AB8" s="181">
        <f t="shared" si="1"/>
        <v>1.8333333333333333</v>
      </c>
      <c r="AC8" s="181">
        <f t="shared" si="1"/>
        <v>3.3333333333333335</v>
      </c>
      <c r="AD8" s="181">
        <f t="shared" si="1"/>
        <v>2.3333333333333335</v>
      </c>
      <c r="AE8" s="181">
        <f t="shared" ref="AE8:AM8" si="2">AE5/AE3</f>
        <v>3.2</v>
      </c>
      <c r="AF8" s="181">
        <f t="shared" si="2"/>
        <v>4</v>
      </c>
      <c r="AG8" s="181">
        <f t="shared" si="2"/>
        <v>3.3333333333333335</v>
      </c>
      <c r="AH8" s="181">
        <f t="shared" si="2"/>
        <v>2</v>
      </c>
      <c r="AI8" s="181">
        <f t="shared" si="2"/>
        <v>1</v>
      </c>
      <c r="AJ8" s="181">
        <f t="shared" si="2"/>
        <v>1.4</v>
      </c>
      <c r="AK8" s="181">
        <f t="shared" si="2"/>
        <v>1.25</v>
      </c>
      <c r="AL8" s="181">
        <f t="shared" si="2"/>
        <v>0</v>
      </c>
      <c r="AM8" s="181" t="e">
        <f t="shared" si="2"/>
        <v>#DIV/0!</v>
      </c>
    </row>
    <row r="10" spans="1:43" x14ac:dyDescent="0.35">
      <c r="A10" s="182" t="s">
        <v>415</v>
      </c>
    </row>
    <row r="11" spans="1:43" x14ac:dyDescent="0.35">
      <c r="A11" s="182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417</v>
      </c>
      <c r="AE13" t="s">
        <v>8</v>
      </c>
      <c r="AF13" t="s">
        <v>416</v>
      </c>
      <c r="AG13" t="s">
        <v>418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7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7">
        <f>AE17/AF17</f>
        <v>6.7894736842105265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zoomScale="80" zoomScaleNormal="80" workbookViewId="0">
      <selection activeCell="C28" sqref="C28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1" bestFit="1" customWidth="1"/>
    <col min="4" max="4" width="16.54296875" style="191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340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7">
        <v>1</v>
      </c>
      <c r="B2" s="133" t="s">
        <v>51</v>
      </c>
      <c r="C2" s="134">
        <v>45694</v>
      </c>
      <c r="D2" s="134">
        <v>45694</v>
      </c>
      <c r="E2" s="141"/>
    </row>
    <row r="3" spans="1:9" x14ac:dyDescent="0.4">
      <c r="A3" s="137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7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7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7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7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7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7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7">
        <v>9</v>
      </c>
      <c r="B10" s="139" t="s">
        <v>327</v>
      </c>
      <c r="C10" s="138">
        <v>45754</v>
      </c>
      <c r="D10" s="134">
        <v>45793</v>
      </c>
      <c r="E10" s="139" t="s">
        <v>7</v>
      </c>
    </row>
    <row r="11" spans="1:9" x14ac:dyDescent="0.4">
      <c r="A11" s="137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7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7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7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5"/>
    </row>
    <row r="15" spans="1:9" x14ac:dyDescent="0.4">
      <c r="A15" s="137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5"/>
    </row>
    <row r="16" spans="1:9" x14ac:dyDescent="0.4">
      <c r="A16" s="144">
        <v>15</v>
      </c>
      <c r="B16" s="331" t="s">
        <v>331</v>
      </c>
      <c r="C16" s="332">
        <f>C15+28</f>
        <v>45801</v>
      </c>
      <c r="D16" s="332">
        <v>45837</v>
      </c>
      <c r="E16" s="305" t="s">
        <v>843</v>
      </c>
    </row>
    <row r="17" spans="1:5" x14ac:dyDescent="0.4">
      <c r="A17" s="132" t="s">
        <v>316</v>
      </c>
      <c r="B17" s="122" t="s">
        <v>341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7">
        <v>1</v>
      </c>
      <c r="B18" s="139" t="s">
        <v>398</v>
      </c>
      <c r="C18" s="138">
        <v>45760</v>
      </c>
      <c r="D18" s="134">
        <v>45752</v>
      </c>
      <c r="E18" s="316" t="s">
        <v>7</v>
      </c>
    </row>
    <row r="19" spans="1:5" s="131" customFormat="1" x14ac:dyDescent="0.4">
      <c r="A19" s="137">
        <f>+SUM(A18+1)</f>
        <v>2</v>
      </c>
      <c r="B19" s="139" t="s">
        <v>849</v>
      </c>
      <c r="C19" s="138">
        <v>45833</v>
      </c>
      <c r="D19" s="134">
        <v>45837</v>
      </c>
      <c r="E19" s="316" t="s">
        <v>7</v>
      </c>
    </row>
    <row r="20" spans="1:5" s="131" customFormat="1" ht="32" x14ac:dyDescent="0.4">
      <c r="A20" s="137">
        <f t="shared" ref="A20:A25" si="0">+SUM(A19+1)</f>
        <v>3</v>
      </c>
      <c r="B20" s="139" t="s">
        <v>332</v>
      </c>
      <c r="C20" s="138">
        <v>45783</v>
      </c>
      <c r="D20" s="134">
        <v>45838</v>
      </c>
      <c r="E20" s="316" t="s">
        <v>7</v>
      </c>
    </row>
    <row r="21" spans="1:5" s="131" customFormat="1" x14ac:dyDescent="0.4">
      <c r="A21" s="137">
        <f t="shared" si="0"/>
        <v>4</v>
      </c>
      <c r="B21" s="139" t="s">
        <v>333</v>
      </c>
      <c r="C21" s="138">
        <v>45767</v>
      </c>
      <c r="D21" s="134">
        <v>45767</v>
      </c>
      <c r="E21" s="316" t="s">
        <v>7</v>
      </c>
    </row>
    <row r="22" spans="1:5" s="131" customFormat="1" x14ac:dyDescent="0.4">
      <c r="A22" s="137">
        <f t="shared" si="0"/>
        <v>5</v>
      </c>
      <c r="B22" s="139" t="s">
        <v>334</v>
      </c>
      <c r="C22" s="138">
        <v>45767</v>
      </c>
      <c r="D22" s="134">
        <v>45752</v>
      </c>
      <c r="E22" s="316" t="s">
        <v>7</v>
      </c>
    </row>
    <row r="23" spans="1:5" s="131" customFormat="1" x14ac:dyDescent="0.4">
      <c r="A23" s="137">
        <f t="shared" si="0"/>
        <v>6</v>
      </c>
      <c r="B23" s="139" t="s">
        <v>335</v>
      </c>
      <c r="C23" s="138">
        <v>45762</v>
      </c>
      <c r="D23" s="134">
        <v>45740</v>
      </c>
      <c r="E23" s="316" t="s">
        <v>336</v>
      </c>
    </row>
    <row r="24" spans="1:5" s="131" customFormat="1" x14ac:dyDescent="0.4">
      <c r="A24" s="137">
        <f t="shared" si="0"/>
        <v>7</v>
      </c>
      <c r="B24" s="139" t="s">
        <v>337</v>
      </c>
      <c r="C24" s="138">
        <v>45774</v>
      </c>
      <c r="D24" s="134">
        <v>45844</v>
      </c>
      <c r="E24" s="316" t="s">
        <v>7</v>
      </c>
    </row>
    <row r="25" spans="1:5" s="131" customFormat="1" x14ac:dyDescent="0.4">
      <c r="A25" s="137">
        <f t="shared" si="0"/>
        <v>8</v>
      </c>
      <c r="B25" s="139" t="s">
        <v>338</v>
      </c>
      <c r="C25" s="138">
        <v>45774</v>
      </c>
      <c r="D25" s="134">
        <v>45838</v>
      </c>
      <c r="E25" s="316" t="s">
        <v>7</v>
      </c>
    </row>
    <row r="26" spans="1:5" s="131" customFormat="1" x14ac:dyDescent="0.4">
      <c r="A26" s="144">
        <f>+SUM(A25+1)</f>
        <v>9</v>
      </c>
      <c r="B26" s="145" t="s">
        <v>339</v>
      </c>
      <c r="C26" s="146">
        <v>45764</v>
      </c>
      <c r="D26" s="332">
        <v>45838</v>
      </c>
      <c r="E26" s="305" t="s">
        <v>843</v>
      </c>
    </row>
    <row r="27" spans="1:5" x14ac:dyDescent="0.4">
      <c r="A27" s="333" t="s">
        <v>316</v>
      </c>
      <c r="B27" s="334" t="s">
        <v>852</v>
      </c>
      <c r="C27" s="334" t="s">
        <v>317</v>
      </c>
      <c r="D27" s="334" t="s">
        <v>318</v>
      </c>
      <c r="E27" s="334" t="s">
        <v>319</v>
      </c>
    </row>
    <row r="28" spans="1:5" x14ac:dyDescent="0.4">
      <c r="A28" s="335">
        <v>1</v>
      </c>
      <c r="B28" s="336" t="s">
        <v>851</v>
      </c>
      <c r="C28" s="345"/>
      <c r="D28" s="344">
        <v>45836</v>
      </c>
      <c r="E28" s="337" t="s">
        <v>843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358" t="s">
        <v>94</v>
      </c>
      <c r="C1" s="359"/>
      <c r="D1" s="360"/>
      <c r="E1" s="22"/>
    </row>
    <row r="2" spans="1:351" s="23" customFormat="1" x14ac:dyDescent="0.35">
      <c r="A2" s="24" t="s">
        <v>64</v>
      </c>
      <c r="B2" s="361" t="s">
        <v>95</v>
      </c>
      <c r="C2" s="362"/>
      <c r="D2" s="363"/>
      <c r="E2" s="22"/>
    </row>
    <row r="3" spans="1:351" s="23" customFormat="1" ht="16.5" thickBot="1" x14ac:dyDescent="0.4">
      <c r="A3" s="25" t="s">
        <v>65</v>
      </c>
      <c r="B3" s="364">
        <f>'[1]Project Overview'!P1</f>
        <v>45702</v>
      </c>
      <c r="C3" s="365"/>
      <c r="D3" s="366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367" t="s">
        <v>66</v>
      </c>
      <c r="B5" s="367" t="s">
        <v>67</v>
      </c>
      <c r="C5" s="368" t="s">
        <v>68</v>
      </c>
      <c r="D5" s="367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367"/>
      <c r="B6" s="367"/>
      <c r="C6" s="369"/>
      <c r="D6" s="367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370"/>
      <c r="C8" s="370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371"/>
      <c r="C9" s="371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370"/>
      <c r="C10" s="370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371"/>
      <c r="C11" s="371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372"/>
      <c r="C13" s="372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372"/>
      <c r="C14" s="372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372"/>
      <c r="C15" s="372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372"/>
      <c r="C16" s="372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372"/>
      <c r="C17" s="372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372"/>
      <c r="C18" s="372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372"/>
      <c r="C19" s="372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372"/>
      <c r="C20" s="372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372"/>
      <c r="C21" s="372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372"/>
      <c r="C22" s="372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372"/>
      <c r="C23" s="372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372"/>
      <c r="C24" s="372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372"/>
      <c r="C25" s="372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372"/>
      <c r="C26" s="372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372"/>
      <c r="C27" s="372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372"/>
      <c r="C28" s="372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372"/>
      <c r="C29" s="372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372"/>
      <c r="C30" s="372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372"/>
      <c r="C31" s="372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372"/>
      <c r="C32" s="372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372"/>
      <c r="C33" s="372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373"/>
      <c r="C34" s="373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374"/>
      <c r="C35" s="374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374"/>
      <c r="C36" s="374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372"/>
      <c r="C37" s="372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372"/>
      <c r="C38" s="372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372"/>
      <c r="C39" s="372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373"/>
      <c r="C40" s="373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374"/>
      <c r="C41" s="374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374"/>
      <c r="C42" s="374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373"/>
      <c r="C43" s="372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374"/>
      <c r="C44" s="372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374"/>
      <c r="C45" s="372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373"/>
      <c r="C46" s="373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374"/>
      <c r="C47" s="374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375"/>
      <c r="C48" s="375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x14ac:dyDescent="0.4">
      <c r="A49" s="30">
        <v>43</v>
      </c>
      <c r="B49" s="374"/>
      <c r="C49" s="374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374"/>
      <c r="C50" s="374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374"/>
      <c r="C51" s="374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373"/>
      <c r="C52" s="373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374"/>
      <c r="C53" s="374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374"/>
      <c r="C54" s="375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373"/>
      <c r="C55" s="373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374"/>
      <c r="C56" s="374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374"/>
      <c r="C57" s="374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374"/>
      <c r="C58" s="374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374"/>
      <c r="C59" s="374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375"/>
      <c r="C60" s="375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373"/>
      <c r="C61" s="373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374"/>
      <c r="C62" s="374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374"/>
      <c r="C63" s="374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374"/>
      <c r="C64" s="374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374"/>
      <c r="C65" s="374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375"/>
      <c r="C66" s="375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373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374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374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374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374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375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373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374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374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374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374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375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373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374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374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374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374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375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373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374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374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374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374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375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373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374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374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374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374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375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373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374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374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374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374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375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373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374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374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374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374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375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373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374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374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374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374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375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373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374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374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374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374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375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373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374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374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374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374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375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373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374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374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375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372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372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372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372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372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372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372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372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372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376" t="s">
        <v>94</v>
      </c>
      <c r="C1" s="377"/>
      <c r="D1" s="378"/>
      <c r="E1" s="22"/>
    </row>
    <row r="2" spans="1:326" s="23" customFormat="1" x14ac:dyDescent="0.35">
      <c r="A2" s="71" t="s">
        <v>64</v>
      </c>
      <c r="B2" s="379" t="s">
        <v>95</v>
      </c>
      <c r="C2" s="380"/>
      <c r="D2" s="381"/>
      <c r="E2" s="22"/>
    </row>
    <row r="3" spans="1:326" s="23" customFormat="1" ht="20.149999999999999" customHeight="1" thickBot="1" x14ac:dyDescent="0.4">
      <c r="A3" s="73" t="s">
        <v>65</v>
      </c>
      <c r="B3" s="382">
        <v>45703</v>
      </c>
      <c r="C3" s="383"/>
      <c r="D3" s="384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385" t="s">
        <v>66</v>
      </c>
      <c r="B5" s="385" t="s">
        <v>67</v>
      </c>
      <c r="C5" s="385" t="s">
        <v>68</v>
      </c>
      <c r="D5" s="385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1">
        <f t="shared" si="1"/>
        <v>45754</v>
      </c>
      <c r="BG5" s="161">
        <f t="shared" si="1"/>
        <v>45755</v>
      </c>
      <c r="BH5" s="161">
        <f t="shared" si="1"/>
        <v>45756</v>
      </c>
      <c r="BI5" s="161">
        <f t="shared" si="1"/>
        <v>45757</v>
      </c>
      <c r="BJ5" s="161">
        <f t="shared" si="1"/>
        <v>45758</v>
      </c>
      <c r="BK5" s="161">
        <f t="shared" si="1"/>
        <v>45759</v>
      </c>
      <c r="BL5" s="161">
        <f t="shared" si="1"/>
        <v>45760</v>
      </c>
      <c r="BM5" s="161">
        <f t="shared" si="1"/>
        <v>45761</v>
      </c>
      <c r="BN5" s="161">
        <f t="shared" si="1"/>
        <v>45762</v>
      </c>
      <c r="BO5" s="161">
        <f t="shared" si="1"/>
        <v>45763</v>
      </c>
      <c r="BP5" s="161">
        <f t="shared" si="1"/>
        <v>45764</v>
      </c>
      <c r="BQ5" s="161">
        <f t="shared" si="1"/>
        <v>45765</v>
      </c>
      <c r="BR5" s="161">
        <f t="shared" si="1"/>
        <v>45766</v>
      </c>
      <c r="BS5" s="161">
        <f t="shared" si="1"/>
        <v>45767</v>
      </c>
      <c r="BT5" s="161">
        <f t="shared" si="1"/>
        <v>45768</v>
      </c>
      <c r="BU5" s="161">
        <f t="shared" si="1"/>
        <v>45769</v>
      </c>
      <c r="BV5" s="161">
        <f t="shared" si="1"/>
        <v>45770</v>
      </c>
      <c r="BW5" s="161">
        <f t="shared" si="1"/>
        <v>45771</v>
      </c>
      <c r="BX5" s="161">
        <f t="shared" si="1"/>
        <v>45772</v>
      </c>
      <c r="BY5" s="161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385"/>
      <c r="B6" s="385"/>
      <c r="C6" s="385"/>
      <c r="D6" s="385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388" t="s">
        <v>402</v>
      </c>
      <c r="C7" s="388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388"/>
      <c r="C8" s="388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388"/>
      <c r="C9" s="388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388"/>
      <c r="C10" s="388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386" t="s">
        <v>274</v>
      </c>
      <c r="C11" s="389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386"/>
      <c r="C12" s="389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386"/>
      <c r="C13" s="389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386"/>
      <c r="C14" s="389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386"/>
      <c r="C15" s="389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386" t="s">
        <v>280</v>
      </c>
      <c r="C16" s="387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386"/>
      <c r="C17" s="387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386" t="s">
        <v>282</v>
      </c>
      <c r="C18" s="389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386"/>
      <c r="C19" s="389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386"/>
      <c r="C20" s="389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386"/>
      <c r="C21" s="389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386"/>
      <c r="C22" s="389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386" t="s">
        <v>286</v>
      </c>
      <c r="C23" s="389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386"/>
      <c r="C24" s="389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386"/>
      <c r="C25" s="389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386"/>
      <c r="C26" s="389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386"/>
      <c r="C27" s="389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390" t="s">
        <v>288</v>
      </c>
      <c r="C28" s="391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390"/>
      <c r="C29" s="391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390"/>
      <c r="C30" s="391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390"/>
      <c r="C31" s="391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390"/>
      <c r="C32" s="391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390"/>
      <c r="C33" s="391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390" t="s">
        <v>292</v>
      </c>
      <c r="C34" s="391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390"/>
      <c r="C35" s="391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390"/>
      <c r="C36" s="391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390"/>
      <c r="C37" s="391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390" t="s">
        <v>294</v>
      </c>
      <c r="C38" s="391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390"/>
      <c r="C39" s="391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390"/>
      <c r="C40" s="391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390"/>
      <c r="C41" s="391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390"/>
      <c r="C42" s="391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390" t="s">
        <v>86</v>
      </c>
      <c r="C43" s="391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390"/>
      <c r="C44" s="391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390"/>
      <c r="C45" s="391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390"/>
      <c r="C46" s="391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390"/>
      <c r="C47" s="391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2"/>
  <sheetViews>
    <sheetView topLeftCell="A7" zoomScale="80" zoomScaleNormal="80" workbookViewId="0">
      <selection activeCell="E14" sqref="E14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11.08984375" style="123" bestFit="1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4">
      <c r="A1" s="132" t="s">
        <v>316</v>
      </c>
      <c r="B1" s="132" t="s">
        <v>389</v>
      </c>
      <c r="C1" s="122" t="s">
        <v>342</v>
      </c>
      <c r="D1" s="132" t="s">
        <v>317</v>
      </c>
      <c r="E1" s="132" t="s">
        <v>318</v>
      </c>
      <c r="F1" s="132" t="s">
        <v>301</v>
      </c>
    </row>
    <row r="2" spans="1:6" x14ac:dyDescent="0.4">
      <c r="A2" s="127"/>
      <c r="B2" s="136"/>
      <c r="C2" s="319"/>
      <c r="D2" s="127"/>
      <c r="E2" s="127"/>
      <c r="F2" s="127"/>
    </row>
    <row r="3" spans="1:6" x14ac:dyDescent="0.4">
      <c r="A3" s="135">
        <v>1</v>
      </c>
      <c r="B3" s="133" t="s">
        <v>343</v>
      </c>
      <c r="C3" s="135" t="s">
        <v>400</v>
      </c>
      <c r="D3" s="134">
        <v>45757</v>
      </c>
      <c r="E3" s="138">
        <v>45759</v>
      </c>
      <c r="F3" s="137" t="s">
        <v>7</v>
      </c>
    </row>
    <row r="4" spans="1:6" x14ac:dyDescent="0.4">
      <c r="A4" s="135">
        <v>2</v>
      </c>
      <c r="B4" s="133" t="s">
        <v>344</v>
      </c>
      <c r="C4" s="135" t="s">
        <v>364</v>
      </c>
      <c r="D4" s="134">
        <v>45757</v>
      </c>
      <c r="E4" s="138">
        <v>45747</v>
      </c>
      <c r="F4" s="137" t="s">
        <v>7</v>
      </c>
    </row>
    <row r="5" spans="1:6" x14ac:dyDescent="0.4">
      <c r="A5" s="124">
        <v>3</v>
      </c>
      <c r="B5" s="317" t="s">
        <v>345</v>
      </c>
      <c r="C5" s="320"/>
      <c r="D5" s="318">
        <v>45780</v>
      </c>
      <c r="E5" s="126">
        <v>45838</v>
      </c>
      <c r="F5" s="127"/>
    </row>
    <row r="6" spans="1:6" x14ac:dyDescent="0.4">
      <c r="A6" s="135">
        <v>4</v>
      </c>
      <c r="B6" s="133" t="s">
        <v>346</v>
      </c>
      <c r="C6" s="135" t="s">
        <v>425</v>
      </c>
      <c r="D6" s="134">
        <v>45768</v>
      </c>
      <c r="E6" s="134">
        <v>45797</v>
      </c>
      <c r="F6" s="137" t="s">
        <v>7</v>
      </c>
    </row>
    <row r="7" spans="1:6" x14ac:dyDescent="0.4">
      <c r="A7" s="135">
        <v>5</v>
      </c>
      <c r="B7" s="133" t="s">
        <v>347</v>
      </c>
      <c r="C7" s="135" t="s">
        <v>425</v>
      </c>
      <c r="D7" s="134">
        <v>45768</v>
      </c>
      <c r="E7" s="134">
        <v>45797</v>
      </c>
      <c r="F7" s="137" t="s">
        <v>7</v>
      </c>
    </row>
    <row r="8" spans="1:6" x14ac:dyDescent="0.4">
      <c r="A8" s="124">
        <v>6</v>
      </c>
      <c r="B8" s="125" t="s">
        <v>348</v>
      </c>
      <c r="C8" s="320"/>
      <c r="D8" s="126">
        <v>45784</v>
      </c>
      <c r="E8" s="126">
        <v>45835</v>
      </c>
      <c r="F8" s="127"/>
    </row>
    <row r="9" spans="1:6" x14ac:dyDescent="0.4">
      <c r="A9" s="124">
        <v>7</v>
      </c>
      <c r="B9" s="125" t="s">
        <v>349</v>
      </c>
      <c r="C9" s="320"/>
      <c r="D9" s="126">
        <v>45784</v>
      </c>
      <c r="E9" s="126">
        <v>45835</v>
      </c>
      <c r="F9" s="127"/>
    </row>
    <row r="10" spans="1:6" s="131" customFormat="1" x14ac:dyDescent="0.4">
      <c r="A10" s="137">
        <v>8</v>
      </c>
      <c r="B10" s="139" t="s">
        <v>350</v>
      </c>
      <c r="C10" s="135" t="s">
        <v>351</v>
      </c>
      <c r="D10" s="138">
        <v>45760</v>
      </c>
      <c r="E10" s="138">
        <v>45747</v>
      </c>
      <c r="F10" s="137" t="s">
        <v>7</v>
      </c>
    </row>
    <row r="11" spans="1:6" ht="32" x14ac:dyDescent="0.4">
      <c r="A11" s="135">
        <v>9</v>
      </c>
      <c r="B11" s="133" t="s">
        <v>352</v>
      </c>
      <c r="C11" s="135" t="s">
        <v>850</v>
      </c>
      <c r="D11" s="134">
        <v>45757</v>
      </c>
      <c r="E11" s="134">
        <v>45838</v>
      </c>
      <c r="F11" s="137" t="s">
        <v>7</v>
      </c>
    </row>
    <row r="12" spans="1:6" x14ac:dyDescent="0.4">
      <c r="A12" s="124">
        <v>10</v>
      </c>
      <c r="B12" s="125" t="s">
        <v>353</v>
      </c>
      <c r="C12" s="319"/>
      <c r="D12" s="126">
        <v>45783</v>
      </c>
      <c r="E12" s="126">
        <v>45845</v>
      </c>
      <c r="F12" s="127"/>
    </row>
    <row r="13" spans="1:6" x14ac:dyDescent="0.4">
      <c r="A13" s="124">
        <v>11</v>
      </c>
      <c r="B13" s="125" t="s">
        <v>354</v>
      </c>
      <c r="C13" s="319"/>
      <c r="D13" s="126">
        <v>45768</v>
      </c>
      <c r="E13" s="126">
        <v>45845</v>
      </c>
      <c r="F13" s="127"/>
    </row>
    <row r="14" spans="1:6" x14ac:dyDescent="0.4">
      <c r="A14" s="124">
        <v>12</v>
      </c>
      <c r="B14" s="125" t="s">
        <v>355</v>
      </c>
      <c r="C14" s="319"/>
      <c r="D14" s="126">
        <v>45768</v>
      </c>
      <c r="E14" s="126">
        <v>45845</v>
      </c>
      <c r="F14" s="127"/>
    </row>
    <row r="15" spans="1:6" x14ac:dyDescent="0.4">
      <c r="A15" s="124">
        <v>13</v>
      </c>
      <c r="B15" s="125" t="s">
        <v>356</v>
      </c>
      <c r="C15" s="319"/>
      <c r="D15" s="126">
        <v>45783</v>
      </c>
      <c r="E15" s="126">
        <v>45845</v>
      </c>
      <c r="F15" s="127"/>
    </row>
    <row r="16" spans="1:6" x14ac:dyDescent="0.4">
      <c r="A16" s="124">
        <v>14</v>
      </c>
      <c r="B16" s="125" t="s">
        <v>357</v>
      </c>
      <c r="C16" s="319"/>
      <c r="D16" s="126">
        <v>45783</v>
      </c>
      <c r="E16" s="126">
        <v>45845</v>
      </c>
      <c r="F16" s="127"/>
    </row>
    <row r="17" spans="1:6" x14ac:dyDescent="0.4">
      <c r="A17" s="124">
        <v>15</v>
      </c>
      <c r="B17" s="125" t="s">
        <v>358</v>
      </c>
      <c r="C17" s="319"/>
      <c r="D17" s="126">
        <v>45783</v>
      </c>
      <c r="E17" s="126">
        <v>45845</v>
      </c>
      <c r="F17" s="127"/>
    </row>
    <row r="18" spans="1:6" x14ac:dyDescent="0.4">
      <c r="A18" s="135">
        <v>16</v>
      </c>
      <c r="B18" s="133" t="s">
        <v>359</v>
      </c>
      <c r="C18" s="135" t="s">
        <v>846</v>
      </c>
      <c r="D18" s="134">
        <v>45768</v>
      </c>
      <c r="E18" s="134">
        <v>45815</v>
      </c>
      <c r="F18" s="137" t="s">
        <v>7</v>
      </c>
    </row>
    <row r="19" spans="1:6" x14ac:dyDescent="0.4">
      <c r="A19" s="124">
        <v>17</v>
      </c>
      <c r="B19" s="125" t="s">
        <v>360</v>
      </c>
      <c r="C19" s="319"/>
      <c r="D19" s="126">
        <v>45783</v>
      </c>
      <c r="E19" s="126">
        <v>45835</v>
      </c>
      <c r="F19" s="127"/>
    </row>
    <row r="20" spans="1:6" x14ac:dyDescent="0.4">
      <c r="A20" s="124">
        <v>18</v>
      </c>
      <c r="B20" s="125" t="s">
        <v>361</v>
      </c>
      <c r="C20" s="319"/>
      <c r="D20" s="126">
        <v>45784</v>
      </c>
      <c r="E20" s="126">
        <v>45853</v>
      </c>
      <c r="F20" s="127"/>
    </row>
    <row r="21" spans="1:6" s="131" customFormat="1" x14ac:dyDescent="0.35">
      <c r="A21" s="128">
        <v>19</v>
      </c>
      <c r="B21" s="129" t="s">
        <v>362</v>
      </c>
      <c r="C21" s="319"/>
      <c r="D21" s="130">
        <v>45803</v>
      </c>
      <c r="E21" s="130">
        <v>45853</v>
      </c>
      <c r="F21" s="127"/>
    </row>
    <row r="22" spans="1:6" s="131" customFormat="1" ht="32" x14ac:dyDescent="0.35">
      <c r="A22" s="128">
        <v>20</v>
      </c>
      <c r="B22" s="129" t="s">
        <v>363</v>
      </c>
      <c r="C22" s="319"/>
      <c r="D22" s="130">
        <v>45839</v>
      </c>
      <c r="E22" s="130">
        <v>45839</v>
      </c>
      <c r="F22" s="1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0309-E0A1-45CB-B8E1-CFD6ED940FF0}">
  <dimension ref="A1:X220"/>
  <sheetViews>
    <sheetView zoomScale="90" zoomScaleNormal="90" workbookViewId="0">
      <pane xSplit="7" ySplit="2" topLeftCell="T20" activePane="bottomRight" state="frozen"/>
      <selection pane="topRight" activeCell="H1" sqref="H1"/>
      <selection pane="bottomLeft" activeCell="A3" sqref="A3"/>
      <selection pane="bottomRight" activeCell="G44" sqref="G44:G47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1.1796875" style="290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394" t="s">
        <v>446</v>
      </c>
      <c r="B1" s="394"/>
      <c r="C1" s="394"/>
      <c r="D1" s="394"/>
      <c r="E1" s="394"/>
      <c r="F1" s="394"/>
      <c r="G1" s="394"/>
      <c r="H1" s="212"/>
      <c r="I1" s="213"/>
      <c r="J1" s="214"/>
      <c r="K1" s="215"/>
      <c r="L1" s="306" t="s">
        <v>848</v>
      </c>
      <c r="M1" s="307">
        <v>45830</v>
      </c>
      <c r="N1" s="216"/>
      <c r="O1" s="216">
        <f ca="1">TODAY()</f>
        <v>45853</v>
      </c>
      <c r="P1" s="215"/>
      <c r="Q1" s="215"/>
      <c r="R1" s="215"/>
      <c r="S1" s="215"/>
      <c r="T1" s="215"/>
      <c r="U1" s="217">
        <f ca="1">TODAY()</f>
        <v>45853</v>
      </c>
    </row>
    <row r="2" spans="1:24" ht="64.5" customHeight="1" x14ac:dyDescent="0.3">
      <c r="A2" s="219" t="s">
        <v>447</v>
      </c>
      <c r="B2" s="219" t="s">
        <v>448</v>
      </c>
      <c r="C2" s="219" t="s">
        <v>448</v>
      </c>
      <c r="D2" s="219" t="s">
        <v>449</v>
      </c>
      <c r="E2" s="220" t="s">
        <v>450</v>
      </c>
      <c r="F2" s="220" t="s">
        <v>451</v>
      </c>
      <c r="G2" s="220" t="s">
        <v>452</v>
      </c>
      <c r="H2" s="220" t="s">
        <v>841</v>
      </c>
      <c r="I2" s="220" t="s">
        <v>453</v>
      </c>
      <c r="J2" s="220" t="s">
        <v>454</v>
      </c>
      <c r="K2" s="220" t="s">
        <v>455</v>
      </c>
      <c r="L2" s="220" t="s">
        <v>456</v>
      </c>
      <c r="M2" s="220" t="s">
        <v>457</v>
      </c>
      <c r="N2" s="220" t="s">
        <v>458</v>
      </c>
      <c r="O2" s="220" t="s">
        <v>459</v>
      </c>
      <c r="P2" s="220" t="s">
        <v>460</v>
      </c>
      <c r="Q2" s="220" t="s">
        <v>461</v>
      </c>
      <c r="R2" s="220" t="s">
        <v>462</v>
      </c>
      <c r="S2" s="220" t="s">
        <v>463</v>
      </c>
      <c r="T2" s="220" t="s">
        <v>319</v>
      </c>
      <c r="U2" s="220" t="s">
        <v>464</v>
      </c>
    </row>
    <row r="3" spans="1:24" x14ac:dyDescent="0.3">
      <c r="A3" s="395">
        <v>1</v>
      </c>
      <c r="B3" s="395" t="s">
        <v>465</v>
      </c>
      <c r="C3" s="396" t="s">
        <v>466</v>
      </c>
      <c r="D3" s="397" t="s">
        <v>467</v>
      </c>
      <c r="E3" s="393" t="s">
        <v>468</v>
      </c>
      <c r="F3" s="393" t="s">
        <v>469</v>
      </c>
      <c r="G3" s="392">
        <v>45698</v>
      </c>
      <c r="H3" s="392">
        <v>45698</v>
      </c>
      <c r="I3" s="226"/>
      <c r="J3" s="227"/>
      <c r="K3" s="224" t="s">
        <v>470</v>
      </c>
      <c r="L3" s="225">
        <v>45698</v>
      </c>
      <c r="M3" s="225"/>
      <c r="N3" s="224"/>
      <c r="O3" s="224"/>
      <c r="P3" s="224"/>
      <c r="Q3" s="393"/>
      <c r="R3" s="393" t="s">
        <v>399</v>
      </c>
      <c r="S3" s="393" t="s">
        <v>471</v>
      </c>
      <c r="T3" s="393" t="s">
        <v>399</v>
      </c>
      <c r="U3" s="393"/>
    </row>
    <row r="4" spans="1:24" x14ac:dyDescent="0.3">
      <c r="A4" s="395"/>
      <c r="B4" s="395"/>
      <c r="C4" s="396"/>
      <c r="D4" s="397"/>
      <c r="E4" s="393"/>
      <c r="F4" s="393"/>
      <c r="G4" s="392"/>
      <c r="H4" s="392"/>
      <c r="I4" s="226"/>
      <c r="J4" s="227"/>
      <c r="K4" s="224" t="s">
        <v>472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393"/>
      <c r="R4" s="393"/>
      <c r="S4" s="393"/>
      <c r="T4" s="393"/>
      <c r="U4" s="393"/>
      <c r="X4" s="228" t="s">
        <v>473</v>
      </c>
    </row>
    <row r="5" spans="1:24" x14ac:dyDescent="0.3">
      <c r="A5" s="395"/>
      <c r="B5" s="395"/>
      <c r="C5" s="396"/>
      <c r="D5" s="397"/>
      <c r="E5" s="393"/>
      <c r="F5" s="393"/>
      <c r="G5" s="392"/>
      <c r="H5" s="392"/>
      <c r="I5" s="226"/>
      <c r="J5" s="227"/>
      <c r="K5" s="224" t="s">
        <v>474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393"/>
      <c r="R5" s="393"/>
      <c r="S5" s="393"/>
      <c r="T5" s="393"/>
      <c r="U5" s="393"/>
      <c r="X5" s="229" t="s">
        <v>399</v>
      </c>
    </row>
    <row r="6" spans="1:24" x14ac:dyDescent="0.3">
      <c r="A6" s="395"/>
      <c r="B6" s="395"/>
      <c r="C6" s="396"/>
      <c r="D6" s="397"/>
      <c r="E6" s="393"/>
      <c r="F6" s="393"/>
      <c r="G6" s="392"/>
      <c r="H6" s="392"/>
      <c r="I6" s="226"/>
      <c r="J6" s="227"/>
      <c r="K6" s="224" t="s">
        <v>475</v>
      </c>
      <c r="L6" s="225">
        <v>45707</v>
      </c>
      <c r="M6" s="225"/>
      <c r="N6" s="224"/>
      <c r="O6" s="224"/>
      <c r="P6" s="224"/>
      <c r="Q6" s="393"/>
      <c r="R6" s="393"/>
      <c r="S6" s="393"/>
      <c r="T6" s="393"/>
      <c r="U6" s="393"/>
      <c r="X6" s="229" t="s">
        <v>476</v>
      </c>
    </row>
    <row r="7" spans="1:24" x14ac:dyDescent="0.3">
      <c r="A7" s="395">
        <v>2</v>
      </c>
      <c r="B7" s="395" t="s">
        <v>465</v>
      </c>
      <c r="C7" s="396" t="s">
        <v>466</v>
      </c>
      <c r="D7" s="397" t="s">
        <v>477</v>
      </c>
      <c r="E7" s="393" t="s">
        <v>478</v>
      </c>
      <c r="F7" s="393" t="s">
        <v>479</v>
      </c>
      <c r="G7" s="392">
        <v>45740</v>
      </c>
      <c r="H7" s="392">
        <v>45740</v>
      </c>
      <c r="I7" s="226"/>
      <c r="J7" s="227"/>
      <c r="K7" s="224" t="s">
        <v>470</v>
      </c>
      <c r="L7" s="225">
        <v>45740</v>
      </c>
      <c r="M7" s="225">
        <v>45743</v>
      </c>
      <c r="N7" s="224" t="s">
        <v>480</v>
      </c>
      <c r="O7" s="224">
        <f>M7-L7</f>
        <v>3</v>
      </c>
      <c r="P7" s="224">
        <f>L8-M7</f>
        <v>6</v>
      </c>
      <c r="Q7" s="410">
        <f>M8</f>
        <v>45755</v>
      </c>
      <c r="R7" s="393" t="str">
        <f>T7</f>
        <v>Approved</v>
      </c>
      <c r="S7" s="393" t="str">
        <f>N8</f>
        <v>CAT -IV</v>
      </c>
      <c r="T7" s="393" t="s">
        <v>399</v>
      </c>
      <c r="U7" s="393">
        <f>M8-L8</f>
        <v>6</v>
      </c>
      <c r="X7" s="229" t="s">
        <v>481</v>
      </c>
    </row>
    <row r="8" spans="1:24" x14ac:dyDescent="0.3">
      <c r="A8" s="395"/>
      <c r="B8" s="395"/>
      <c r="C8" s="396"/>
      <c r="D8" s="397"/>
      <c r="E8" s="393"/>
      <c r="F8" s="393"/>
      <c r="G8" s="392"/>
      <c r="H8" s="392"/>
      <c r="I8" s="226"/>
      <c r="J8" s="227"/>
      <c r="K8" s="224" t="s">
        <v>472</v>
      </c>
      <c r="L8" s="225">
        <v>45749</v>
      </c>
      <c r="M8" s="225">
        <v>45755</v>
      </c>
      <c r="N8" s="224" t="s">
        <v>482</v>
      </c>
      <c r="O8" s="224">
        <f>M8-L8</f>
        <v>6</v>
      </c>
      <c r="P8" s="224"/>
      <c r="Q8" s="410"/>
      <c r="R8" s="393"/>
      <c r="S8" s="393"/>
      <c r="T8" s="393"/>
      <c r="U8" s="393"/>
    </row>
    <row r="9" spans="1:24" s="299" customFormat="1" ht="28" x14ac:dyDescent="0.3">
      <c r="A9" s="221">
        <v>3</v>
      </c>
      <c r="B9" s="221" t="s">
        <v>465</v>
      </c>
      <c r="C9" s="222" t="s">
        <v>466</v>
      </c>
      <c r="D9" s="223" t="s">
        <v>483</v>
      </c>
      <c r="E9" s="224" t="s">
        <v>484</v>
      </c>
      <c r="F9" s="224" t="s">
        <v>469</v>
      </c>
      <c r="G9" s="225"/>
      <c r="H9" s="225"/>
      <c r="I9" s="226"/>
      <c r="J9" s="227"/>
      <c r="K9" s="224" t="s">
        <v>470</v>
      </c>
      <c r="L9" s="225"/>
      <c r="M9" s="225"/>
      <c r="N9" s="224"/>
      <c r="O9" s="224"/>
      <c r="P9" s="224"/>
      <c r="Q9" s="224"/>
      <c r="R9" s="224"/>
      <c r="S9" s="224" t="s">
        <v>485</v>
      </c>
      <c r="T9" s="224" t="s">
        <v>399</v>
      </c>
      <c r="U9" s="224"/>
    </row>
    <row r="10" spans="1:24" ht="42" customHeight="1" x14ac:dyDescent="0.3">
      <c r="A10" s="398">
        <v>4</v>
      </c>
      <c r="B10" s="221" t="s">
        <v>465</v>
      </c>
      <c r="C10" s="400" t="s">
        <v>466</v>
      </c>
      <c r="D10" s="402" t="s">
        <v>486</v>
      </c>
      <c r="E10" s="404" t="s">
        <v>487</v>
      </c>
      <c r="F10" s="404" t="s">
        <v>479</v>
      </c>
      <c r="G10" s="406">
        <v>45768</v>
      </c>
      <c r="H10" s="406">
        <v>45768</v>
      </c>
      <c r="I10" s="226"/>
      <c r="J10" s="227"/>
      <c r="K10" s="224" t="s">
        <v>470</v>
      </c>
      <c r="L10" s="225">
        <v>45768</v>
      </c>
      <c r="M10" s="225">
        <v>45776</v>
      </c>
      <c r="N10" s="224" t="s">
        <v>480</v>
      </c>
      <c r="O10" s="224">
        <f>M10-L10</f>
        <v>8</v>
      </c>
      <c r="P10" s="224"/>
      <c r="Q10" s="408">
        <f>M10</f>
        <v>45776</v>
      </c>
      <c r="R10" s="404" t="s">
        <v>399</v>
      </c>
      <c r="S10" s="404" t="str">
        <f>N10</f>
        <v>CAT -IV R</v>
      </c>
      <c r="T10" s="404" t="s">
        <v>399</v>
      </c>
      <c r="U10" s="404"/>
    </row>
    <row r="11" spans="1:24" x14ac:dyDescent="0.3">
      <c r="A11" s="399"/>
      <c r="B11" s="221"/>
      <c r="C11" s="401"/>
      <c r="D11" s="403"/>
      <c r="E11" s="405"/>
      <c r="F11" s="405"/>
      <c r="G11" s="407"/>
      <c r="H11" s="407"/>
      <c r="I11" s="226"/>
      <c r="J11" s="227"/>
      <c r="K11" s="224" t="s">
        <v>472</v>
      </c>
      <c r="L11" s="225">
        <v>45827</v>
      </c>
      <c r="M11" s="225"/>
      <c r="N11" s="224"/>
      <c r="O11" s="224"/>
      <c r="P11" s="224"/>
      <c r="Q11" s="409"/>
      <c r="R11" s="405"/>
      <c r="S11" s="405"/>
      <c r="T11" s="405"/>
      <c r="U11" s="405"/>
    </row>
    <row r="12" spans="1:24" ht="28" x14ac:dyDescent="0.3">
      <c r="A12" s="237">
        <v>5</v>
      </c>
      <c r="B12" s="238" t="s">
        <v>465</v>
      </c>
      <c r="C12" s="239" t="s">
        <v>466</v>
      </c>
      <c r="D12" s="240" t="s">
        <v>488</v>
      </c>
      <c r="E12" s="215" t="s">
        <v>489</v>
      </c>
      <c r="F12" s="213" t="s">
        <v>479</v>
      </c>
      <c r="G12" s="234">
        <v>45814</v>
      </c>
      <c r="H12" s="234">
        <v>45820</v>
      </c>
      <c r="I12" s="235"/>
      <c r="J12" s="241"/>
      <c r="K12" s="215"/>
      <c r="L12" s="242"/>
      <c r="M12" s="242"/>
      <c r="N12" s="215"/>
      <c r="O12" s="215"/>
      <c r="P12" s="215"/>
      <c r="Q12" s="215"/>
      <c r="R12" s="215" t="s">
        <v>495</v>
      </c>
      <c r="S12" s="215"/>
      <c r="T12" s="215" t="s">
        <v>473</v>
      </c>
      <c r="U12" s="215"/>
    </row>
    <row r="13" spans="1:24" x14ac:dyDescent="0.3">
      <c r="A13" s="221">
        <v>6</v>
      </c>
      <c r="B13" s="221" t="s">
        <v>465</v>
      </c>
      <c r="C13" s="222" t="s">
        <v>466</v>
      </c>
      <c r="D13" s="223" t="s">
        <v>490</v>
      </c>
      <c r="E13" s="224" t="s">
        <v>491</v>
      </c>
      <c r="F13" s="224" t="s">
        <v>479</v>
      </c>
      <c r="G13" s="225">
        <v>45814</v>
      </c>
      <c r="H13" s="225">
        <v>45815</v>
      </c>
      <c r="I13" s="226"/>
      <c r="J13" s="227"/>
      <c r="K13" s="224" t="s">
        <v>470</v>
      </c>
      <c r="L13" s="225">
        <v>45815</v>
      </c>
      <c r="M13" s="225">
        <v>45828</v>
      </c>
      <c r="N13" s="224" t="s">
        <v>480</v>
      </c>
      <c r="O13" s="224"/>
      <c r="P13" s="224"/>
      <c r="Q13" s="224"/>
      <c r="R13" s="224" t="s">
        <v>502</v>
      </c>
      <c r="S13" s="224" t="str">
        <f>N13</f>
        <v>CAT -IV R</v>
      </c>
      <c r="T13" s="224" t="s">
        <v>399</v>
      </c>
      <c r="U13" s="224">
        <f ca="1">U1-L13</f>
        <v>38</v>
      </c>
    </row>
    <row r="14" spans="1:24" x14ac:dyDescent="0.3">
      <c r="A14" s="395">
        <v>7</v>
      </c>
      <c r="B14" s="395" t="s">
        <v>465</v>
      </c>
      <c r="C14" s="396" t="s">
        <v>466</v>
      </c>
      <c r="D14" s="397" t="s">
        <v>492</v>
      </c>
      <c r="E14" s="393" t="s">
        <v>493</v>
      </c>
      <c r="F14" s="393" t="s">
        <v>469</v>
      </c>
      <c r="G14" s="392">
        <v>45742</v>
      </c>
      <c r="H14" s="392">
        <v>45742</v>
      </c>
      <c r="I14" s="226"/>
      <c r="J14" s="227"/>
      <c r="K14" s="224" t="s">
        <v>470</v>
      </c>
      <c r="L14" s="225">
        <v>45742</v>
      </c>
      <c r="M14" s="225">
        <v>45751</v>
      </c>
      <c r="N14" s="224" t="s">
        <v>494</v>
      </c>
      <c r="O14" s="224">
        <f>M14-L14</f>
        <v>9</v>
      </c>
      <c r="P14" s="224">
        <f>L15-M14</f>
        <v>0</v>
      </c>
      <c r="Q14" s="224"/>
      <c r="R14" s="393" t="s">
        <v>495</v>
      </c>
      <c r="S14" s="393" t="str">
        <f>N14</f>
        <v>CAT - II</v>
      </c>
      <c r="T14" s="393" t="s">
        <v>399</v>
      </c>
      <c r="U14" s="393">
        <f ca="1">U1-L15</f>
        <v>102</v>
      </c>
    </row>
    <row r="15" spans="1:24" x14ac:dyDescent="0.3">
      <c r="A15" s="395"/>
      <c r="B15" s="395"/>
      <c r="C15" s="396"/>
      <c r="D15" s="397"/>
      <c r="E15" s="393"/>
      <c r="F15" s="393"/>
      <c r="G15" s="392"/>
      <c r="H15" s="392"/>
      <c r="I15" s="226"/>
      <c r="J15" s="227"/>
      <c r="K15" s="224" t="s">
        <v>472</v>
      </c>
      <c r="L15" s="225">
        <v>45751</v>
      </c>
      <c r="M15" s="225"/>
      <c r="N15" s="224"/>
      <c r="O15" s="224">
        <f ca="1">O1-L15</f>
        <v>102</v>
      </c>
      <c r="P15" s="224"/>
      <c r="Q15" s="224"/>
      <c r="R15" s="393"/>
      <c r="S15" s="393"/>
      <c r="T15" s="393"/>
      <c r="U15" s="393"/>
    </row>
    <row r="16" spans="1:24" x14ac:dyDescent="0.3">
      <c r="A16" s="237">
        <v>8</v>
      </c>
      <c r="B16" s="238" t="s">
        <v>465</v>
      </c>
      <c r="C16" s="239" t="s">
        <v>466</v>
      </c>
      <c r="D16" s="240" t="s">
        <v>496</v>
      </c>
      <c r="E16" s="215" t="s">
        <v>497</v>
      </c>
      <c r="F16" s="215" t="s">
        <v>479</v>
      </c>
      <c r="G16" s="242">
        <v>45771</v>
      </c>
      <c r="H16" s="242">
        <v>45771</v>
      </c>
      <c r="I16" s="243"/>
      <c r="J16" s="241"/>
      <c r="K16" s="215" t="s">
        <v>470</v>
      </c>
      <c r="L16" s="242">
        <v>45772</v>
      </c>
      <c r="M16" s="242"/>
      <c r="N16" s="215"/>
      <c r="O16" s="215">
        <f ca="1">O1-L16</f>
        <v>81</v>
      </c>
      <c r="P16" s="215"/>
      <c r="Q16" s="215"/>
      <c r="R16" s="215" t="s">
        <v>495</v>
      </c>
      <c r="S16" s="215"/>
      <c r="T16" s="215" t="s">
        <v>473</v>
      </c>
      <c r="U16" s="215">
        <f ca="1">U1-L16</f>
        <v>81</v>
      </c>
    </row>
    <row r="17" spans="1:21" x14ac:dyDescent="0.3">
      <c r="A17" s="221">
        <v>9</v>
      </c>
      <c r="B17" s="221" t="s">
        <v>465</v>
      </c>
      <c r="C17" s="222" t="s">
        <v>466</v>
      </c>
      <c r="D17" s="223" t="s">
        <v>498</v>
      </c>
      <c r="E17" s="224" t="s">
        <v>499</v>
      </c>
      <c r="F17" s="224" t="s">
        <v>479</v>
      </c>
      <c r="G17" s="225"/>
      <c r="H17" s="225"/>
      <c r="I17" s="226"/>
      <c r="J17" s="227"/>
      <c r="K17" s="224" t="s">
        <v>470</v>
      </c>
      <c r="L17" s="225"/>
      <c r="M17" s="225"/>
      <c r="N17" s="224"/>
      <c r="O17" s="224"/>
      <c r="P17" s="224"/>
      <c r="Q17" s="224"/>
      <c r="R17" s="224" t="s">
        <v>399</v>
      </c>
      <c r="S17" s="224" t="s">
        <v>485</v>
      </c>
      <c r="T17" s="224" t="s">
        <v>399</v>
      </c>
      <c r="U17" s="224"/>
    </row>
    <row r="18" spans="1:21" x14ac:dyDescent="0.3">
      <c r="A18" s="237">
        <v>10</v>
      </c>
      <c r="B18" s="238" t="s">
        <v>465</v>
      </c>
      <c r="C18" s="239" t="s">
        <v>466</v>
      </c>
      <c r="D18" s="240" t="s">
        <v>500</v>
      </c>
      <c r="E18" s="215" t="s">
        <v>501</v>
      </c>
      <c r="F18" s="213" t="s">
        <v>479</v>
      </c>
      <c r="G18" s="234">
        <v>45772</v>
      </c>
      <c r="H18" s="234">
        <v>45772</v>
      </c>
      <c r="I18" s="235"/>
      <c r="J18" s="241"/>
      <c r="K18" s="215" t="s">
        <v>470</v>
      </c>
      <c r="L18" s="242">
        <v>45772</v>
      </c>
      <c r="M18" s="242">
        <v>45778</v>
      </c>
      <c r="N18" s="215" t="s">
        <v>480</v>
      </c>
      <c r="O18" s="215">
        <f>M18-L18</f>
        <v>6</v>
      </c>
      <c r="P18" s="215"/>
      <c r="Q18" s="215"/>
      <c r="R18" s="215" t="s">
        <v>502</v>
      </c>
      <c r="S18" s="215" t="str">
        <f>N18</f>
        <v>CAT -IV R</v>
      </c>
      <c r="T18" s="215" t="s">
        <v>476</v>
      </c>
      <c r="U18" s="215">
        <f ca="1">U1-M18</f>
        <v>75</v>
      </c>
    </row>
    <row r="19" spans="1:21" x14ac:dyDescent="0.3">
      <c r="A19" s="395">
        <v>11</v>
      </c>
      <c r="B19" s="395" t="s">
        <v>465</v>
      </c>
      <c r="C19" s="396" t="s">
        <v>466</v>
      </c>
      <c r="D19" s="397" t="s">
        <v>503</v>
      </c>
      <c r="E19" s="393" t="s">
        <v>504</v>
      </c>
      <c r="F19" s="393" t="s">
        <v>469</v>
      </c>
      <c r="G19" s="392">
        <v>45769</v>
      </c>
      <c r="H19" s="392">
        <f>L19</f>
        <v>45769</v>
      </c>
      <c r="I19" s="226"/>
      <c r="J19" s="227"/>
      <c r="K19" s="224" t="s">
        <v>470</v>
      </c>
      <c r="L19" s="225">
        <v>45769</v>
      </c>
      <c r="M19" s="225">
        <v>45771</v>
      </c>
      <c r="N19" s="224" t="s">
        <v>471</v>
      </c>
      <c r="O19" s="224">
        <f>M19-L19</f>
        <v>2</v>
      </c>
      <c r="P19" s="224">
        <f>L20-M19</f>
        <v>6</v>
      </c>
      <c r="Q19" s="410">
        <f>M21</f>
        <v>45793</v>
      </c>
      <c r="R19" s="393" t="s">
        <v>495</v>
      </c>
      <c r="S19" s="393" t="str">
        <f>N21</f>
        <v>CAT - I</v>
      </c>
      <c r="T19" s="393" t="s">
        <v>399</v>
      </c>
      <c r="U19" s="393">
        <f>M21-L21</f>
        <v>7</v>
      </c>
    </row>
    <row r="20" spans="1:21" x14ac:dyDescent="0.3">
      <c r="A20" s="395"/>
      <c r="B20" s="395"/>
      <c r="C20" s="396"/>
      <c r="D20" s="397"/>
      <c r="E20" s="393"/>
      <c r="F20" s="393"/>
      <c r="G20" s="392"/>
      <c r="H20" s="392"/>
      <c r="I20" s="226"/>
      <c r="J20" s="227"/>
      <c r="K20" s="224" t="s">
        <v>472</v>
      </c>
      <c r="L20" s="225">
        <v>45777</v>
      </c>
      <c r="M20" s="225">
        <v>45778</v>
      </c>
      <c r="N20" s="224" t="s">
        <v>494</v>
      </c>
      <c r="O20" s="224">
        <f>M20-L20</f>
        <v>1</v>
      </c>
      <c r="P20" s="224">
        <f>L21-M20</f>
        <v>8</v>
      </c>
      <c r="Q20" s="410"/>
      <c r="R20" s="393"/>
      <c r="S20" s="393"/>
      <c r="T20" s="393"/>
      <c r="U20" s="393"/>
    </row>
    <row r="21" spans="1:21" x14ac:dyDescent="0.3">
      <c r="A21" s="395"/>
      <c r="B21" s="395"/>
      <c r="C21" s="396"/>
      <c r="D21" s="397"/>
      <c r="E21" s="393"/>
      <c r="F21" s="393"/>
      <c r="G21" s="392"/>
      <c r="H21" s="392"/>
      <c r="I21" s="226"/>
      <c r="J21" s="227"/>
      <c r="K21" s="224" t="s">
        <v>474</v>
      </c>
      <c r="L21" s="225">
        <v>45786</v>
      </c>
      <c r="M21" s="225">
        <v>45793</v>
      </c>
      <c r="N21" s="224" t="s">
        <v>485</v>
      </c>
      <c r="O21" s="224">
        <f>M21-L21</f>
        <v>7</v>
      </c>
      <c r="P21" s="224"/>
      <c r="Q21" s="410"/>
      <c r="R21" s="393"/>
      <c r="S21" s="393"/>
      <c r="T21" s="393"/>
      <c r="U21" s="393"/>
    </row>
    <row r="22" spans="1:21" x14ac:dyDescent="0.3">
      <c r="A22" s="237">
        <v>12</v>
      </c>
      <c r="B22" s="238" t="s">
        <v>465</v>
      </c>
      <c r="C22" s="239" t="s">
        <v>466</v>
      </c>
      <c r="D22" s="240" t="s">
        <v>505</v>
      </c>
      <c r="E22" s="215" t="s">
        <v>506</v>
      </c>
      <c r="F22" s="213" t="s">
        <v>479</v>
      </c>
      <c r="G22" s="234">
        <v>45801</v>
      </c>
      <c r="H22" s="234">
        <v>45843</v>
      </c>
      <c r="I22" s="235"/>
      <c r="J22" s="241"/>
      <c r="K22" s="215"/>
      <c r="L22" s="242"/>
      <c r="M22" s="242"/>
      <c r="N22" s="215"/>
      <c r="O22" s="215"/>
      <c r="P22" s="215"/>
      <c r="Q22" s="215"/>
      <c r="R22" s="215"/>
      <c r="S22" s="215"/>
      <c r="T22" s="215"/>
      <c r="U22" s="215"/>
    </row>
    <row r="23" spans="1:21" s="249" customFormat="1" x14ac:dyDescent="0.3">
      <c r="A23" s="237">
        <v>13</v>
      </c>
      <c r="B23" s="238" t="s">
        <v>465</v>
      </c>
      <c r="C23" s="239" t="s">
        <v>466</v>
      </c>
      <c r="D23" s="240" t="s">
        <v>507</v>
      </c>
      <c r="E23" s="215" t="s">
        <v>508</v>
      </c>
      <c r="F23" s="244" t="s">
        <v>479</v>
      </c>
      <c r="G23" s="245"/>
      <c r="H23" s="245"/>
      <c r="I23" s="246"/>
      <c r="J23" s="247"/>
      <c r="K23" s="248"/>
      <c r="L23" s="242"/>
      <c r="M23" s="242"/>
      <c r="N23" s="248"/>
      <c r="O23" s="215"/>
      <c r="P23" s="215"/>
      <c r="Q23" s="248"/>
      <c r="R23" s="248"/>
      <c r="S23" s="248"/>
      <c r="T23" s="248"/>
      <c r="U23" s="248"/>
    </row>
    <row r="24" spans="1:21" ht="28" x14ac:dyDescent="0.3">
      <c r="A24" s="237">
        <v>14</v>
      </c>
      <c r="B24" s="238" t="s">
        <v>465</v>
      </c>
      <c r="C24" s="239" t="s">
        <v>466</v>
      </c>
      <c r="D24" s="240" t="s">
        <v>509</v>
      </c>
      <c r="E24" s="215" t="s">
        <v>510</v>
      </c>
      <c r="F24" s="213" t="s">
        <v>469</v>
      </c>
      <c r="G24" s="234"/>
      <c r="H24" s="234"/>
      <c r="I24" s="235"/>
      <c r="J24" s="241"/>
      <c r="K24" s="215"/>
      <c r="L24" s="242"/>
      <c r="M24" s="242"/>
      <c r="N24" s="215"/>
      <c r="O24" s="215"/>
      <c r="P24" s="215"/>
      <c r="Q24" s="215"/>
      <c r="R24" s="215"/>
      <c r="S24" s="215"/>
      <c r="T24" s="215"/>
      <c r="U24" s="215"/>
    </row>
    <row r="25" spans="1:21" x14ac:dyDescent="0.3">
      <c r="A25" s="398">
        <v>1</v>
      </c>
      <c r="B25" s="398" t="s">
        <v>6</v>
      </c>
      <c r="C25" s="400" t="s">
        <v>511</v>
      </c>
      <c r="D25" s="411" t="s">
        <v>512</v>
      </c>
      <c r="E25" s="404" t="s">
        <v>513</v>
      </c>
      <c r="F25" s="404" t="s">
        <v>469</v>
      </c>
      <c r="G25" s="406">
        <v>45727</v>
      </c>
      <c r="H25" s="406">
        <f>L25</f>
        <v>45727</v>
      </c>
      <c r="I25" s="250"/>
      <c r="J25" s="227"/>
      <c r="K25" s="224" t="s">
        <v>470</v>
      </c>
      <c r="L25" s="225">
        <v>45727</v>
      </c>
      <c r="M25" s="225">
        <v>45736</v>
      </c>
      <c r="N25" s="224" t="s">
        <v>471</v>
      </c>
      <c r="O25" s="224">
        <f>M25-L25</f>
        <v>9</v>
      </c>
      <c r="P25" s="224">
        <f>L26-M25</f>
        <v>19</v>
      </c>
      <c r="Q25" s="404"/>
      <c r="R25" s="404" t="s">
        <v>399</v>
      </c>
      <c r="S25" s="404" t="str">
        <f>N27</f>
        <v>CAT - I</v>
      </c>
      <c r="T25" s="404" t="s">
        <v>399</v>
      </c>
      <c r="U25" s="404">
        <f ca="1">U1-L27</f>
        <v>48</v>
      </c>
    </row>
    <row r="26" spans="1:21" x14ac:dyDescent="0.3">
      <c r="A26" s="398"/>
      <c r="B26" s="398"/>
      <c r="C26" s="400"/>
      <c r="D26" s="411"/>
      <c r="E26" s="404"/>
      <c r="F26" s="404"/>
      <c r="G26" s="406"/>
      <c r="H26" s="406"/>
      <c r="I26" s="251"/>
      <c r="J26" s="227"/>
      <c r="K26" s="224" t="s">
        <v>472</v>
      </c>
      <c r="L26" s="225">
        <v>45755</v>
      </c>
      <c r="M26" s="225">
        <v>45758</v>
      </c>
      <c r="N26" s="224" t="s">
        <v>494</v>
      </c>
      <c r="O26" s="224">
        <f>M26-L26</f>
        <v>3</v>
      </c>
      <c r="P26" s="224">
        <f>L27-M26</f>
        <v>47</v>
      </c>
      <c r="Q26" s="404"/>
      <c r="R26" s="404"/>
      <c r="S26" s="404"/>
      <c r="T26" s="404"/>
      <c r="U26" s="404"/>
    </row>
    <row r="27" spans="1:21" x14ac:dyDescent="0.3">
      <c r="A27" s="398"/>
      <c r="B27" s="398"/>
      <c r="C27" s="400"/>
      <c r="D27" s="411"/>
      <c r="E27" s="404"/>
      <c r="F27" s="404"/>
      <c r="G27" s="406"/>
      <c r="H27" s="406"/>
      <c r="I27" s="252"/>
      <c r="J27" s="227"/>
      <c r="K27" s="224" t="s">
        <v>474</v>
      </c>
      <c r="L27" s="225">
        <v>45805</v>
      </c>
      <c r="M27" s="225">
        <v>45810</v>
      </c>
      <c r="N27" s="224" t="s">
        <v>485</v>
      </c>
      <c r="O27" s="224">
        <f>M27-L27</f>
        <v>5</v>
      </c>
      <c r="P27" s="224"/>
      <c r="Q27" s="404"/>
      <c r="R27" s="404"/>
      <c r="S27" s="404"/>
      <c r="T27" s="404"/>
      <c r="U27" s="404"/>
    </row>
    <row r="28" spans="1:21" s="259" customFormat="1" ht="28" x14ac:dyDescent="0.3">
      <c r="A28" s="253">
        <v>2</v>
      </c>
      <c r="B28" s="254" t="s">
        <v>6</v>
      </c>
      <c r="C28" s="255" t="s">
        <v>511</v>
      </c>
      <c r="D28" s="256" t="s">
        <v>842</v>
      </c>
      <c r="E28" s="215" t="s">
        <v>514</v>
      </c>
      <c r="F28" s="213" t="s">
        <v>469</v>
      </c>
      <c r="G28" s="234">
        <v>45805</v>
      </c>
      <c r="H28" s="245">
        <f>L28</f>
        <v>45811</v>
      </c>
      <c r="I28" s="257"/>
      <c r="J28" s="258"/>
      <c r="K28" s="215" t="s">
        <v>470</v>
      </c>
      <c r="L28" s="242">
        <v>45811</v>
      </c>
      <c r="M28" s="242">
        <v>45818</v>
      </c>
      <c r="N28" s="215" t="s">
        <v>471</v>
      </c>
      <c r="O28" s="215">
        <f ca="1">O1-L28</f>
        <v>42</v>
      </c>
      <c r="P28" s="215"/>
      <c r="Q28" s="215"/>
      <c r="R28" s="215" t="s">
        <v>502</v>
      </c>
      <c r="S28" s="215" t="str">
        <f>N28</f>
        <v>CAT - III</v>
      </c>
      <c r="T28" s="215" t="s">
        <v>476</v>
      </c>
      <c r="U28" s="215">
        <f ca="1">U1-L28</f>
        <v>42</v>
      </c>
    </row>
    <row r="29" spans="1:21" ht="28" x14ac:dyDescent="0.3">
      <c r="A29" s="237">
        <v>3</v>
      </c>
      <c r="B29" s="238" t="s">
        <v>6</v>
      </c>
      <c r="C29" s="239" t="s">
        <v>511</v>
      </c>
      <c r="D29" s="240" t="s">
        <v>515</v>
      </c>
      <c r="E29" s="215" t="s">
        <v>516</v>
      </c>
      <c r="F29" s="213" t="s">
        <v>469</v>
      </c>
      <c r="G29" s="234">
        <v>45795</v>
      </c>
      <c r="H29" s="234">
        <f>L29</f>
        <v>45813</v>
      </c>
      <c r="I29" s="235"/>
      <c r="J29" s="241"/>
      <c r="K29" s="215" t="s">
        <v>470</v>
      </c>
      <c r="L29" s="242">
        <v>45813</v>
      </c>
      <c r="M29" s="242">
        <v>45828</v>
      </c>
      <c r="N29" s="215" t="s">
        <v>471</v>
      </c>
      <c r="O29" s="215">
        <f ca="1">O1-L29</f>
        <v>40</v>
      </c>
      <c r="P29" s="215"/>
      <c r="Q29" s="215"/>
      <c r="R29" s="215" t="s">
        <v>502</v>
      </c>
      <c r="S29" s="215" t="str">
        <f>N29</f>
        <v>CAT - III</v>
      </c>
      <c r="T29" s="215" t="s">
        <v>476</v>
      </c>
      <c r="U29" s="215">
        <f ca="1">U1-L29</f>
        <v>40</v>
      </c>
    </row>
    <row r="30" spans="1:21" ht="15" customHeight="1" x14ac:dyDescent="0.3">
      <c r="A30" s="398">
        <v>4</v>
      </c>
      <c r="B30" s="398" t="s">
        <v>6</v>
      </c>
      <c r="C30" s="400" t="s">
        <v>511</v>
      </c>
      <c r="D30" s="402" t="s">
        <v>517</v>
      </c>
      <c r="E30" s="404" t="s">
        <v>518</v>
      </c>
      <c r="F30" s="404" t="s">
        <v>469</v>
      </c>
      <c r="G30" s="406">
        <v>45751</v>
      </c>
      <c r="H30" s="406">
        <f>L30</f>
        <v>45727</v>
      </c>
      <c r="I30" s="250"/>
      <c r="J30" s="227"/>
      <c r="K30" s="224" t="s">
        <v>470</v>
      </c>
      <c r="L30" s="225">
        <v>45727</v>
      </c>
      <c r="M30" s="225">
        <v>45736</v>
      </c>
      <c r="N30" s="224" t="s">
        <v>494</v>
      </c>
      <c r="O30" s="224">
        <f>M30-L30</f>
        <v>9</v>
      </c>
      <c r="P30" s="224">
        <f>L31-M30</f>
        <v>19</v>
      </c>
      <c r="Q30" s="416">
        <f>M34</f>
        <v>45825</v>
      </c>
      <c r="R30" s="404" t="s">
        <v>495</v>
      </c>
      <c r="S30" s="404" t="str">
        <f>N34</f>
        <v>CAT - I</v>
      </c>
      <c r="T30" s="404" t="s">
        <v>399</v>
      </c>
      <c r="U30" s="404">
        <f>M32-L32</f>
        <v>1</v>
      </c>
    </row>
    <row r="31" spans="1:21" ht="14.15" customHeight="1" x14ac:dyDescent="0.3">
      <c r="A31" s="412"/>
      <c r="B31" s="412"/>
      <c r="C31" s="413"/>
      <c r="D31" s="414"/>
      <c r="E31" s="415"/>
      <c r="F31" s="415"/>
      <c r="G31" s="419"/>
      <c r="H31" s="419"/>
      <c r="I31" s="251"/>
      <c r="J31" s="227"/>
      <c r="K31" s="224" t="s">
        <v>472</v>
      </c>
      <c r="L31" s="225">
        <v>45755</v>
      </c>
      <c r="M31" s="225">
        <v>45758</v>
      </c>
      <c r="N31" s="224" t="s">
        <v>485</v>
      </c>
      <c r="O31" s="224">
        <f>M31-L31</f>
        <v>3</v>
      </c>
      <c r="P31" s="224">
        <f>L32-M31</f>
        <v>25</v>
      </c>
      <c r="Q31" s="417"/>
      <c r="R31" s="415"/>
      <c r="S31" s="415"/>
      <c r="T31" s="415"/>
      <c r="U31" s="415"/>
    </row>
    <row r="32" spans="1:21" ht="14.15" customHeight="1" x14ac:dyDescent="0.3">
      <c r="A32" s="412"/>
      <c r="B32" s="412"/>
      <c r="C32" s="413"/>
      <c r="D32" s="414"/>
      <c r="E32" s="415"/>
      <c r="F32" s="415"/>
      <c r="G32" s="419"/>
      <c r="H32" s="419"/>
      <c r="I32" s="251"/>
      <c r="J32" s="227"/>
      <c r="K32" s="224" t="s">
        <v>474</v>
      </c>
      <c r="L32" s="225">
        <v>45783</v>
      </c>
      <c r="M32" s="225">
        <v>45784</v>
      </c>
      <c r="N32" s="224" t="s">
        <v>485</v>
      </c>
      <c r="O32" s="224">
        <f>M32-L32</f>
        <v>1</v>
      </c>
      <c r="P32" s="224">
        <f>L33-M32</f>
        <v>21</v>
      </c>
      <c r="Q32" s="417"/>
      <c r="R32" s="415"/>
      <c r="S32" s="415"/>
      <c r="T32" s="415"/>
      <c r="U32" s="415"/>
    </row>
    <row r="33" spans="1:21" ht="14.15" customHeight="1" x14ac:dyDescent="0.3">
      <c r="A33" s="412"/>
      <c r="B33" s="399"/>
      <c r="C33" s="413"/>
      <c r="D33" s="414"/>
      <c r="E33" s="415"/>
      <c r="F33" s="415"/>
      <c r="G33" s="419"/>
      <c r="H33" s="419"/>
      <c r="I33" s="252"/>
      <c r="J33" s="227"/>
      <c r="K33" s="224" t="s">
        <v>475</v>
      </c>
      <c r="L33" s="225">
        <v>45805</v>
      </c>
      <c r="M33" s="225">
        <v>45807</v>
      </c>
      <c r="N33" s="224" t="s">
        <v>494</v>
      </c>
      <c r="O33" s="224">
        <f>M33-L33</f>
        <v>2</v>
      </c>
      <c r="P33" s="224"/>
      <c r="Q33" s="417"/>
      <c r="R33" s="415"/>
      <c r="S33" s="415"/>
      <c r="T33" s="415"/>
      <c r="U33" s="405"/>
    </row>
    <row r="34" spans="1:21" ht="14.15" customHeight="1" x14ac:dyDescent="0.3">
      <c r="A34" s="412"/>
      <c r="B34" s="295"/>
      <c r="C34" s="413"/>
      <c r="D34" s="414"/>
      <c r="E34" s="415"/>
      <c r="F34" s="415"/>
      <c r="G34" s="419"/>
      <c r="H34" s="419"/>
      <c r="I34" s="252"/>
      <c r="J34" s="227"/>
      <c r="K34" s="224" t="s">
        <v>845</v>
      </c>
      <c r="L34" s="225">
        <v>45825</v>
      </c>
      <c r="M34" s="225">
        <v>45825</v>
      </c>
      <c r="N34" s="224" t="s">
        <v>485</v>
      </c>
      <c r="O34" s="224">
        <f>M34-L34</f>
        <v>0</v>
      </c>
      <c r="P34" s="224"/>
      <c r="Q34" s="418"/>
      <c r="R34" s="405"/>
      <c r="S34" s="405"/>
      <c r="T34" s="405"/>
      <c r="U34" s="296"/>
    </row>
    <row r="35" spans="1:21" ht="28" x14ac:dyDescent="0.3">
      <c r="A35" s="221">
        <v>5</v>
      </c>
      <c r="B35" s="221" t="s">
        <v>6</v>
      </c>
      <c r="C35" s="222" t="s">
        <v>511</v>
      </c>
      <c r="D35" s="223" t="s">
        <v>519</v>
      </c>
      <c r="E35" s="224" t="s">
        <v>520</v>
      </c>
      <c r="F35" s="224" t="s">
        <v>469</v>
      </c>
      <c r="G35" s="225">
        <v>45811</v>
      </c>
      <c r="H35" s="225">
        <f>L35</f>
        <v>45811</v>
      </c>
      <c r="I35" s="226"/>
      <c r="J35" s="227"/>
      <c r="K35" s="224" t="s">
        <v>470</v>
      </c>
      <c r="L35" s="225">
        <v>45811</v>
      </c>
      <c r="M35" s="225">
        <v>45818</v>
      </c>
      <c r="N35" s="224" t="s">
        <v>471</v>
      </c>
      <c r="O35" s="224">
        <f ca="1">O1-L35</f>
        <v>42</v>
      </c>
      <c r="P35" s="224"/>
      <c r="Q35" s="224"/>
      <c r="R35" s="224" t="s">
        <v>502</v>
      </c>
      <c r="S35" s="224" t="str">
        <f>N35</f>
        <v>CAT - III</v>
      </c>
      <c r="T35" s="224" t="s">
        <v>399</v>
      </c>
      <c r="U35" s="224">
        <f ca="1">U1-L35</f>
        <v>42</v>
      </c>
    </row>
    <row r="36" spans="1:21" x14ac:dyDescent="0.3">
      <c r="A36" s="395">
        <v>6</v>
      </c>
      <c r="B36" s="395" t="s">
        <v>6</v>
      </c>
      <c r="C36" s="396" t="s">
        <v>511</v>
      </c>
      <c r="D36" s="397" t="s">
        <v>521</v>
      </c>
      <c r="E36" s="393" t="s">
        <v>522</v>
      </c>
      <c r="F36" s="393" t="s">
        <v>469</v>
      </c>
      <c r="G36" s="392">
        <v>45751</v>
      </c>
      <c r="H36" s="392">
        <f>L36</f>
        <v>45727</v>
      </c>
      <c r="I36" s="226"/>
      <c r="J36" s="227"/>
      <c r="K36" s="224" t="s">
        <v>470</v>
      </c>
      <c r="L36" s="225">
        <v>45727</v>
      </c>
      <c r="M36" s="225">
        <v>45736</v>
      </c>
      <c r="N36" s="224" t="s">
        <v>471</v>
      </c>
      <c r="O36" s="224">
        <f>M36-L36</f>
        <v>9</v>
      </c>
      <c r="P36" s="224">
        <f>L37-M36</f>
        <v>19</v>
      </c>
      <c r="Q36" s="426">
        <v>45758</v>
      </c>
      <c r="R36" s="393" t="s">
        <v>502</v>
      </c>
      <c r="S36" s="393" t="str">
        <f>N37</f>
        <v>CAT - I</v>
      </c>
      <c r="T36" s="393" t="s">
        <v>399</v>
      </c>
      <c r="U36" s="393"/>
    </row>
    <row r="37" spans="1:21" x14ac:dyDescent="0.3">
      <c r="A37" s="395"/>
      <c r="B37" s="395"/>
      <c r="C37" s="396"/>
      <c r="D37" s="397"/>
      <c r="E37" s="393"/>
      <c r="F37" s="393"/>
      <c r="G37" s="392"/>
      <c r="H37" s="392"/>
      <c r="I37" s="226"/>
      <c r="J37" s="227"/>
      <c r="K37" s="224" t="s">
        <v>472</v>
      </c>
      <c r="L37" s="225">
        <v>45755</v>
      </c>
      <c r="M37" s="225">
        <v>45758</v>
      </c>
      <c r="N37" s="224" t="s">
        <v>485</v>
      </c>
      <c r="O37" s="224">
        <f>M37-L37</f>
        <v>3</v>
      </c>
      <c r="P37" s="224"/>
      <c r="Q37" s="393"/>
      <c r="R37" s="393"/>
      <c r="S37" s="393"/>
      <c r="T37" s="393"/>
      <c r="U37" s="393"/>
    </row>
    <row r="38" spans="1:21" x14ac:dyDescent="0.3">
      <c r="A38" s="398">
        <v>7</v>
      </c>
      <c r="B38" s="398" t="s">
        <v>6</v>
      </c>
      <c r="C38" s="400" t="s">
        <v>511</v>
      </c>
      <c r="D38" s="411" t="s">
        <v>523</v>
      </c>
      <c r="E38" s="404" t="s">
        <v>524</v>
      </c>
      <c r="F38" s="404" t="s">
        <v>479</v>
      </c>
      <c r="G38" s="406">
        <v>45769</v>
      </c>
      <c r="H38" s="406">
        <f>L38</f>
        <v>45769</v>
      </c>
      <c r="I38" s="250"/>
      <c r="J38" s="227"/>
      <c r="K38" s="224" t="s">
        <v>470</v>
      </c>
      <c r="L38" s="225">
        <v>45769</v>
      </c>
      <c r="M38" s="225">
        <v>45779</v>
      </c>
      <c r="N38" s="224" t="s">
        <v>525</v>
      </c>
      <c r="O38" s="224">
        <f>M38-L38</f>
        <v>10</v>
      </c>
      <c r="P38" s="224">
        <f>L39-M38</f>
        <v>3</v>
      </c>
      <c r="Q38" s="408">
        <f>M38</f>
        <v>45779</v>
      </c>
      <c r="R38" s="404" t="s">
        <v>495</v>
      </c>
      <c r="S38" s="404" t="str">
        <f>N39</f>
        <v xml:space="preserve">CAT -IV </v>
      </c>
      <c r="T38" s="404" t="s">
        <v>399</v>
      </c>
      <c r="U38" s="404"/>
    </row>
    <row r="39" spans="1:21" x14ac:dyDescent="0.3">
      <c r="A39" s="412"/>
      <c r="B39" s="412"/>
      <c r="C39" s="413"/>
      <c r="D39" s="420"/>
      <c r="E39" s="415"/>
      <c r="F39" s="415"/>
      <c r="G39" s="419"/>
      <c r="H39" s="419"/>
      <c r="I39" s="251"/>
      <c r="J39" s="227"/>
      <c r="K39" s="224" t="s">
        <v>472</v>
      </c>
      <c r="L39" s="225">
        <v>45782</v>
      </c>
      <c r="M39" s="225">
        <v>45784</v>
      </c>
      <c r="N39" s="224" t="s">
        <v>525</v>
      </c>
      <c r="O39" s="224">
        <f>M39-L39</f>
        <v>2</v>
      </c>
      <c r="P39" s="224">
        <f>L41-M39</f>
        <v>41</v>
      </c>
      <c r="Q39" s="422"/>
      <c r="R39" s="415"/>
      <c r="S39" s="415"/>
      <c r="T39" s="415"/>
      <c r="U39" s="415"/>
    </row>
    <row r="40" spans="1:21" x14ac:dyDescent="0.3">
      <c r="A40" s="412"/>
      <c r="B40" s="412"/>
      <c r="C40" s="413"/>
      <c r="D40" s="420"/>
      <c r="E40" s="415"/>
      <c r="F40" s="415"/>
      <c r="G40" s="419"/>
      <c r="H40" s="419"/>
      <c r="I40" s="251"/>
      <c r="J40" s="227"/>
      <c r="K40" s="224" t="s">
        <v>474</v>
      </c>
      <c r="L40" s="225">
        <v>45805</v>
      </c>
      <c r="M40" s="225">
        <v>45807</v>
      </c>
      <c r="N40" s="224" t="s">
        <v>525</v>
      </c>
      <c r="O40" s="224">
        <f>M40-L40</f>
        <v>2</v>
      </c>
      <c r="P40" s="224"/>
      <c r="Q40" s="422"/>
      <c r="R40" s="415"/>
      <c r="S40" s="415"/>
      <c r="T40" s="415"/>
      <c r="U40" s="415"/>
    </row>
    <row r="41" spans="1:21" x14ac:dyDescent="0.3">
      <c r="A41" s="399"/>
      <c r="B41" s="399"/>
      <c r="C41" s="401"/>
      <c r="D41" s="421"/>
      <c r="E41" s="405"/>
      <c r="F41" s="405"/>
      <c r="G41" s="407"/>
      <c r="H41" s="407"/>
      <c r="I41" s="252"/>
      <c r="J41" s="227"/>
      <c r="K41" s="224" t="s">
        <v>475</v>
      </c>
      <c r="L41" s="225">
        <v>45825</v>
      </c>
      <c r="M41" s="225">
        <v>45825</v>
      </c>
      <c r="N41" s="224" t="s">
        <v>525</v>
      </c>
      <c r="O41" s="224"/>
      <c r="P41" s="224"/>
      <c r="Q41" s="409"/>
      <c r="R41" s="405"/>
      <c r="S41" s="405"/>
      <c r="T41" s="405"/>
      <c r="U41" s="405"/>
    </row>
    <row r="42" spans="1:21" ht="28" x14ac:dyDescent="0.3">
      <c r="A42" s="221">
        <v>8</v>
      </c>
      <c r="B42" s="221" t="s">
        <v>6</v>
      </c>
      <c r="C42" s="222" t="s">
        <v>511</v>
      </c>
      <c r="D42" s="223" t="s">
        <v>526</v>
      </c>
      <c r="E42" s="224" t="s">
        <v>527</v>
      </c>
      <c r="F42" s="224" t="s">
        <v>479</v>
      </c>
      <c r="G42" s="225">
        <v>45811</v>
      </c>
      <c r="H42" s="225">
        <f>L42</f>
        <v>45811</v>
      </c>
      <c r="I42" s="226"/>
      <c r="J42" s="227"/>
      <c r="K42" s="224" t="s">
        <v>470</v>
      </c>
      <c r="L42" s="225">
        <v>45811</v>
      </c>
      <c r="M42" s="225">
        <v>45818</v>
      </c>
      <c r="N42" s="224" t="s">
        <v>480</v>
      </c>
      <c r="O42" s="224">
        <f ca="1">O1-L42</f>
        <v>42</v>
      </c>
      <c r="P42" s="224"/>
      <c r="Q42" s="224"/>
      <c r="R42" s="224" t="s">
        <v>502</v>
      </c>
      <c r="S42" s="224" t="str">
        <f>N42</f>
        <v>CAT -IV R</v>
      </c>
      <c r="T42" s="224" t="s">
        <v>853</v>
      </c>
      <c r="U42" s="224"/>
    </row>
    <row r="43" spans="1:21" ht="28" x14ac:dyDescent="0.3">
      <c r="A43" s="221">
        <v>9</v>
      </c>
      <c r="B43" s="221" t="s">
        <v>6</v>
      </c>
      <c r="C43" s="222" t="s">
        <v>511</v>
      </c>
      <c r="D43" s="338" t="s">
        <v>528</v>
      </c>
      <c r="E43" s="224" t="s">
        <v>529</v>
      </c>
      <c r="F43" s="224" t="s">
        <v>479</v>
      </c>
      <c r="G43" s="225">
        <v>45824</v>
      </c>
      <c r="H43" s="225">
        <v>45836</v>
      </c>
      <c r="I43" s="226"/>
      <c r="J43" s="227"/>
      <c r="K43" s="224"/>
      <c r="L43" s="339"/>
      <c r="M43" s="225">
        <v>45845</v>
      </c>
      <c r="N43" s="224"/>
      <c r="O43" s="224"/>
      <c r="P43" s="224"/>
      <c r="Q43" s="224"/>
      <c r="R43" s="224"/>
      <c r="S43" s="224"/>
      <c r="T43" s="224" t="s">
        <v>399</v>
      </c>
      <c r="U43" s="224"/>
    </row>
    <row r="44" spans="1:21" ht="14.15" customHeight="1" x14ac:dyDescent="0.3">
      <c r="A44" s="430">
        <v>1</v>
      </c>
      <c r="B44" s="433" t="s">
        <v>6</v>
      </c>
      <c r="C44" s="434" t="s">
        <v>530</v>
      </c>
      <c r="D44" s="435" t="s">
        <v>531</v>
      </c>
      <c r="E44" s="436" t="s">
        <v>532</v>
      </c>
      <c r="F44" s="436" t="s">
        <v>469</v>
      </c>
      <c r="G44" s="423">
        <v>45763</v>
      </c>
      <c r="H44" s="423">
        <f>L44</f>
        <v>45763</v>
      </c>
      <c r="I44" s="243"/>
      <c r="J44" s="241"/>
      <c r="K44" s="215" t="s">
        <v>470</v>
      </c>
      <c r="L44" s="242">
        <v>45763</v>
      </c>
      <c r="M44" s="242">
        <v>45784</v>
      </c>
      <c r="N44" s="215" t="s">
        <v>471</v>
      </c>
      <c r="O44" s="215">
        <f>M44-L44</f>
        <v>21</v>
      </c>
      <c r="P44" s="215">
        <f>L47-M44</f>
        <v>41</v>
      </c>
      <c r="Q44" s="427"/>
      <c r="R44" s="427" t="s">
        <v>495</v>
      </c>
      <c r="S44" s="427" t="str">
        <f>N44</f>
        <v>CAT - III</v>
      </c>
      <c r="T44" s="427" t="s">
        <v>473</v>
      </c>
      <c r="U44" s="427"/>
    </row>
    <row r="45" spans="1:21" x14ac:dyDescent="0.3">
      <c r="A45" s="431"/>
      <c r="B45" s="433"/>
      <c r="C45" s="434"/>
      <c r="D45" s="435"/>
      <c r="E45" s="436"/>
      <c r="F45" s="436"/>
      <c r="G45" s="424"/>
      <c r="H45" s="424"/>
      <c r="I45" s="243"/>
      <c r="J45" s="241"/>
      <c r="K45" s="215" t="s">
        <v>472</v>
      </c>
      <c r="L45" s="242">
        <v>45791</v>
      </c>
      <c r="M45" s="242">
        <v>45800</v>
      </c>
      <c r="N45" s="215"/>
      <c r="O45" s="215"/>
      <c r="P45" s="215"/>
      <c r="Q45" s="428"/>
      <c r="R45" s="428"/>
      <c r="S45" s="428"/>
      <c r="T45" s="428"/>
      <c r="U45" s="428"/>
    </row>
    <row r="46" spans="1:21" x14ac:dyDescent="0.3">
      <c r="A46" s="431"/>
      <c r="B46" s="433"/>
      <c r="C46" s="434"/>
      <c r="D46" s="435"/>
      <c r="E46" s="436"/>
      <c r="F46" s="436"/>
      <c r="G46" s="424"/>
      <c r="H46" s="424"/>
      <c r="I46" s="243"/>
      <c r="J46" s="241"/>
      <c r="K46" s="215" t="s">
        <v>474</v>
      </c>
      <c r="L46" s="242">
        <v>45816</v>
      </c>
      <c r="M46" s="242">
        <v>45821</v>
      </c>
      <c r="N46" s="215"/>
      <c r="O46" s="215"/>
      <c r="P46" s="215"/>
      <c r="Q46" s="428"/>
      <c r="R46" s="428"/>
      <c r="S46" s="428"/>
      <c r="T46" s="428"/>
      <c r="U46" s="428"/>
    </row>
    <row r="47" spans="1:21" x14ac:dyDescent="0.3">
      <c r="A47" s="432"/>
      <c r="B47" s="433"/>
      <c r="C47" s="434"/>
      <c r="D47" s="435"/>
      <c r="E47" s="436"/>
      <c r="F47" s="436"/>
      <c r="G47" s="425"/>
      <c r="H47" s="425"/>
      <c r="I47" s="243"/>
      <c r="J47" s="241"/>
      <c r="K47" s="215" t="s">
        <v>475</v>
      </c>
      <c r="L47" s="242">
        <v>45825</v>
      </c>
      <c r="M47" s="242">
        <v>45827</v>
      </c>
      <c r="N47" s="215" t="s">
        <v>494</v>
      </c>
      <c r="O47" s="215"/>
      <c r="P47" s="215"/>
      <c r="Q47" s="429"/>
      <c r="R47" s="429"/>
      <c r="S47" s="429"/>
      <c r="T47" s="429"/>
      <c r="U47" s="429"/>
    </row>
    <row r="48" spans="1:21" ht="28" x14ac:dyDescent="0.3">
      <c r="A48" s="237">
        <v>2</v>
      </c>
      <c r="B48" s="238" t="s">
        <v>6</v>
      </c>
      <c r="C48" s="239" t="s">
        <v>530</v>
      </c>
      <c r="D48" s="240" t="s">
        <v>533</v>
      </c>
      <c r="E48" s="215" t="s">
        <v>534</v>
      </c>
      <c r="F48" s="213" t="s">
        <v>469</v>
      </c>
      <c r="G48" s="234">
        <v>45868</v>
      </c>
      <c r="H48" s="234">
        <f t="shared" ref="H48:H55" si="0">G48</f>
        <v>45868</v>
      </c>
      <c r="I48" s="235" t="s">
        <v>535</v>
      </c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3</v>
      </c>
      <c r="B49" s="238" t="s">
        <v>6</v>
      </c>
      <c r="C49" s="239" t="s">
        <v>530</v>
      </c>
      <c r="D49" s="240" t="s">
        <v>536</v>
      </c>
      <c r="E49" s="215" t="s">
        <v>537</v>
      </c>
      <c r="F49" s="215" t="s">
        <v>469</v>
      </c>
      <c r="G49" s="242">
        <v>45843</v>
      </c>
      <c r="H49" s="242">
        <f t="shared" si="0"/>
        <v>45843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4</v>
      </c>
      <c r="B50" s="238" t="s">
        <v>6</v>
      </c>
      <c r="C50" s="239" t="s">
        <v>530</v>
      </c>
      <c r="D50" s="240" t="s">
        <v>538</v>
      </c>
      <c r="E50" s="215" t="s">
        <v>539</v>
      </c>
      <c r="F50" s="215" t="s">
        <v>469</v>
      </c>
      <c r="G50" s="242">
        <v>45838</v>
      </c>
      <c r="H50" s="242">
        <f t="shared" si="0"/>
        <v>45838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ht="42" x14ac:dyDescent="0.3">
      <c r="A51" s="237">
        <v>5</v>
      </c>
      <c r="B51" s="238" t="s">
        <v>6</v>
      </c>
      <c r="C51" s="239" t="s">
        <v>530</v>
      </c>
      <c r="D51" s="240" t="s">
        <v>540</v>
      </c>
      <c r="E51" s="215" t="s">
        <v>541</v>
      </c>
      <c r="F51" s="215" t="s">
        <v>469</v>
      </c>
      <c r="G51" s="242">
        <v>45874</v>
      </c>
      <c r="H51" s="242">
        <f t="shared" si="0"/>
        <v>45874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x14ac:dyDescent="0.3">
      <c r="A52" s="237">
        <v>6</v>
      </c>
      <c r="B52" s="238" t="s">
        <v>6</v>
      </c>
      <c r="C52" s="239" t="s">
        <v>530</v>
      </c>
      <c r="D52" s="240" t="s">
        <v>542</v>
      </c>
      <c r="E52" s="215" t="s">
        <v>543</v>
      </c>
      <c r="F52" s="215" t="s">
        <v>469</v>
      </c>
      <c r="G52" s="242">
        <v>45905</v>
      </c>
      <c r="H52" s="242">
        <f t="shared" si="0"/>
        <v>45905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x14ac:dyDescent="0.3">
      <c r="A53" s="237">
        <v>7</v>
      </c>
      <c r="B53" s="238" t="s">
        <v>6</v>
      </c>
      <c r="C53" s="239" t="s">
        <v>530</v>
      </c>
      <c r="D53" s="240" t="s">
        <v>544</v>
      </c>
      <c r="E53" s="215" t="s">
        <v>545</v>
      </c>
      <c r="F53" s="215" t="s">
        <v>469</v>
      </c>
      <c r="G53" s="242">
        <v>45908</v>
      </c>
      <c r="H53" s="242">
        <f t="shared" si="0"/>
        <v>45908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8</v>
      </c>
      <c r="B54" s="238" t="s">
        <v>6</v>
      </c>
      <c r="C54" s="239" t="s">
        <v>530</v>
      </c>
      <c r="D54" s="240" t="s">
        <v>546</v>
      </c>
      <c r="E54" s="215" t="s">
        <v>547</v>
      </c>
      <c r="F54" s="215" t="s">
        <v>469</v>
      </c>
      <c r="G54" s="242">
        <v>45858</v>
      </c>
      <c r="H54" s="242">
        <f t="shared" si="0"/>
        <v>45858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9</v>
      </c>
      <c r="B55" s="238" t="s">
        <v>6</v>
      </c>
      <c r="C55" s="239" t="s">
        <v>530</v>
      </c>
      <c r="D55" s="240" t="s">
        <v>548</v>
      </c>
      <c r="E55" s="215" t="s">
        <v>549</v>
      </c>
      <c r="F55" s="215" t="s">
        <v>469</v>
      </c>
      <c r="G55" s="242">
        <v>45868</v>
      </c>
      <c r="H55" s="242">
        <f t="shared" si="0"/>
        <v>45868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x14ac:dyDescent="0.3">
      <c r="A56" s="237">
        <v>1</v>
      </c>
      <c r="B56" s="238" t="s">
        <v>6</v>
      </c>
      <c r="C56" s="239" t="s">
        <v>550</v>
      </c>
      <c r="D56" s="240" t="s">
        <v>551</v>
      </c>
      <c r="E56" s="215" t="s">
        <v>552</v>
      </c>
      <c r="F56" s="215" t="s">
        <v>469</v>
      </c>
      <c r="G56" s="242">
        <v>45825</v>
      </c>
      <c r="H56" s="242">
        <v>45836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2</v>
      </c>
      <c r="B57" s="238" t="s">
        <v>6</v>
      </c>
      <c r="C57" s="239" t="s">
        <v>550</v>
      </c>
      <c r="D57" s="240" t="s">
        <v>553</v>
      </c>
      <c r="E57" s="215" t="s">
        <v>554</v>
      </c>
      <c r="F57" s="215" t="s">
        <v>469</v>
      </c>
      <c r="G57" s="242">
        <v>45825</v>
      </c>
      <c r="H57" s="242">
        <v>45836</v>
      </c>
      <c r="I57" s="243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37">
        <v>3</v>
      </c>
      <c r="B58" s="238" t="s">
        <v>6</v>
      </c>
      <c r="C58" s="239" t="s">
        <v>550</v>
      </c>
      <c r="D58" s="240" t="s">
        <v>555</v>
      </c>
      <c r="E58" s="215" t="s">
        <v>556</v>
      </c>
      <c r="F58" s="215" t="s">
        <v>469</v>
      </c>
      <c r="G58" s="242">
        <v>45828</v>
      </c>
      <c r="H58" s="242">
        <v>45836</v>
      </c>
      <c r="I58" s="243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ht="28" x14ac:dyDescent="0.3">
      <c r="A59" s="237">
        <v>4</v>
      </c>
      <c r="B59" s="238" t="s">
        <v>6</v>
      </c>
      <c r="C59" s="239" t="s">
        <v>550</v>
      </c>
      <c r="D59" s="240" t="s">
        <v>557</v>
      </c>
      <c r="E59" s="215" t="s">
        <v>558</v>
      </c>
      <c r="F59" s="215" t="s">
        <v>469</v>
      </c>
      <c r="G59" s="242">
        <v>45823</v>
      </c>
      <c r="H59" s="242">
        <v>45836</v>
      </c>
      <c r="I59" s="243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ht="28" x14ac:dyDescent="0.3">
      <c r="A60" s="237">
        <v>5</v>
      </c>
      <c r="B60" s="238" t="s">
        <v>6</v>
      </c>
      <c r="C60" s="239" t="s">
        <v>550</v>
      </c>
      <c r="D60" s="240" t="s">
        <v>559</v>
      </c>
      <c r="E60" s="215" t="s">
        <v>560</v>
      </c>
      <c r="F60" s="215" t="s">
        <v>469</v>
      </c>
      <c r="G60" s="242">
        <v>45833</v>
      </c>
      <c r="H60" s="242">
        <v>45836</v>
      </c>
      <c r="I60" s="243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ht="28" x14ac:dyDescent="0.3">
      <c r="A61" s="237">
        <v>6</v>
      </c>
      <c r="B61" s="238" t="s">
        <v>6</v>
      </c>
      <c r="C61" s="239" t="s">
        <v>550</v>
      </c>
      <c r="D61" s="300" t="s">
        <v>561</v>
      </c>
      <c r="E61" s="215" t="s">
        <v>562</v>
      </c>
      <c r="F61" s="215" t="s">
        <v>469</v>
      </c>
      <c r="G61" s="242">
        <v>45840</v>
      </c>
      <c r="H61" s="268">
        <v>45840</v>
      </c>
      <c r="I61" s="243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28" x14ac:dyDescent="0.3">
      <c r="A62" s="237">
        <v>7</v>
      </c>
      <c r="B62" s="237" t="s">
        <v>6</v>
      </c>
      <c r="C62" s="239" t="s">
        <v>550</v>
      </c>
      <c r="D62" s="263" t="s">
        <v>563</v>
      </c>
      <c r="E62" s="215" t="s">
        <v>564</v>
      </c>
      <c r="F62" s="213" t="s">
        <v>469</v>
      </c>
      <c r="G62" s="234">
        <v>45836</v>
      </c>
      <c r="H62" s="268">
        <v>45836</v>
      </c>
      <c r="I62" s="235"/>
      <c r="J62" s="241"/>
      <c r="K62" s="215"/>
      <c r="L62" s="242"/>
      <c r="M62" s="242"/>
      <c r="N62" s="215"/>
      <c r="O62" s="215"/>
      <c r="P62" s="215"/>
      <c r="Q62" s="215"/>
      <c r="R62" s="215"/>
      <c r="S62" s="215"/>
      <c r="T62" s="215"/>
      <c r="U62" s="215"/>
    </row>
    <row r="63" spans="1:21" ht="28" x14ac:dyDescent="0.3">
      <c r="A63" s="269">
        <v>8</v>
      </c>
      <c r="B63" s="237" t="s">
        <v>6</v>
      </c>
      <c r="C63" s="239" t="s">
        <v>550</v>
      </c>
      <c r="D63" s="301" t="s">
        <v>565</v>
      </c>
      <c r="E63" s="215" t="s">
        <v>566</v>
      </c>
      <c r="F63" s="213" t="s">
        <v>469</v>
      </c>
      <c r="G63" s="234">
        <v>45840</v>
      </c>
      <c r="H63" s="234">
        <v>45852</v>
      </c>
      <c r="I63" s="235"/>
      <c r="J63" s="241"/>
      <c r="K63" s="215"/>
      <c r="L63" s="242"/>
      <c r="M63" s="242"/>
      <c r="N63" s="215"/>
      <c r="O63" s="215"/>
      <c r="P63" s="215"/>
      <c r="Q63" s="215"/>
      <c r="R63" s="215"/>
      <c r="S63" s="215"/>
      <c r="T63" s="215"/>
      <c r="U63" s="215"/>
    </row>
    <row r="64" spans="1:21" ht="28" x14ac:dyDescent="0.3">
      <c r="A64" s="269">
        <v>9</v>
      </c>
      <c r="B64" s="238" t="s">
        <v>6</v>
      </c>
      <c r="C64" s="239" t="s">
        <v>550</v>
      </c>
      <c r="D64" s="300" t="s">
        <v>567</v>
      </c>
      <c r="E64" s="215" t="s">
        <v>568</v>
      </c>
      <c r="F64" s="213" t="s">
        <v>469</v>
      </c>
      <c r="G64" s="234">
        <v>45843</v>
      </c>
      <c r="H64" s="234">
        <v>45843</v>
      </c>
      <c r="I64" s="235"/>
      <c r="J64" s="241"/>
      <c r="K64" s="215"/>
      <c r="L64" s="242"/>
      <c r="M64" s="242"/>
      <c r="N64" s="215"/>
      <c r="O64" s="215"/>
      <c r="P64" s="215"/>
      <c r="Q64" s="215"/>
      <c r="R64" s="215"/>
      <c r="S64" s="215"/>
      <c r="T64" s="215"/>
      <c r="U64" s="215"/>
    </row>
    <row r="65" spans="1:21" x14ac:dyDescent="0.3">
      <c r="A65" s="269">
        <v>1</v>
      </c>
      <c r="B65" s="237" t="s">
        <v>6</v>
      </c>
      <c r="C65" s="270" t="s">
        <v>569</v>
      </c>
      <c r="D65" s="263" t="s">
        <v>570</v>
      </c>
      <c r="E65" s="215" t="s">
        <v>571</v>
      </c>
      <c r="F65" s="213" t="s">
        <v>479</v>
      </c>
      <c r="G65" s="234">
        <v>45828</v>
      </c>
      <c r="H65" s="234">
        <v>45839</v>
      </c>
      <c r="I65" s="235"/>
      <c r="J65" s="241"/>
      <c r="K65" s="215"/>
      <c r="L65" s="242"/>
      <c r="M65" s="242"/>
      <c r="N65" s="215"/>
      <c r="O65" s="215"/>
      <c r="P65" s="215"/>
      <c r="Q65" s="215"/>
      <c r="R65" s="215"/>
      <c r="S65" s="215"/>
      <c r="T65" s="215"/>
      <c r="U65" s="215"/>
    </row>
    <row r="66" spans="1:21" x14ac:dyDescent="0.3">
      <c r="A66" s="237">
        <v>2</v>
      </c>
      <c r="B66" s="237" t="s">
        <v>6</v>
      </c>
      <c r="C66" s="270" t="s">
        <v>569</v>
      </c>
      <c r="D66" s="263" t="s">
        <v>572</v>
      </c>
      <c r="E66" s="215" t="s">
        <v>573</v>
      </c>
      <c r="F66" s="213" t="s">
        <v>479</v>
      </c>
      <c r="G66" s="234">
        <v>45833</v>
      </c>
      <c r="H66" s="234">
        <v>45839</v>
      </c>
      <c r="I66" s="235"/>
      <c r="J66" s="241"/>
      <c r="K66" s="215"/>
      <c r="L66" s="242"/>
      <c r="M66" s="242"/>
      <c r="N66" s="215"/>
      <c r="O66" s="215"/>
      <c r="P66" s="215"/>
      <c r="Q66" s="215"/>
      <c r="R66" s="215"/>
      <c r="S66" s="215"/>
      <c r="T66" s="215"/>
      <c r="U66" s="215"/>
    </row>
    <row r="67" spans="1:21" ht="30" customHeight="1" x14ac:dyDescent="0.3">
      <c r="A67" s="430">
        <v>3</v>
      </c>
      <c r="B67" s="237" t="s">
        <v>6</v>
      </c>
      <c r="C67" s="437" t="s">
        <v>569</v>
      </c>
      <c r="D67" s="439" t="s">
        <v>574</v>
      </c>
      <c r="E67" s="427" t="s">
        <v>575</v>
      </c>
      <c r="F67" s="441" t="s">
        <v>479</v>
      </c>
      <c r="G67" s="443">
        <v>45738</v>
      </c>
      <c r="H67" s="443">
        <f>L67</f>
        <v>45799</v>
      </c>
      <c r="I67" s="445"/>
      <c r="J67" s="447"/>
      <c r="K67" s="215" t="s">
        <v>470</v>
      </c>
      <c r="L67" s="242">
        <v>45799</v>
      </c>
      <c r="M67" s="242">
        <v>45800</v>
      </c>
      <c r="N67" s="215" t="s">
        <v>480</v>
      </c>
      <c r="O67" s="215">
        <f>M67-L67</f>
        <v>1</v>
      </c>
      <c r="P67" s="215">
        <f>L68-M67</f>
        <v>15</v>
      </c>
      <c r="Q67" s="427"/>
      <c r="R67" s="427" t="s">
        <v>502</v>
      </c>
      <c r="S67" s="427" t="str">
        <f>N68</f>
        <v>CAT -IV R</v>
      </c>
      <c r="T67" s="427" t="s">
        <v>476</v>
      </c>
      <c r="U67" s="427">
        <f ca="1">U1-M67</f>
        <v>53</v>
      </c>
    </row>
    <row r="68" spans="1:21" x14ac:dyDescent="0.3">
      <c r="A68" s="432"/>
      <c r="B68" s="237"/>
      <c r="C68" s="438"/>
      <c r="D68" s="440"/>
      <c r="E68" s="429"/>
      <c r="F68" s="442"/>
      <c r="G68" s="444"/>
      <c r="H68" s="444"/>
      <c r="I68" s="446"/>
      <c r="J68" s="448"/>
      <c r="K68" s="215" t="s">
        <v>472</v>
      </c>
      <c r="L68" s="242">
        <v>45815</v>
      </c>
      <c r="M68" s="242">
        <v>45826</v>
      </c>
      <c r="N68" s="215" t="s">
        <v>480</v>
      </c>
      <c r="O68" s="215">
        <f ca="1">O1-L68</f>
        <v>38</v>
      </c>
      <c r="P68" s="215"/>
      <c r="Q68" s="429"/>
      <c r="R68" s="429"/>
      <c r="S68" s="429"/>
      <c r="T68" s="429"/>
      <c r="U68" s="429"/>
    </row>
    <row r="69" spans="1:21" ht="14.15" customHeight="1" x14ac:dyDescent="0.3">
      <c r="A69" s="430">
        <v>4</v>
      </c>
      <c r="B69" s="395" t="s">
        <v>6</v>
      </c>
      <c r="C69" s="396" t="s">
        <v>569</v>
      </c>
      <c r="D69" s="397" t="s">
        <v>576</v>
      </c>
      <c r="E69" s="393" t="s">
        <v>577</v>
      </c>
      <c r="F69" s="393" t="s">
        <v>469</v>
      </c>
      <c r="G69" s="392">
        <v>45719</v>
      </c>
      <c r="H69" s="392">
        <f>L69</f>
        <v>45719</v>
      </c>
      <c r="I69" s="226"/>
      <c r="J69" s="227"/>
      <c r="K69" s="224" t="s">
        <v>470</v>
      </c>
      <c r="L69" s="225">
        <v>45719</v>
      </c>
      <c r="M69" s="225">
        <v>45721</v>
      </c>
      <c r="N69" s="224" t="s">
        <v>471</v>
      </c>
      <c r="O69" s="224">
        <f>M69-L69</f>
        <v>2</v>
      </c>
      <c r="P69" s="224">
        <f>L70-M69</f>
        <v>15</v>
      </c>
      <c r="Q69" s="410">
        <f>M71</f>
        <v>45800</v>
      </c>
      <c r="R69" s="393" t="str">
        <f>T69</f>
        <v>Approved</v>
      </c>
      <c r="S69" s="393" t="str">
        <f>N70</f>
        <v>CAT - I</v>
      </c>
      <c r="T69" s="393" t="s">
        <v>399</v>
      </c>
      <c r="U69" s="393">
        <f>M71-L71</f>
        <v>1</v>
      </c>
    </row>
    <row r="70" spans="1:21" x14ac:dyDescent="0.3">
      <c r="A70" s="431"/>
      <c r="B70" s="395"/>
      <c r="C70" s="396"/>
      <c r="D70" s="397"/>
      <c r="E70" s="393"/>
      <c r="F70" s="393"/>
      <c r="G70" s="392"/>
      <c r="H70" s="392"/>
      <c r="I70" s="226"/>
      <c r="J70" s="227"/>
      <c r="K70" s="224" t="s">
        <v>472</v>
      </c>
      <c r="L70" s="225">
        <v>45736</v>
      </c>
      <c r="M70" s="225">
        <v>45738</v>
      </c>
      <c r="N70" s="224" t="s">
        <v>485</v>
      </c>
      <c r="O70" s="224">
        <f>M70-L70</f>
        <v>2</v>
      </c>
      <c r="P70" s="224">
        <f>L71-M70</f>
        <v>61</v>
      </c>
      <c r="Q70" s="410"/>
      <c r="R70" s="393"/>
      <c r="S70" s="393"/>
      <c r="T70" s="393"/>
      <c r="U70" s="393"/>
    </row>
    <row r="71" spans="1:21" x14ac:dyDescent="0.3">
      <c r="A71" s="432"/>
      <c r="B71" s="395"/>
      <c r="C71" s="396"/>
      <c r="D71" s="397"/>
      <c r="E71" s="393"/>
      <c r="F71" s="393"/>
      <c r="G71" s="392"/>
      <c r="H71" s="392"/>
      <c r="I71" s="226"/>
      <c r="J71" s="227"/>
      <c r="K71" s="224" t="s">
        <v>474</v>
      </c>
      <c r="L71" s="225">
        <v>45799</v>
      </c>
      <c r="M71" s="225">
        <v>45800</v>
      </c>
      <c r="N71" s="224" t="s">
        <v>485</v>
      </c>
      <c r="O71" s="224">
        <f>M71-L71</f>
        <v>1</v>
      </c>
      <c r="P71" s="224"/>
      <c r="Q71" s="410"/>
      <c r="R71" s="393"/>
      <c r="S71" s="393"/>
      <c r="T71" s="393"/>
      <c r="U71" s="393"/>
    </row>
    <row r="72" spans="1:21" x14ac:dyDescent="0.3">
      <c r="A72" s="237">
        <v>5</v>
      </c>
      <c r="B72" s="238" t="s">
        <v>6</v>
      </c>
      <c r="C72" s="239" t="s">
        <v>569</v>
      </c>
      <c r="D72" s="240" t="s">
        <v>578</v>
      </c>
      <c r="E72" s="215" t="s">
        <v>579</v>
      </c>
      <c r="F72" s="215" t="s">
        <v>469</v>
      </c>
      <c r="G72" s="242">
        <v>45853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6</v>
      </c>
      <c r="B73" s="238" t="s">
        <v>6</v>
      </c>
      <c r="C73" s="239" t="s">
        <v>569</v>
      </c>
      <c r="D73" s="263" t="s">
        <v>388</v>
      </c>
      <c r="E73" s="215" t="s">
        <v>580</v>
      </c>
      <c r="F73" s="215" t="s">
        <v>469</v>
      </c>
      <c r="G73" s="242">
        <v>45795</v>
      </c>
      <c r="H73" s="242">
        <v>45848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7</v>
      </c>
      <c r="B74" s="238" t="s">
        <v>6</v>
      </c>
      <c r="C74" s="239" t="s">
        <v>569</v>
      </c>
      <c r="D74" s="240" t="s">
        <v>581</v>
      </c>
      <c r="E74" s="215" t="s">
        <v>582</v>
      </c>
      <c r="F74" s="215" t="s">
        <v>469</v>
      </c>
      <c r="G74" s="242">
        <v>45858</v>
      </c>
      <c r="H74" s="242">
        <v>45848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x14ac:dyDescent="0.3">
      <c r="A75" s="237">
        <v>8</v>
      </c>
      <c r="B75" s="238" t="s">
        <v>6</v>
      </c>
      <c r="C75" s="239" t="s">
        <v>569</v>
      </c>
      <c r="D75" s="240" t="s">
        <v>583</v>
      </c>
      <c r="E75" s="215" t="s">
        <v>584</v>
      </c>
      <c r="F75" s="215" t="s">
        <v>469</v>
      </c>
      <c r="G75" s="242">
        <v>45863</v>
      </c>
      <c r="H75" s="242">
        <v>45853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x14ac:dyDescent="0.3">
      <c r="A76" s="237">
        <v>9</v>
      </c>
      <c r="B76" s="238" t="s">
        <v>6</v>
      </c>
      <c r="C76" s="239" t="s">
        <v>569</v>
      </c>
      <c r="D76" s="240" t="s">
        <v>585</v>
      </c>
      <c r="E76" s="215" t="s">
        <v>586</v>
      </c>
      <c r="F76" s="215" t="s">
        <v>469</v>
      </c>
      <c r="G76" s="242">
        <v>45874</v>
      </c>
      <c r="H76" s="242">
        <v>45853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10</v>
      </c>
      <c r="B77" s="238" t="s">
        <v>6</v>
      </c>
      <c r="C77" s="239" t="s">
        <v>569</v>
      </c>
      <c r="D77" s="240" t="s">
        <v>587</v>
      </c>
      <c r="E77" s="215" t="s">
        <v>588</v>
      </c>
      <c r="F77" s="215" t="s">
        <v>469</v>
      </c>
      <c r="G77" s="242">
        <v>45877</v>
      </c>
      <c r="H77" s="242">
        <v>45853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11</v>
      </c>
      <c r="B78" s="238" t="s">
        <v>6</v>
      </c>
      <c r="C78" s="239" t="s">
        <v>569</v>
      </c>
      <c r="D78" s="240" t="s">
        <v>589</v>
      </c>
      <c r="E78" s="215" t="s">
        <v>590</v>
      </c>
      <c r="F78" s="215" t="s">
        <v>469</v>
      </c>
      <c r="G78" s="242">
        <v>45881</v>
      </c>
      <c r="H78" s="242">
        <v>45860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x14ac:dyDescent="0.3">
      <c r="A79" s="237">
        <v>12</v>
      </c>
      <c r="B79" s="238" t="s">
        <v>6</v>
      </c>
      <c r="C79" s="239" t="s">
        <v>569</v>
      </c>
      <c r="D79" s="240" t="s">
        <v>591</v>
      </c>
      <c r="E79" s="215" t="s">
        <v>592</v>
      </c>
      <c r="F79" s="215" t="s">
        <v>469</v>
      </c>
      <c r="G79" s="242">
        <v>45843</v>
      </c>
      <c r="H79" s="242">
        <v>45860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13</v>
      </c>
      <c r="B80" s="238" t="s">
        <v>6</v>
      </c>
      <c r="C80" s="239" t="s">
        <v>569</v>
      </c>
      <c r="D80" s="240" t="s">
        <v>593</v>
      </c>
      <c r="E80" s="215" t="s">
        <v>594</v>
      </c>
      <c r="F80" s="215" t="s">
        <v>469</v>
      </c>
      <c r="G80" s="242">
        <v>45848</v>
      </c>
      <c r="H80" s="242">
        <v>45864</v>
      </c>
      <c r="I80" s="243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ht="28" x14ac:dyDescent="0.3">
      <c r="A81" s="237">
        <v>14</v>
      </c>
      <c r="B81" s="238" t="s">
        <v>6</v>
      </c>
      <c r="C81" s="239" t="s">
        <v>569</v>
      </c>
      <c r="D81" s="240" t="s">
        <v>595</v>
      </c>
      <c r="E81" s="215" t="s">
        <v>596</v>
      </c>
      <c r="F81" s="215" t="s">
        <v>469</v>
      </c>
      <c r="G81" s="242">
        <v>45833</v>
      </c>
      <c r="H81" s="242">
        <v>45870</v>
      </c>
      <c r="I81" s="243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15</v>
      </c>
      <c r="B82" s="238" t="s">
        <v>6</v>
      </c>
      <c r="C82" s="239" t="s">
        <v>569</v>
      </c>
      <c r="D82" s="240" t="s">
        <v>597</v>
      </c>
      <c r="E82" s="215" t="s">
        <v>598</v>
      </c>
      <c r="F82" s="215" t="s">
        <v>469</v>
      </c>
      <c r="G82" s="242">
        <v>45838</v>
      </c>
      <c r="H82" s="242">
        <v>45868</v>
      </c>
      <c r="I82" s="243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16</v>
      </c>
      <c r="B83" s="238" t="s">
        <v>6</v>
      </c>
      <c r="C83" s="239" t="s">
        <v>569</v>
      </c>
      <c r="D83" s="240" t="s">
        <v>599</v>
      </c>
      <c r="E83" s="215" t="s">
        <v>600</v>
      </c>
      <c r="F83" s="215" t="s">
        <v>469</v>
      </c>
      <c r="G83" s="242">
        <v>45843</v>
      </c>
      <c r="H83" s="242">
        <v>45868</v>
      </c>
      <c r="I83" s="243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17</v>
      </c>
      <c r="B84" s="238" t="s">
        <v>6</v>
      </c>
      <c r="C84" s="239" t="s">
        <v>569</v>
      </c>
      <c r="D84" s="240" t="s">
        <v>601</v>
      </c>
      <c r="E84" s="215" t="s">
        <v>602</v>
      </c>
      <c r="F84" s="215" t="s">
        <v>469</v>
      </c>
      <c r="G84" s="242">
        <v>45846</v>
      </c>
      <c r="H84" s="234">
        <f>H81</f>
        <v>45870</v>
      </c>
      <c r="I84" s="243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18</v>
      </c>
      <c r="B85" s="238" t="s">
        <v>6</v>
      </c>
      <c r="C85" s="239" t="s">
        <v>569</v>
      </c>
      <c r="D85" s="263" t="s">
        <v>603</v>
      </c>
      <c r="E85" s="215" t="s">
        <v>604</v>
      </c>
      <c r="F85" s="213" t="s">
        <v>479</v>
      </c>
      <c r="G85" s="234">
        <v>45848</v>
      </c>
      <c r="H85" s="234">
        <v>45848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x14ac:dyDescent="0.3">
      <c r="A86" s="237">
        <v>19</v>
      </c>
      <c r="B86" s="238" t="s">
        <v>6</v>
      </c>
      <c r="C86" s="239" t="s">
        <v>569</v>
      </c>
      <c r="D86" s="263" t="s">
        <v>605</v>
      </c>
      <c r="E86" s="215" t="s">
        <v>606</v>
      </c>
      <c r="F86" s="213" t="s">
        <v>479</v>
      </c>
      <c r="G86" s="234">
        <v>45853</v>
      </c>
      <c r="H86" s="234">
        <v>45876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ht="28" x14ac:dyDescent="0.3">
      <c r="A87" s="237">
        <v>20</v>
      </c>
      <c r="B87" s="238" t="s">
        <v>6</v>
      </c>
      <c r="C87" s="239" t="s">
        <v>569</v>
      </c>
      <c r="D87" s="263" t="s">
        <v>607</v>
      </c>
      <c r="E87" s="215" t="s">
        <v>608</v>
      </c>
      <c r="F87" s="213" t="s">
        <v>469</v>
      </c>
      <c r="G87" s="234">
        <v>45853</v>
      </c>
      <c r="H87" s="234">
        <v>45876</v>
      </c>
      <c r="I87" s="235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37">
        <v>21</v>
      </c>
      <c r="B88" s="238" t="s">
        <v>6</v>
      </c>
      <c r="C88" s="239" t="s">
        <v>569</v>
      </c>
      <c r="D88" s="263" t="s">
        <v>609</v>
      </c>
      <c r="E88" s="215" t="s">
        <v>610</v>
      </c>
      <c r="F88" s="213" t="s">
        <v>479</v>
      </c>
      <c r="G88" s="234">
        <v>45858</v>
      </c>
      <c r="H88" s="234">
        <v>45882</v>
      </c>
      <c r="I88" s="235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37">
        <v>22</v>
      </c>
      <c r="B89" s="238" t="s">
        <v>6</v>
      </c>
      <c r="C89" s="239" t="s">
        <v>569</v>
      </c>
      <c r="D89" s="263" t="s">
        <v>611</v>
      </c>
      <c r="E89" s="215" t="s">
        <v>612</v>
      </c>
      <c r="F89" s="213" t="s">
        <v>469</v>
      </c>
      <c r="G89" s="234">
        <v>45826</v>
      </c>
      <c r="H89" s="234">
        <f>H88</f>
        <v>45882</v>
      </c>
      <c r="I89" s="235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ht="28" x14ac:dyDescent="0.3">
      <c r="A90" s="237">
        <v>23</v>
      </c>
      <c r="B90" s="238" t="s">
        <v>6</v>
      </c>
      <c r="C90" s="239" t="s">
        <v>569</v>
      </c>
      <c r="D90" s="263" t="s">
        <v>613</v>
      </c>
      <c r="E90" s="215" t="s">
        <v>614</v>
      </c>
      <c r="F90" s="213" t="s">
        <v>479</v>
      </c>
      <c r="G90" s="234">
        <v>45833</v>
      </c>
      <c r="H90" s="234">
        <v>45887</v>
      </c>
      <c r="I90" s="235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ht="28" x14ac:dyDescent="0.3">
      <c r="A91" s="237">
        <v>24</v>
      </c>
      <c r="B91" s="238" t="s">
        <v>6</v>
      </c>
      <c r="C91" s="239" t="s">
        <v>569</v>
      </c>
      <c r="D91" s="263" t="s">
        <v>615</v>
      </c>
      <c r="E91" s="215" t="s">
        <v>616</v>
      </c>
      <c r="F91" s="213" t="s">
        <v>469</v>
      </c>
      <c r="G91" s="234">
        <v>45863</v>
      </c>
      <c r="H91" s="234">
        <v>45887</v>
      </c>
      <c r="I91" s="235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69">
        <v>25</v>
      </c>
      <c r="B92" s="238" t="s">
        <v>6</v>
      </c>
      <c r="C92" s="239" t="s">
        <v>569</v>
      </c>
      <c r="D92" s="240" t="s">
        <v>617</v>
      </c>
      <c r="E92" s="215" t="s">
        <v>618</v>
      </c>
      <c r="F92" s="213" t="s">
        <v>469</v>
      </c>
      <c r="G92" s="242">
        <v>45828</v>
      </c>
      <c r="H92" s="234">
        <v>45887</v>
      </c>
      <c r="I92" s="274"/>
      <c r="J92" s="241"/>
      <c r="K92" s="215"/>
      <c r="L92" s="242"/>
      <c r="M92" s="242"/>
      <c r="N92" s="215"/>
      <c r="O92" s="215"/>
      <c r="P92" s="215"/>
      <c r="Q92" s="215"/>
      <c r="R92" s="215"/>
      <c r="S92" s="215"/>
      <c r="T92" s="215"/>
      <c r="U92" s="215"/>
    </row>
    <row r="93" spans="1:21" ht="28" x14ac:dyDescent="0.3">
      <c r="A93" s="269">
        <v>26</v>
      </c>
      <c r="B93" s="238" t="s">
        <v>6</v>
      </c>
      <c r="C93" s="239" t="s">
        <v>569</v>
      </c>
      <c r="D93" s="263" t="s">
        <v>619</v>
      </c>
      <c r="E93" s="215" t="s">
        <v>620</v>
      </c>
      <c r="F93" s="213" t="s">
        <v>479</v>
      </c>
      <c r="G93" s="242">
        <v>45833</v>
      </c>
      <c r="H93" s="234">
        <f>H81</f>
        <v>45870</v>
      </c>
      <c r="I93" s="274"/>
      <c r="J93" s="241"/>
      <c r="K93" s="215"/>
      <c r="L93" s="242"/>
      <c r="M93" s="242"/>
      <c r="N93" s="215"/>
      <c r="O93" s="215"/>
      <c r="P93" s="215"/>
      <c r="Q93" s="215"/>
      <c r="R93" s="215"/>
      <c r="S93" s="215"/>
      <c r="T93" s="215"/>
      <c r="U93" s="215"/>
    </row>
    <row r="94" spans="1:21" ht="28" x14ac:dyDescent="0.3">
      <c r="A94" s="269">
        <v>27</v>
      </c>
      <c r="B94" s="238" t="s">
        <v>6</v>
      </c>
      <c r="C94" s="239" t="s">
        <v>569</v>
      </c>
      <c r="D94" s="240" t="s">
        <v>621</v>
      </c>
      <c r="E94" s="215" t="s">
        <v>622</v>
      </c>
      <c r="F94" s="213" t="s">
        <v>469</v>
      </c>
      <c r="G94" s="242">
        <v>45836</v>
      </c>
      <c r="H94" s="234">
        <v>45889</v>
      </c>
      <c r="I94" s="274"/>
      <c r="J94" s="241"/>
      <c r="K94" s="215"/>
      <c r="L94" s="242"/>
      <c r="M94" s="242"/>
      <c r="N94" s="215"/>
      <c r="O94" s="215"/>
      <c r="P94" s="215"/>
      <c r="Q94" s="215"/>
      <c r="R94" s="215"/>
      <c r="S94" s="215"/>
      <c r="T94" s="215"/>
      <c r="U94" s="215"/>
    </row>
    <row r="95" spans="1:21" x14ac:dyDescent="0.3">
      <c r="A95" s="269">
        <v>28</v>
      </c>
      <c r="B95" s="238" t="s">
        <v>6</v>
      </c>
      <c r="C95" s="239" t="s">
        <v>569</v>
      </c>
      <c r="D95" s="240" t="s">
        <v>623</v>
      </c>
      <c r="E95" s="215" t="s">
        <v>624</v>
      </c>
      <c r="F95" s="215" t="s">
        <v>469</v>
      </c>
      <c r="G95" s="242">
        <v>45858</v>
      </c>
      <c r="H95" s="234">
        <v>45889</v>
      </c>
      <c r="I95" s="243"/>
      <c r="J95" s="241"/>
      <c r="K95" s="215"/>
      <c r="L95" s="242"/>
      <c r="M95" s="242"/>
      <c r="N95" s="215"/>
      <c r="O95" s="215"/>
      <c r="P95" s="215"/>
      <c r="Q95" s="215"/>
      <c r="R95" s="215"/>
      <c r="S95" s="215"/>
      <c r="T95" s="215"/>
      <c r="U95" s="215"/>
    </row>
    <row r="96" spans="1:21" x14ac:dyDescent="0.3">
      <c r="A96" s="269">
        <v>29</v>
      </c>
      <c r="B96" s="238" t="s">
        <v>6</v>
      </c>
      <c r="C96" s="239" t="s">
        <v>569</v>
      </c>
      <c r="D96" s="240" t="s">
        <v>625</v>
      </c>
      <c r="E96" s="215" t="s">
        <v>626</v>
      </c>
      <c r="F96" s="215" t="s">
        <v>469</v>
      </c>
      <c r="G96" s="242">
        <v>45863</v>
      </c>
      <c r="H96" s="234">
        <f>G96</f>
        <v>45863</v>
      </c>
      <c r="I96" s="243"/>
      <c r="J96" s="241"/>
      <c r="K96" s="215"/>
      <c r="L96" s="242"/>
      <c r="M96" s="242"/>
      <c r="N96" s="215"/>
      <c r="O96" s="215"/>
      <c r="P96" s="215"/>
      <c r="Q96" s="215"/>
      <c r="R96" s="215"/>
      <c r="S96" s="215"/>
      <c r="T96" s="215"/>
      <c r="U96" s="215"/>
    </row>
    <row r="97" spans="1:21" x14ac:dyDescent="0.3">
      <c r="A97" s="275"/>
      <c r="B97" s="395" t="s">
        <v>627</v>
      </c>
      <c r="C97" s="396" t="s">
        <v>628</v>
      </c>
      <c r="D97" s="397" t="s">
        <v>629</v>
      </c>
      <c r="E97" s="393" t="s">
        <v>630</v>
      </c>
      <c r="F97" s="393" t="s">
        <v>469</v>
      </c>
      <c r="G97" s="392">
        <v>45719</v>
      </c>
      <c r="H97" s="406">
        <f>L97</f>
        <v>45714</v>
      </c>
      <c r="I97" s="226"/>
      <c r="J97" s="227"/>
      <c r="K97" s="224" t="s">
        <v>470</v>
      </c>
      <c r="L97" s="225">
        <v>45714</v>
      </c>
      <c r="M97" s="225">
        <v>45721</v>
      </c>
      <c r="N97" s="224" t="s">
        <v>471</v>
      </c>
      <c r="O97" s="224">
        <f>M97-L97</f>
        <v>7</v>
      </c>
      <c r="P97" s="224">
        <f>L98-M97</f>
        <v>33</v>
      </c>
      <c r="Q97" s="393"/>
      <c r="R97" s="393" t="s">
        <v>399</v>
      </c>
      <c r="S97" s="393" t="str">
        <f>N100</f>
        <v>CAT - I</v>
      </c>
      <c r="T97" s="393" t="s">
        <v>399</v>
      </c>
      <c r="U97" s="393"/>
    </row>
    <row r="98" spans="1:21" x14ac:dyDescent="0.3">
      <c r="A98" s="276">
        <v>3</v>
      </c>
      <c r="B98" s="395"/>
      <c r="C98" s="396"/>
      <c r="D98" s="397"/>
      <c r="E98" s="393"/>
      <c r="F98" s="393"/>
      <c r="G98" s="392"/>
      <c r="H98" s="419"/>
      <c r="I98" s="226"/>
      <c r="J98" s="227"/>
      <c r="K98" s="224" t="s">
        <v>472</v>
      </c>
      <c r="L98" s="225">
        <v>45754</v>
      </c>
      <c r="M98" s="225">
        <v>45763</v>
      </c>
      <c r="N98" s="224" t="s">
        <v>471</v>
      </c>
      <c r="O98" s="224">
        <f>M98-L98</f>
        <v>9</v>
      </c>
      <c r="P98" s="224">
        <f>L99-M98</f>
        <v>4</v>
      </c>
      <c r="Q98" s="393"/>
      <c r="R98" s="393"/>
      <c r="S98" s="393"/>
      <c r="T98" s="393"/>
      <c r="U98" s="393"/>
    </row>
    <row r="99" spans="1:21" x14ac:dyDescent="0.3">
      <c r="A99" s="449">
        <v>4</v>
      </c>
      <c r="B99" s="395"/>
      <c r="C99" s="396"/>
      <c r="D99" s="397"/>
      <c r="E99" s="393"/>
      <c r="F99" s="393"/>
      <c r="G99" s="392"/>
      <c r="H99" s="419"/>
      <c r="I99" s="226"/>
      <c r="J99" s="227"/>
      <c r="K99" s="224" t="s">
        <v>474</v>
      </c>
      <c r="L99" s="225">
        <v>45767</v>
      </c>
      <c r="M99" s="225">
        <v>45770</v>
      </c>
      <c r="N99" s="224" t="s">
        <v>494</v>
      </c>
      <c r="O99" s="224">
        <f>M99-L99</f>
        <v>3</v>
      </c>
      <c r="P99" s="224">
        <f>L100-M99</f>
        <v>1</v>
      </c>
      <c r="Q99" s="393"/>
      <c r="R99" s="393"/>
      <c r="S99" s="393"/>
      <c r="T99" s="393"/>
      <c r="U99" s="393"/>
    </row>
    <row r="100" spans="1:21" x14ac:dyDescent="0.3">
      <c r="A100" s="449"/>
      <c r="B100" s="395"/>
      <c r="C100" s="396"/>
      <c r="D100" s="397"/>
      <c r="E100" s="393"/>
      <c r="F100" s="393"/>
      <c r="G100" s="392"/>
      <c r="H100" s="407"/>
      <c r="I100" s="226"/>
      <c r="J100" s="227"/>
      <c r="K100" s="224" t="s">
        <v>475</v>
      </c>
      <c r="L100" s="225">
        <v>45771</v>
      </c>
      <c r="M100" s="225">
        <v>45820</v>
      </c>
      <c r="N100" s="224" t="s">
        <v>485</v>
      </c>
      <c r="O100" s="224">
        <f ca="1">O1-L100</f>
        <v>82</v>
      </c>
      <c r="P100" s="224"/>
      <c r="Q100" s="393"/>
      <c r="R100" s="393"/>
      <c r="S100" s="393"/>
      <c r="T100" s="393"/>
      <c r="U100" s="393"/>
    </row>
    <row r="101" spans="1:21" x14ac:dyDescent="0.3">
      <c r="A101" s="276">
        <v>5</v>
      </c>
      <c r="B101" s="449" t="s">
        <v>627</v>
      </c>
      <c r="C101" s="450" t="s">
        <v>628</v>
      </c>
      <c r="D101" s="451" t="s">
        <v>847</v>
      </c>
      <c r="E101" s="436" t="s">
        <v>632</v>
      </c>
      <c r="F101" s="436" t="s">
        <v>469</v>
      </c>
      <c r="G101" s="453">
        <v>45755</v>
      </c>
      <c r="H101" s="423">
        <f>L101</f>
        <v>45772</v>
      </c>
      <c r="I101" s="243"/>
      <c r="J101" s="436"/>
      <c r="K101" s="215" t="s">
        <v>470</v>
      </c>
      <c r="L101" s="242">
        <v>45772</v>
      </c>
      <c r="M101" s="242">
        <v>45790</v>
      </c>
      <c r="N101" s="215" t="s">
        <v>471</v>
      </c>
      <c r="O101" s="215">
        <f>M101-L101</f>
        <v>18</v>
      </c>
      <c r="P101" s="215">
        <f>L102-M101</f>
        <v>3</v>
      </c>
      <c r="Q101" s="436"/>
      <c r="R101" s="436" t="s">
        <v>495</v>
      </c>
      <c r="S101" s="436" t="str">
        <f>N101</f>
        <v>CAT - III</v>
      </c>
      <c r="T101" s="436" t="s">
        <v>476</v>
      </c>
      <c r="U101" s="436">
        <f ca="1">U1-L102</f>
        <v>60</v>
      </c>
    </row>
    <row r="102" spans="1:21" ht="14.15" customHeight="1" x14ac:dyDescent="0.3">
      <c r="A102" s="276">
        <v>6</v>
      </c>
      <c r="B102" s="449"/>
      <c r="C102" s="450"/>
      <c r="D102" s="452"/>
      <c r="E102" s="436"/>
      <c r="F102" s="436"/>
      <c r="G102" s="453"/>
      <c r="H102" s="425"/>
      <c r="I102" s="243"/>
      <c r="J102" s="436"/>
      <c r="K102" s="215" t="s">
        <v>472</v>
      </c>
      <c r="L102" s="242">
        <v>45793</v>
      </c>
      <c r="M102" s="242">
        <v>45827</v>
      </c>
      <c r="N102" s="215"/>
      <c r="O102" s="215">
        <f ca="1">O1-L102</f>
        <v>60</v>
      </c>
      <c r="P102" s="215"/>
      <c r="Q102" s="436"/>
      <c r="R102" s="436"/>
      <c r="S102" s="436"/>
      <c r="T102" s="436"/>
      <c r="U102" s="436"/>
    </row>
    <row r="103" spans="1:21" ht="28" x14ac:dyDescent="0.3">
      <c r="A103" s="276">
        <v>7</v>
      </c>
      <c r="B103" s="276" t="s">
        <v>627</v>
      </c>
      <c r="C103" s="277" t="s">
        <v>628</v>
      </c>
      <c r="D103" s="278" t="s">
        <v>633</v>
      </c>
      <c r="E103" s="215" t="s">
        <v>634</v>
      </c>
      <c r="F103" s="215" t="s">
        <v>469</v>
      </c>
      <c r="G103" s="242">
        <v>45762</v>
      </c>
      <c r="H103" s="242">
        <f>L103</f>
        <v>45790</v>
      </c>
      <c r="I103" s="243"/>
      <c r="J103" s="243"/>
      <c r="K103" s="215" t="s">
        <v>470</v>
      </c>
      <c r="L103" s="242">
        <v>45790</v>
      </c>
      <c r="M103" s="242">
        <v>45821</v>
      </c>
      <c r="N103" s="215" t="s">
        <v>471</v>
      </c>
      <c r="O103" s="215">
        <f ca="1">O1-L103</f>
        <v>63</v>
      </c>
      <c r="P103" s="215"/>
      <c r="Q103" s="215"/>
      <c r="R103" s="215" t="s">
        <v>502</v>
      </c>
      <c r="S103" s="215" t="str">
        <f>N103</f>
        <v>CAT - III</v>
      </c>
      <c r="T103" s="215" t="s">
        <v>476</v>
      </c>
      <c r="U103" s="215">
        <f ca="1">U1-L103</f>
        <v>63</v>
      </c>
    </row>
    <row r="104" spans="1:21" x14ac:dyDescent="0.3">
      <c r="A104" s="276">
        <v>8</v>
      </c>
      <c r="B104" s="449" t="s">
        <v>627</v>
      </c>
      <c r="C104" s="450" t="s">
        <v>628</v>
      </c>
      <c r="D104" s="454" t="s">
        <v>635</v>
      </c>
      <c r="E104" s="436" t="s">
        <v>636</v>
      </c>
      <c r="F104" s="436" t="s">
        <v>469</v>
      </c>
      <c r="G104" s="453">
        <v>45780</v>
      </c>
      <c r="H104" s="423">
        <f>L104</f>
        <v>45758</v>
      </c>
      <c r="I104" s="243"/>
      <c r="J104" s="455">
        <v>45821</v>
      </c>
      <c r="K104" s="215" t="s">
        <v>470</v>
      </c>
      <c r="L104" s="242">
        <v>45758</v>
      </c>
      <c r="M104" s="242">
        <v>45766</v>
      </c>
      <c r="N104" s="215" t="s">
        <v>471</v>
      </c>
      <c r="O104" s="215">
        <f>M104-L104</f>
        <v>8</v>
      </c>
      <c r="P104" s="215">
        <f>L106-M104</f>
        <v>57</v>
      </c>
      <c r="Q104" s="436"/>
      <c r="R104" s="436" t="s">
        <v>502</v>
      </c>
      <c r="S104" s="436" t="str">
        <f>N106</f>
        <v>CAT - II</v>
      </c>
      <c r="T104" s="436" t="s">
        <v>476</v>
      </c>
      <c r="U104" s="436">
        <f ca="1">U1-M106</f>
        <v>26</v>
      </c>
    </row>
    <row r="105" spans="1:21" x14ac:dyDescent="0.3">
      <c r="A105" s="276">
        <v>9</v>
      </c>
      <c r="B105" s="449"/>
      <c r="C105" s="450"/>
      <c r="D105" s="454"/>
      <c r="E105" s="436"/>
      <c r="F105" s="436"/>
      <c r="G105" s="453"/>
      <c r="H105" s="424"/>
      <c r="I105" s="243"/>
      <c r="J105" s="456"/>
      <c r="K105" s="215" t="s">
        <v>472</v>
      </c>
      <c r="L105" s="242">
        <v>45793</v>
      </c>
      <c r="M105" s="242">
        <v>45808</v>
      </c>
      <c r="N105" s="215" t="s">
        <v>471</v>
      </c>
      <c r="O105" s="215">
        <f>L106-M105</f>
        <v>15</v>
      </c>
      <c r="P105" s="215"/>
      <c r="Q105" s="436"/>
      <c r="R105" s="436"/>
      <c r="S105" s="436"/>
      <c r="T105" s="436"/>
      <c r="U105" s="436"/>
    </row>
    <row r="106" spans="1:21" x14ac:dyDescent="0.3">
      <c r="A106" s="276">
        <v>9</v>
      </c>
      <c r="B106" s="449"/>
      <c r="C106" s="450"/>
      <c r="D106" s="454"/>
      <c r="E106" s="436"/>
      <c r="F106" s="436"/>
      <c r="G106" s="453"/>
      <c r="H106" s="425"/>
      <c r="I106" s="243"/>
      <c r="J106" s="457"/>
      <c r="K106" s="215" t="s">
        <v>474</v>
      </c>
      <c r="L106" s="242">
        <v>45823</v>
      </c>
      <c r="M106" s="242">
        <v>45827</v>
      </c>
      <c r="N106" s="215" t="s">
        <v>494</v>
      </c>
      <c r="O106" s="215"/>
      <c r="P106" s="215"/>
      <c r="Q106" s="436"/>
      <c r="R106" s="436"/>
      <c r="S106" s="436"/>
      <c r="T106" s="436"/>
      <c r="U106" s="436"/>
    </row>
    <row r="107" spans="1:21" ht="14.25" customHeight="1" x14ac:dyDescent="0.3">
      <c r="A107" s="276">
        <v>10</v>
      </c>
      <c r="B107" s="276" t="s">
        <v>627</v>
      </c>
      <c r="C107" s="277" t="s">
        <v>628</v>
      </c>
      <c r="D107" s="278" t="s">
        <v>637</v>
      </c>
      <c r="E107" s="215" t="s">
        <v>638</v>
      </c>
      <c r="F107" s="215" t="s">
        <v>469</v>
      </c>
      <c r="G107" s="242">
        <v>45835</v>
      </c>
      <c r="H107" s="234">
        <f>G107</f>
        <v>45835</v>
      </c>
      <c r="I107" s="215" t="s">
        <v>639</v>
      </c>
      <c r="J107" s="243">
        <v>45821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ht="28" x14ac:dyDescent="0.3">
      <c r="A108" s="276">
        <v>11</v>
      </c>
      <c r="B108" s="276" t="s">
        <v>627</v>
      </c>
      <c r="C108" s="277" t="s">
        <v>628</v>
      </c>
      <c r="D108" s="278" t="s">
        <v>640</v>
      </c>
      <c r="E108" s="215" t="s">
        <v>641</v>
      </c>
      <c r="F108" s="215" t="s">
        <v>469</v>
      </c>
      <c r="G108" s="242">
        <v>45835</v>
      </c>
      <c r="H108" s="234">
        <f>G108</f>
        <v>45835</v>
      </c>
      <c r="I108" s="215" t="s">
        <v>639</v>
      </c>
      <c r="J108" s="243">
        <v>45821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x14ac:dyDescent="0.3">
      <c r="A109" s="276">
        <v>12</v>
      </c>
      <c r="B109" s="276" t="s">
        <v>627</v>
      </c>
      <c r="C109" s="277" t="s">
        <v>628</v>
      </c>
      <c r="D109" s="278" t="s">
        <v>642</v>
      </c>
      <c r="E109" s="215" t="s">
        <v>643</v>
      </c>
      <c r="F109" s="215" t="s">
        <v>469</v>
      </c>
      <c r="G109" s="242">
        <v>45835</v>
      </c>
      <c r="H109" s="234">
        <f>G109</f>
        <v>45835</v>
      </c>
      <c r="I109" s="215" t="s">
        <v>639</v>
      </c>
      <c r="J109" s="243">
        <v>45821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13</v>
      </c>
      <c r="B110" s="276" t="s">
        <v>627</v>
      </c>
      <c r="C110" s="277" t="s">
        <v>628</v>
      </c>
      <c r="D110" s="278" t="s">
        <v>644</v>
      </c>
      <c r="E110" s="215" t="s">
        <v>645</v>
      </c>
      <c r="F110" s="215" t="s">
        <v>469</v>
      </c>
      <c r="G110" s="242">
        <v>45835</v>
      </c>
      <c r="H110" s="234">
        <f>G110</f>
        <v>45835</v>
      </c>
      <c r="I110" s="215" t="s">
        <v>639</v>
      </c>
      <c r="J110" s="243">
        <v>45821</v>
      </c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x14ac:dyDescent="0.3">
      <c r="A111" s="458">
        <v>14</v>
      </c>
      <c r="B111" s="276" t="s">
        <v>627</v>
      </c>
      <c r="C111" s="461" t="s">
        <v>628</v>
      </c>
      <c r="D111" s="464" t="s">
        <v>646</v>
      </c>
      <c r="E111" s="427" t="s">
        <v>647</v>
      </c>
      <c r="F111" s="427" t="s">
        <v>469</v>
      </c>
      <c r="G111" s="423">
        <v>45768</v>
      </c>
      <c r="H111" s="423">
        <f>L111</f>
        <v>45804</v>
      </c>
      <c r="I111" s="243"/>
      <c r="J111" s="243">
        <v>45804</v>
      </c>
      <c r="K111" s="215" t="s">
        <v>470</v>
      </c>
      <c r="L111" s="242">
        <v>45804</v>
      </c>
      <c r="M111" s="242">
        <v>45812</v>
      </c>
      <c r="N111" s="215" t="s">
        <v>471</v>
      </c>
      <c r="O111" s="215">
        <f>M111-L111</f>
        <v>8</v>
      </c>
      <c r="P111" s="215">
        <f ca="1">O1-M111</f>
        <v>41</v>
      </c>
      <c r="Q111" s="215"/>
      <c r="R111" s="436" t="s">
        <v>502</v>
      </c>
      <c r="S111" s="436" t="str">
        <f>N113</f>
        <v>CAT - II</v>
      </c>
      <c r="T111" s="436" t="s">
        <v>476</v>
      </c>
      <c r="U111" s="427">
        <f ca="1">U1-L111</f>
        <v>49</v>
      </c>
    </row>
    <row r="112" spans="1:21" ht="14.15" customHeight="1" x14ac:dyDescent="0.3">
      <c r="A112" s="459"/>
      <c r="B112" s="276"/>
      <c r="C112" s="462"/>
      <c r="D112" s="465"/>
      <c r="E112" s="428"/>
      <c r="F112" s="428"/>
      <c r="G112" s="424"/>
      <c r="H112" s="424"/>
      <c r="I112" s="243"/>
      <c r="J112" s="243"/>
      <c r="K112" s="215" t="s">
        <v>472</v>
      </c>
      <c r="L112" s="242">
        <v>45821</v>
      </c>
      <c r="M112" s="242">
        <v>45825</v>
      </c>
      <c r="N112" s="215" t="s">
        <v>471</v>
      </c>
      <c r="O112" s="215"/>
      <c r="P112" s="215"/>
      <c r="Q112" s="215"/>
      <c r="R112" s="436"/>
      <c r="S112" s="436"/>
      <c r="T112" s="436"/>
      <c r="U112" s="428"/>
    </row>
    <row r="113" spans="1:21" ht="14.15" customHeight="1" x14ac:dyDescent="0.3">
      <c r="A113" s="460"/>
      <c r="B113" s="276"/>
      <c r="C113" s="463"/>
      <c r="D113" s="466"/>
      <c r="E113" s="429"/>
      <c r="F113" s="429"/>
      <c r="G113" s="425"/>
      <c r="H113" s="425"/>
      <c r="I113" s="243"/>
      <c r="J113" s="243"/>
      <c r="K113" s="215" t="s">
        <v>474</v>
      </c>
      <c r="L113" s="242">
        <v>45826</v>
      </c>
      <c r="M113" s="242">
        <v>45828</v>
      </c>
      <c r="N113" s="215" t="s">
        <v>494</v>
      </c>
      <c r="O113" s="215"/>
      <c r="P113" s="215"/>
      <c r="Q113" s="215"/>
      <c r="R113" s="436"/>
      <c r="S113" s="436"/>
      <c r="T113" s="436"/>
      <c r="U113" s="429"/>
    </row>
    <row r="114" spans="1:21" ht="28" x14ac:dyDescent="0.3">
      <c r="A114" s="276">
        <v>15</v>
      </c>
      <c r="B114" s="276" t="s">
        <v>627</v>
      </c>
      <c r="C114" s="277" t="s">
        <v>628</v>
      </c>
      <c r="D114" s="278" t="s">
        <v>648</v>
      </c>
      <c r="E114" s="215" t="s">
        <v>649</v>
      </c>
      <c r="F114" s="215" t="s">
        <v>469</v>
      </c>
      <c r="G114" s="242">
        <v>45800</v>
      </c>
      <c r="H114" s="242">
        <f>L114</f>
        <v>45800</v>
      </c>
      <c r="I114" s="243"/>
      <c r="J114" s="243"/>
      <c r="K114" s="215" t="s">
        <v>470</v>
      </c>
      <c r="L114" s="242">
        <v>45800</v>
      </c>
      <c r="M114" s="242"/>
      <c r="N114" s="215"/>
      <c r="O114" s="215">
        <f ca="1">O1-L114</f>
        <v>53</v>
      </c>
      <c r="P114" s="215"/>
      <c r="Q114" s="215"/>
      <c r="R114" s="215" t="s">
        <v>495</v>
      </c>
      <c r="S114" s="215"/>
      <c r="T114" s="215" t="s">
        <v>473</v>
      </c>
      <c r="U114" s="215">
        <f ca="1">U1-L114</f>
        <v>53</v>
      </c>
    </row>
    <row r="115" spans="1:21" ht="28" x14ac:dyDescent="0.3">
      <c r="A115" s="276">
        <v>16</v>
      </c>
      <c r="B115" s="276" t="s">
        <v>627</v>
      </c>
      <c r="C115" s="277" t="s">
        <v>628</v>
      </c>
      <c r="D115" s="278" t="s">
        <v>650</v>
      </c>
      <c r="E115" s="215" t="s">
        <v>651</v>
      </c>
      <c r="F115" s="215" t="s">
        <v>469</v>
      </c>
      <c r="G115" s="242">
        <v>45826</v>
      </c>
      <c r="H115" s="234">
        <v>45836</v>
      </c>
      <c r="I115" s="279" t="s">
        <v>652</v>
      </c>
      <c r="J115" s="243">
        <v>45814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17</v>
      </c>
      <c r="B116" s="276" t="s">
        <v>627</v>
      </c>
      <c r="C116" s="277" t="s">
        <v>628</v>
      </c>
      <c r="D116" s="278" t="s">
        <v>653</v>
      </c>
      <c r="E116" s="215" t="s">
        <v>654</v>
      </c>
      <c r="F116" s="215" t="s">
        <v>469</v>
      </c>
      <c r="G116" s="242">
        <v>45826</v>
      </c>
      <c r="H116" s="234">
        <v>45836</v>
      </c>
      <c r="I116" s="243" t="s">
        <v>655</v>
      </c>
      <c r="J116" s="243">
        <v>45814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ht="28" x14ac:dyDescent="0.3">
      <c r="A117" s="276">
        <v>18</v>
      </c>
      <c r="B117" s="276" t="s">
        <v>627</v>
      </c>
      <c r="C117" s="277" t="s">
        <v>628</v>
      </c>
      <c r="D117" s="278" t="s">
        <v>656</v>
      </c>
      <c r="E117" s="215" t="s">
        <v>657</v>
      </c>
      <c r="F117" s="215" t="s">
        <v>469</v>
      </c>
      <c r="G117" s="242">
        <v>45826</v>
      </c>
      <c r="H117" s="234">
        <v>45836</v>
      </c>
      <c r="I117" s="243" t="s">
        <v>655</v>
      </c>
      <c r="J117" s="243">
        <v>45814</v>
      </c>
      <c r="K117" s="215"/>
      <c r="L117" s="30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19</v>
      </c>
      <c r="B118" s="276" t="s">
        <v>627</v>
      </c>
      <c r="C118" s="277" t="s">
        <v>628</v>
      </c>
      <c r="D118" s="278" t="s">
        <v>658</v>
      </c>
      <c r="E118" s="215" t="s">
        <v>659</v>
      </c>
      <c r="F118" s="215" t="s">
        <v>469</v>
      </c>
      <c r="G118" s="242">
        <v>45794</v>
      </c>
      <c r="H118" s="234">
        <v>45836</v>
      </c>
      <c r="I118" s="243"/>
      <c r="J118" s="243"/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20</v>
      </c>
      <c r="B119" s="276" t="s">
        <v>627</v>
      </c>
      <c r="C119" s="277" t="s">
        <v>628</v>
      </c>
      <c r="D119" s="278" t="s">
        <v>660</v>
      </c>
      <c r="E119" s="215" t="s">
        <v>661</v>
      </c>
      <c r="F119" s="215" t="s">
        <v>469</v>
      </c>
      <c r="G119" s="242">
        <v>45821</v>
      </c>
      <c r="H119" s="234">
        <v>45838</v>
      </c>
      <c r="I119" s="243"/>
      <c r="J119" s="243"/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276">
        <v>21</v>
      </c>
      <c r="B120" s="276" t="s">
        <v>627</v>
      </c>
      <c r="C120" s="277" t="s">
        <v>628</v>
      </c>
      <c r="D120" s="278" t="s">
        <v>662</v>
      </c>
      <c r="E120" s="215" t="s">
        <v>663</v>
      </c>
      <c r="F120" s="215" t="s">
        <v>469</v>
      </c>
      <c r="G120" s="242">
        <v>45835</v>
      </c>
      <c r="H120" s="234">
        <v>45838</v>
      </c>
      <c r="I120" s="243" t="s">
        <v>664</v>
      </c>
      <c r="J120" s="243">
        <v>45828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276">
        <v>22</v>
      </c>
      <c r="B121" s="276" t="s">
        <v>627</v>
      </c>
      <c r="C121" s="277" t="s">
        <v>628</v>
      </c>
      <c r="D121" s="278" t="s">
        <v>665</v>
      </c>
      <c r="E121" s="215" t="s">
        <v>666</v>
      </c>
      <c r="F121" s="215" t="s">
        <v>479</v>
      </c>
      <c r="G121" s="242">
        <v>45842</v>
      </c>
      <c r="H121" s="234">
        <f t="shared" ref="H121:H129" si="1">G121</f>
        <v>45842</v>
      </c>
      <c r="I121" s="243" t="s">
        <v>664</v>
      </c>
      <c r="J121" s="243">
        <v>45828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x14ac:dyDescent="0.3">
      <c r="A122" s="276">
        <v>23</v>
      </c>
      <c r="B122" s="276" t="s">
        <v>627</v>
      </c>
      <c r="C122" s="277" t="s">
        <v>628</v>
      </c>
      <c r="D122" s="278" t="s">
        <v>667</v>
      </c>
      <c r="E122" s="215" t="s">
        <v>668</v>
      </c>
      <c r="F122" s="215" t="s">
        <v>469</v>
      </c>
      <c r="G122" s="242">
        <v>45853</v>
      </c>
      <c r="H122" s="234">
        <f t="shared" si="1"/>
        <v>45853</v>
      </c>
      <c r="I122" s="243"/>
      <c r="J122" s="243">
        <v>45835</v>
      </c>
      <c r="K122" s="215"/>
      <c r="L122" s="242"/>
      <c r="M122" s="242"/>
      <c r="N122" s="215"/>
      <c r="O122" s="215"/>
      <c r="P122" s="215"/>
      <c r="Q122" s="215"/>
      <c r="R122" s="215"/>
      <c r="S122" s="215"/>
      <c r="T122" s="215"/>
      <c r="U122" s="215"/>
    </row>
    <row r="123" spans="1:21" ht="28" x14ac:dyDescent="0.3">
      <c r="A123" s="276">
        <v>24</v>
      </c>
      <c r="B123" s="276" t="s">
        <v>627</v>
      </c>
      <c r="C123" s="277" t="s">
        <v>628</v>
      </c>
      <c r="D123" s="278" t="s">
        <v>669</v>
      </c>
      <c r="E123" s="215" t="s">
        <v>670</v>
      </c>
      <c r="F123" s="215" t="s">
        <v>469</v>
      </c>
      <c r="G123" s="242">
        <v>45838</v>
      </c>
      <c r="H123" s="234">
        <f t="shared" si="1"/>
        <v>45838</v>
      </c>
      <c r="I123" s="243"/>
      <c r="J123" s="243">
        <v>45838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x14ac:dyDescent="0.3">
      <c r="A124" s="276">
        <v>25</v>
      </c>
      <c r="B124" s="276" t="s">
        <v>627</v>
      </c>
      <c r="C124" s="277" t="s">
        <v>628</v>
      </c>
      <c r="D124" s="278" t="s">
        <v>671</v>
      </c>
      <c r="E124" s="215" t="s">
        <v>672</v>
      </c>
      <c r="F124" s="215" t="s">
        <v>469</v>
      </c>
      <c r="G124" s="242">
        <v>45850</v>
      </c>
      <c r="H124" s="234">
        <f t="shared" si="1"/>
        <v>45850</v>
      </c>
      <c r="I124" s="243"/>
      <c r="J124" s="243">
        <v>45850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1</v>
      </c>
      <c r="B125" s="276" t="s">
        <v>627</v>
      </c>
      <c r="C125" s="277" t="s">
        <v>628</v>
      </c>
      <c r="D125" s="278" t="s">
        <v>673</v>
      </c>
      <c r="E125" s="215" t="s">
        <v>674</v>
      </c>
      <c r="F125" s="215" t="s">
        <v>469</v>
      </c>
      <c r="G125" s="242">
        <v>45852</v>
      </c>
      <c r="H125" s="234">
        <f t="shared" si="1"/>
        <v>45852</v>
      </c>
      <c r="I125" s="243"/>
      <c r="J125" s="243">
        <v>45852</v>
      </c>
      <c r="K125" s="215"/>
      <c r="L125" s="242"/>
      <c r="M125" s="242"/>
      <c r="N125" s="215"/>
      <c r="O125" s="215"/>
      <c r="P125" s="215"/>
      <c r="Q125" s="215"/>
      <c r="R125" s="215"/>
      <c r="S125" s="215"/>
      <c r="T125" s="215"/>
      <c r="U125" s="215"/>
    </row>
    <row r="126" spans="1:21" x14ac:dyDescent="0.3">
      <c r="A126" s="276">
        <v>2</v>
      </c>
      <c r="B126" s="276" t="s">
        <v>627</v>
      </c>
      <c r="C126" s="277" t="s">
        <v>628</v>
      </c>
      <c r="D126" s="278" t="s">
        <v>675</v>
      </c>
      <c r="E126" s="215" t="s">
        <v>676</v>
      </c>
      <c r="F126" s="215" t="s">
        <v>469</v>
      </c>
      <c r="G126" s="242">
        <v>45863</v>
      </c>
      <c r="H126" s="234">
        <f t="shared" si="1"/>
        <v>45863</v>
      </c>
      <c r="I126" s="243"/>
      <c r="J126" s="243">
        <v>45853</v>
      </c>
      <c r="K126" s="215"/>
      <c r="L126" s="242"/>
      <c r="M126" s="242"/>
      <c r="N126" s="215"/>
      <c r="O126" s="215"/>
      <c r="P126" s="215"/>
      <c r="Q126" s="215"/>
      <c r="R126" s="215"/>
      <c r="S126" s="215"/>
      <c r="T126" s="215"/>
      <c r="U126" s="215"/>
    </row>
    <row r="127" spans="1:21" ht="28" x14ac:dyDescent="0.3">
      <c r="A127" s="276">
        <v>3</v>
      </c>
      <c r="B127" s="276" t="s">
        <v>627</v>
      </c>
      <c r="C127" s="277" t="s">
        <v>628</v>
      </c>
      <c r="D127" s="278" t="s">
        <v>677</v>
      </c>
      <c r="E127" s="215" t="s">
        <v>678</v>
      </c>
      <c r="F127" s="215" t="s">
        <v>469</v>
      </c>
      <c r="G127" s="242">
        <v>45854</v>
      </c>
      <c r="H127" s="234">
        <f t="shared" si="1"/>
        <v>45854</v>
      </c>
      <c r="I127" s="243"/>
      <c r="J127" s="243">
        <v>45854</v>
      </c>
      <c r="K127" s="215"/>
      <c r="L127" s="242"/>
      <c r="M127" s="242"/>
      <c r="N127" s="215"/>
      <c r="O127" s="215"/>
      <c r="P127" s="215"/>
      <c r="Q127" s="215"/>
      <c r="R127" s="215"/>
      <c r="S127" s="215"/>
      <c r="T127" s="215"/>
      <c r="U127" s="215"/>
    </row>
    <row r="128" spans="1:21" ht="28" x14ac:dyDescent="0.3">
      <c r="A128" s="449">
        <v>4</v>
      </c>
      <c r="B128" s="276" t="s">
        <v>627</v>
      </c>
      <c r="C128" s="277" t="s">
        <v>628</v>
      </c>
      <c r="D128" s="278" t="s">
        <v>679</v>
      </c>
      <c r="E128" s="215" t="s">
        <v>680</v>
      </c>
      <c r="F128" s="215" t="s">
        <v>469</v>
      </c>
      <c r="G128" s="242">
        <v>45860</v>
      </c>
      <c r="H128" s="234">
        <f t="shared" si="1"/>
        <v>45860</v>
      </c>
      <c r="I128" s="243"/>
      <c r="J128" s="243">
        <v>45860</v>
      </c>
      <c r="K128" s="215"/>
      <c r="L128" s="242"/>
      <c r="M128" s="242"/>
      <c r="N128" s="215"/>
      <c r="O128" s="215"/>
      <c r="P128" s="215"/>
      <c r="Q128" s="215"/>
      <c r="R128" s="215"/>
      <c r="S128" s="215"/>
      <c r="T128" s="215"/>
      <c r="U128" s="215"/>
    </row>
    <row r="129" spans="1:21" ht="28" x14ac:dyDescent="0.3">
      <c r="A129" s="449"/>
      <c r="B129" s="276" t="s">
        <v>627</v>
      </c>
      <c r="C129" s="277" t="s">
        <v>628</v>
      </c>
      <c r="D129" s="278" t="s">
        <v>681</v>
      </c>
      <c r="E129" s="215" t="s">
        <v>682</v>
      </c>
      <c r="F129" s="215" t="s">
        <v>469</v>
      </c>
      <c r="G129" s="242">
        <v>45866</v>
      </c>
      <c r="H129" s="234">
        <f t="shared" si="1"/>
        <v>45866</v>
      </c>
      <c r="I129" s="243"/>
      <c r="J129" s="243">
        <v>45866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276">
        <v>5</v>
      </c>
      <c r="B130" s="276" t="s">
        <v>627</v>
      </c>
      <c r="C130" s="277" t="s">
        <v>683</v>
      </c>
      <c r="D130" s="278" t="s">
        <v>684</v>
      </c>
      <c r="E130" s="215" t="s">
        <v>685</v>
      </c>
      <c r="F130" s="215" t="s">
        <v>469</v>
      </c>
      <c r="G130" s="242">
        <v>45714</v>
      </c>
      <c r="H130" s="242">
        <f>L130</f>
        <v>45714</v>
      </c>
      <c r="I130" s="243"/>
      <c r="J130" s="243"/>
      <c r="K130" s="215" t="s">
        <v>470</v>
      </c>
      <c r="L130" s="242">
        <v>45714</v>
      </c>
      <c r="M130" s="242"/>
      <c r="N130" s="215"/>
      <c r="O130" s="215">
        <f ca="1">O1-L130</f>
        <v>139</v>
      </c>
      <c r="P130" s="215"/>
      <c r="Q130" s="215"/>
      <c r="R130" s="215" t="s">
        <v>495</v>
      </c>
      <c r="S130" s="215"/>
      <c r="T130" s="215" t="s">
        <v>473</v>
      </c>
      <c r="U130" s="215">
        <f ca="1">U1-L130</f>
        <v>139</v>
      </c>
    </row>
    <row r="131" spans="1:21" ht="28" x14ac:dyDescent="0.3">
      <c r="A131" s="276">
        <v>6</v>
      </c>
      <c r="B131" s="276" t="s">
        <v>627</v>
      </c>
      <c r="C131" s="277" t="s">
        <v>683</v>
      </c>
      <c r="D131" s="278" t="s">
        <v>686</v>
      </c>
      <c r="E131" s="215" t="s">
        <v>687</v>
      </c>
      <c r="F131" s="215" t="s">
        <v>469</v>
      </c>
      <c r="G131" s="242">
        <v>45877</v>
      </c>
      <c r="H131" s="234">
        <f>G131</f>
        <v>45877</v>
      </c>
      <c r="I131" s="243"/>
      <c r="J131" s="243">
        <v>45877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6">
        <v>7</v>
      </c>
      <c r="B132" s="276" t="s">
        <v>627</v>
      </c>
      <c r="C132" s="277" t="s">
        <v>683</v>
      </c>
      <c r="D132" s="278" t="s">
        <v>688</v>
      </c>
      <c r="E132" s="215" t="s">
        <v>689</v>
      </c>
      <c r="F132" s="215" t="s">
        <v>469</v>
      </c>
      <c r="G132" s="242">
        <v>45987</v>
      </c>
      <c r="H132" s="234">
        <f>G132</f>
        <v>45987</v>
      </c>
      <c r="I132" s="243"/>
      <c r="J132" s="243">
        <v>45987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97" customFormat="1" x14ac:dyDescent="0.3">
      <c r="A133" s="221">
        <v>8</v>
      </c>
      <c r="B133" s="395" t="s">
        <v>627</v>
      </c>
      <c r="C133" s="396" t="s">
        <v>683</v>
      </c>
      <c r="D133" s="397" t="s">
        <v>690</v>
      </c>
      <c r="E133" s="393" t="s">
        <v>691</v>
      </c>
      <c r="F133" s="404" t="s">
        <v>469</v>
      </c>
      <c r="G133" s="392">
        <v>45754</v>
      </c>
      <c r="H133" s="406">
        <f>L133</f>
        <v>45773</v>
      </c>
      <c r="I133" s="467"/>
      <c r="J133" s="467"/>
      <c r="K133" s="224" t="s">
        <v>470</v>
      </c>
      <c r="L133" s="225">
        <v>45773</v>
      </c>
      <c r="M133" s="225">
        <v>45777</v>
      </c>
      <c r="N133" s="224" t="s">
        <v>471</v>
      </c>
      <c r="O133" s="224">
        <f>M133-L133</f>
        <v>4</v>
      </c>
      <c r="P133" s="224">
        <f>L134-M133</f>
        <v>14</v>
      </c>
      <c r="Q133" s="393"/>
      <c r="R133" s="393" t="s">
        <v>495</v>
      </c>
      <c r="S133" s="393" t="s">
        <v>485</v>
      </c>
      <c r="T133" s="393" t="s">
        <v>399</v>
      </c>
      <c r="U133" s="393">
        <f>M134-L134</f>
        <v>21</v>
      </c>
    </row>
    <row r="134" spans="1:21" s="297" customFormat="1" x14ac:dyDescent="0.3">
      <c r="A134" s="221">
        <v>9</v>
      </c>
      <c r="B134" s="395"/>
      <c r="C134" s="396"/>
      <c r="D134" s="397"/>
      <c r="E134" s="393"/>
      <c r="F134" s="405"/>
      <c r="G134" s="392"/>
      <c r="H134" s="407"/>
      <c r="I134" s="469"/>
      <c r="J134" s="469"/>
      <c r="K134" s="224" t="s">
        <v>472</v>
      </c>
      <c r="L134" s="225">
        <v>45791</v>
      </c>
      <c r="M134" s="225">
        <v>45812</v>
      </c>
      <c r="N134" s="224" t="s">
        <v>485</v>
      </c>
      <c r="O134" s="224">
        <f>M134-L134</f>
        <v>21</v>
      </c>
      <c r="P134" s="224"/>
      <c r="Q134" s="393"/>
      <c r="R134" s="393"/>
      <c r="S134" s="393"/>
      <c r="T134" s="393"/>
      <c r="U134" s="393"/>
    </row>
    <row r="135" spans="1:21" s="297" customFormat="1" ht="28" customHeight="1" x14ac:dyDescent="0.3">
      <c r="A135" s="398">
        <v>10</v>
      </c>
      <c r="B135" s="221" t="s">
        <v>627</v>
      </c>
      <c r="C135" s="400" t="s">
        <v>683</v>
      </c>
      <c r="D135" s="402" t="s">
        <v>692</v>
      </c>
      <c r="E135" s="404" t="s">
        <v>693</v>
      </c>
      <c r="F135" s="404" t="s">
        <v>469</v>
      </c>
      <c r="G135" s="406">
        <v>45754</v>
      </c>
      <c r="H135" s="406">
        <f>L135</f>
        <v>45791</v>
      </c>
      <c r="I135" s="467"/>
      <c r="J135" s="467"/>
      <c r="K135" s="224" t="s">
        <v>470</v>
      </c>
      <c r="L135" s="225">
        <v>45791</v>
      </c>
      <c r="M135" s="225">
        <v>45809</v>
      </c>
      <c r="N135" s="224" t="s">
        <v>471</v>
      </c>
      <c r="O135" s="224">
        <f>M135-L135</f>
        <v>18</v>
      </c>
      <c r="P135" s="224">
        <f>L137-M135</f>
        <v>12</v>
      </c>
      <c r="Q135" s="404"/>
      <c r="R135" s="404" t="s">
        <v>495</v>
      </c>
      <c r="S135" s="404" t="str">
        <f>N137</f>
        <v>CAT - I</v>
      </c>
      <c r="T135" s="404" t="s">
        <v>399</v>
      </c>
      <c r="U135" s="404">
        <f ca="1">U1-L135</f>
        <v>62</v>
      </c>
    </row>
    <row r="136" spans="1:21" s="297" customFormat="1" x14ac:dyDescent="0.3">
      <c r="A136" s="412"/>
      <c r="B136" s="221"/>
      <c r="C136" s="413"/>
      <c r="D136" s="414"/>
      <c r="E136" s="415"/>
      <c r="F136" s="415"/>
      <c r="G136" s="419"/>
      <c r="H136" s="419"/>
      <c r="I136" s="468"/>
      <c r="J136" s="468"/>
      <c r="K136" s="224" t="s">
        <v>472</v>
      </c>
      <c r="L136" s="225">
        <v>45812</v>
      </c>
      <c r="M136" s="225">
        <v>45820</v>
      </c>
      <c r="N136" s="224" t="s">
        <v>471</v>
      </c>
      <c r="O136" s="224"/>
      <c r="P136" s="224"/>
      <c r="Q136" s="415"/>
      <c r="R136" s="415"/>
      <c r="S136" s="415"/>
      <c r="T136" s="415"/>
      <c r="U136" s="415"/>
    </row>
    <row r="137" spans="1:21" s="297" customFormat="1" x14ac:dyDescent="0.3">
      <c r="A137" s="399"/>
      <c r="B137" s="221"/>
      <c r="C137" s="401"/>
      <c r="D137" s="421"/>
      <c r="E137" s="405"/>
      <c r="F137" s="405"/>
      <c r="G137" s="407"/>
      <c r="H137" s="407"/>
      <c r="I137" s="469"/>
      <c r="J137" s="469"/>
      <c r="K137" s="224" t="s">
        <v>474</v>
      </c>
      <c r="L137" s="225">
        <v>45821</v>
      </c>
      <c r="M137" s="225">
        <v>45830</v>
      </c>
      <c r="N137" s="224" t="s">
        <v>485</v>
      </c>
      <c r="O137" s="224">
        <f ca="1">O1-L137</f>
        <v>32</v>
      </c>
      <c r="P137" s="224"/>
      <c r="Q137" s="405"/>
      <c r="R137" s="405"/>
      <c r="S137" s="405"/>
      <c r="T137" s="405"/>
      <c r="U137" s="405"/>
    </row>
    <row r="138" spans="1:21" ht="28" x14ac:dyDescent="0.3">
      <c r="A138" s="276">
        <v>11</v>
      </c>
      <c r="B138" s="276" t="s">
        <v>627</v>
      </c>
      <c r="C138" s="277" t="s">
        <v>683</v>
      </c>
      <c r="D138" s="278" t="s">
        <v>694</v>
      </c>
      <c r="E138" s="215" t="s">
        <v>695</v>
      </c>
      <c r="F138" s="215" t="s">
        <v>469</v>
      </c>
      <c r="G138" s="242">
        <v>45811</v>
      </c>
      <c r="H138" s="242">
        <v>45837</v>
      </c>
      <c r="I138" s="243"/>
      <c r="J138" s="243">
        <f>J107+7</f>
        <v>45828</v>
      </c>
      <c r="K138" s="215"/>
      <c r="L138" s="242"/>
      <c r="M138" s="242"/>
      <c r="N138" s="215"/>
      <c r="O138" s="215"/>
      <c r="P138" s="215"/>
      <c r="Q138" s="215"/>
      <c r="R138" s="215"/>
      <c r="S138" s="215"/>
      <c r="T138" s="215"/>
      <c r="U138" s="215"/>
    </row>
    <row r="139" spans="1:21" ht="28" x14ac:dyDescent="0.3">
      <c r="A139" s="449">
        <v>12</v>
      </c>
      <c r="B139" s="276" t="s">
        <v>627</v>
      </c>
      <c r="C139" s="277" t="s">
        <v>683</v>
      </c>
      <c r="D139" s="278" t="s">
        <v>696</v>
      </c>
      <c r="E139" s="215" t="s">
        <v>697</v>
      </c>
      <c r="F139" s="215" t="s">
        <v>469</v>
      </c>
      <c r="G139" s="242">
        <v>45808</v>
      </c>
      <c r="H139" s="242">
        <v>45837</v>
      </c>
      <c r="I139" s="243"/>
      <c r="J139" s="243">
        <f>J108+7</f>
        <v>45828</v>
      </c>
      <c r="K139" s="215"/>
      <c r="L139" s="242"/>
      <c r="M139" s="242"/>
      <c r="N139" s="215"/>
      <c r="O139" s="215"/>
      <c r="P139" s="215"/>
      <c r="Q139" s="215"/>
      <c r="R139" s="215"/>
      <c r="S139" s="215"/>
      <c r="T139" s="215"/>
      <c r="U139" s="215"/>
    </row>
    <row r="140" spans="1:21" ht="28" x14ac:dyDescent="0.3">
      <c r="A140" s="449"/>
      <c r="B140" s="276" t="s">
        <v>627</v>
      </c>
      <c r="C140" s="277" t="s">
        <v>683</v>
      </c>
      <c r="D140" s="278" t="s">
        <v>698</v>
      </c>
      <c r="E140" s="215" t="s">
        <v>699</v>
      </c>
      <c r="F140" s="215" t="s">
        <v>469</v>
      </c>
      <c r="G140" s="242">
        <v>45831</v>
      </c>
      <c r="H140" s="242">
        <v>45837</v>
      </c>
      <c r="I140" s="243"/>
      <c r="J140" s="243">
        <v>45831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5">
        <v>13</v>
      </c>
      <c r="B141" s="276" t="s">
        <v>627</v>
      </c>
      <c r="C141" s="277" t="s">
        <v>683</v>
      </c>
      <c r="D141" s="278" t="s">
        <v>700</v>
      </c>
      <c r="E141" s="215" t="s">
        <v>701</v>
      </c>
      <c r="F141" s="215" t="s">
        <v>479</v>
      </c>
      <c r="G141" s="242">
        <v>45829</v>
      </c>
      <c r="H141" s="242">
        <v>45837</v>
      </c>
      <c r="I141" s="243"/>
      <c r="J141" s="243">
        <v>45829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s="297" customFormat="1" x14ac:dyDescent="0.3">
      <c r="A142" s="404"/>
      <c r="B142" s="224" t="s">
        <v>627</v>
      </c>
      <c r="C142" s="470" t="s">
        <v>683</v>
      </c>
      <c r="D142" s="473" t="s">
        <v>702</v>
      </c>
      <c r="E142" s="404" t="s">
        <v>703</v>
      </c>
      <c r="F142" s="404" t="s">
        <v>469</v>
      </c>
      <c r="G142" s="406">
        <v>45783</v>
      </c>
      <c r="H142" s="406">
        <f>L142</f>
        <v>45792</v>
      </c>
      <c r="I142" s="226"/>
      <c r="J142" s="226"/>
      <c r="K142" s="224" t="s">
        <v>470</v>
      </c>
      <c r="L142" s="225">
        <v>45792</v>
      </c>
      <c r="M142" s="225">
        <v>45813</v>
      </c>
      <c r="N142" s="224" t="s">
        <v>471</v>
      </c>
      <c r="O142" s="224">
        <f ca="1">O1-L142</f>
        <v>61</v>
      </c>
      <c r="P142" s="224"/>
      <c r="Q142" s="408">
        <f>M142</f>
        <v>45813</v>
      </c>
      <c r="R142" s="404" t="s">
        <v>495</v>
      </c>
      <c r="S142" s="404" t="str">
        <f>N143</f>
        <v>CAT - II</v>
      </c>
      <c r="T142" s="404" t="s">
        <v>399</v>
      </c>
      <c r="U142" s="224">
        <f ca="1">U1-L142</f>
        <v>61</v>
      </c>
    </row>
    <row r="143" spans="1:21" s="297" customFormat="1" x14ac:dyDescent="0.3">
      <c r="A143" s="415"/>
      <c r="B143" s="224"/>
      <c r="C143" s="471"/>
      <c r="D143" s="474"/>
      <c r="E143" s="415"/>
      <c r="F143" s="415"/>
      <c r="G143" s="419"/>
      <c r="H143" s="419"/>
      <c r="I143" s="226"/>
      <c r="J143" s="226"/>
      <c r="K143" s="224" t="s">
        <v>472</v>
      </c>
      <c r="L143" s="225">
        <v>45813</v>
      </c>
      <c r="M143" s="225">
        <v>45821</v>
      </c>
      <c r="N143" s="224" t="s">
        <v>494</v>
      </c>
      <c r="O143" s="224"/>
      <c r="P143" s="224"/>
      <c r="Q143" s="422"/>
      <c r="R143" s="415"/>
      <c r="S143" s="415"/>
      <c r="T143" s="415"/>
      <c r="U143" s="224"/>
    </row>
    <row r="144" spans="1:21" s="297" customFormat="1" x14ac:dyDescent="0.3">
      <c r="A144" s="405"/>
      <c r="B144" s="224"/>
      <c r="C144" s="472"/>
      <c r="D144" s="475"/>
      <c r="E144" s="405"/>
      <c r="F144" s="405"/>
      <c r="G144" s="407"/>
      <c r="H144" s="407"/>
      <c r="I144" s="226"/>
      <c r="J144" s="226"/>
      <c r="K144" s="224" t="s">
        <v>474</v>
      </c>
      <c r="L144" s="225">
        <v>45827</v>
      </c>
      <c r="M144" s="225">
        <v>45830</v>
      </c>
      <c r="N144" s="224" t="s">
        <v>485</v>
      </c>
      <c r="O144" s="224"/>
      <c r="P144" s="224"/>
      <c r="Q144" s="409"/>
      <c r="R144" s="405"/>
      <c r="S144" s="405"/>
      <c r="T144" s="405"/>
      <c r="U144" s="224"/>
    </row>
    <row r="145" spans="1:21" ht="28" x14ac:dyDescent="0.3">
      <c r="A145" s="276">
        <v>14</v>
      </c>
      <c r="B145" s="276" t="s">
        <v>627</v>
      </c>
      <c r="C145" s="277" t="s">
        <v>683</v>
      </c>
      <c r="D145" s="278" t="s">
        <v>704</v>
      </c>
      <c r="E145" s="215" t="s">
        <v>705</v>
      </c>
      <c r="F145" s="215" t="s">
        <v>469</v>
      </c>
      <c r="G145" s="242">
        <v>45783</v>
      </c>
      <c r="H145" s="242">
        <f>L145</f>
        <v>45791</v>
      </c>
      <c r="I145" s="243"/>
      <c r="J145" s="243"/>
      <c r="K145" s="215" t="s">
        <v>470</v>
      </c>
      <c r="L145" s="242">
        <v>45791</v>
      </c>
      <c r="M145" s="242"/>
      <c r="N145" s="215"/>
      <c r="O145" s="215">
        <f ca="1">O1-L145</f>
        <v>62</v>
      </c>
      <c r="P145" s="215"/>
      <c r="Q145" s="215"/>
      <c r="R145" s="215" t="s">
        <v>495</v>
      </c>
      <c r="S145" s="215"/>
      <c r="T145" s="215" t="s">
        <v>473</v>
      </c>
      <c r="U145" s="215">
        <f ca="1">U1-L145</f>
        <v>62</v>
      </c>
    </row>
    <row r="146" spans="1:21" s="297" customFormat="1" x14ac:dyDescent="0.3">
      <c r="A146" s="221">
        <v>15</v>
      </c>
      <c r="B146" s="395" t="s">
        <v>627</v>
      </c>
      <c r="C146" s="396" t="s">
        <v>683</v>
      </c>
      <c r="D146" s="397" t="s">
        <v>706</v>
      </c>
      <c r="E146" s="393" t="s">
        <v>707</v>
      </c>
      <c r="F146" s="393" t="s">
        <v>469</v>
      </c>
      <c r="G146" s="392">
        <v>45755</v>
      </c>
      <c r="H146" s="406">
        <f>L146</f>
        <v>45755</v>
      </c>
      <c r="I146" s="226"/>
      <c r="J146" s="226"/>
      <c r="K146" s="224" t="s">
        <v>470</v>
      </c>
      <c r="L146" s="225">
        <v>45755</v>
      </c>
      <c r="M146" s="225">
        <v>45770</v>
      </c>
      <c r="N146" s="224" t="s">
        <v>471</v>
      </c>
      <c r="O146" s="224">
        <f t="shared" ref="O146:O151" si="2">M146-L146</f>
        <v>15</v>
      </c>
      <c r="P146" s="224">
        <f>L148-M146</f>
        <v>55</v>
      </c>
      <c r="Q146" s="393"/>
      <c r="R146" s="393" t="s">
        <v>495</v>
      </c>
      <c r="S146" s="393" t="str">
        <f>N148</f>
        <v>CAT - I</v>
      </c>
      <c r="T146" s="393" t="s">
        <v>399</v>
      </c>
      <c r="U146" s="393">
        <f ca="1">U1-L148</f>
        <v>28</v>
      </c>
    </row>
    <row r="147" spans="1:21" s="297" customFormat="1" x14ac:dyDescent="0.3">
      <c r="A147" s="221">
        <v>1</v>
      </c>
      <c r="B147" s="395"/>
      <c r="C147" s="396"/>
      <c r="D147" s="397"/>
      <c r="E147" s="393"/>
      <c r="F147" s="393"/>
      <c r="G147" s="392"/>
      <c r="H147" s="419"/>
      <c r="I147" s="226"/>
      <c r="J147" s="226"/>
      <c r="K147" s="224" t="s">
        <v>472</v>
      </c>
      <c r="L147" s="225">
        <v>45788</v>
      </c>
      <c r="M147" s="225">
        <v>45809</v>
      </c>
      <c r="N147" s="224" t="s">
        <v>471</v>
      </c>
      <c r="O147" s="224">
        <f t="shared" si="2"/>
        <v>21</v>
      </c>
      <c r="P147" s="224">
        <f>L148-M147</f>
        <v>16</v>
      </c>
      <c r="Q147" s="393"/>
      <c r="R147" s="393"/>
      <c r="S147" s="393"/>
      <c r="T147" s="393"/>
      <c r="U147" s="393"/>
    </row>
    <row r="148" spans="1:21" s="297" customFormat="1" x14ac:dyDescent="0.3">
      <c r="A148" s="221">
        <v>1</v>
      </c>
      <c r="B148" s="395"/>
      <c r="C148" s="396"/>
      <c r="D148" s="397"/>
      <c r="E148" s="393"/>
      <c r="F148" s="393"/>
      <c r="G148" s="392"/>
      <c r="H148" s="407"/>
      <c r="I148" s="226"/>
      <c r="J148" s="226"/>
      <c r="K148" s="224" t="s">
        <v>472</v>
      </c>
      <c r="L148" s="225">
        <v>45825</v>
      </c>
      <c r="M148" s="225">
        <v>45830</v>
      </c>
      <c r="N148" s="224" t="s">
        <v>485</v>
      </c>
      <c r="O148" s="224">
        <f t="shared" si="2"/>
        <v>5</v>
      </c>
      <c r="P148" s="224">
        <f ca="1">O1-M148</f>
        <v>23</v>
      </c>
      <c r="Q148" s="393"/>
      <c r="R148" s="393"/>
      <c r="S148" s="393"/>
      <c r="T148" s="393"/>
      <c r="U148" s="393"/>
    </row>
    <row r="149" spans="1:21" s="297" customFormat="1" x14ac:dyDescent="0.3">
      <c r="A149" s="221">
        <v>2</v>
      </c>
      <c r="B149" s="395" t="s">
        <v>627</v>
      </c>
      <c r="C149" s="396" t="s">
        <v>683</v>
      </c>
      <c r="D149" s="397" t="s">
        <v>396</v>
      </c>
      <c r="E149" s="393" t="s">
        <v>708</v>
      </c>
      <c r="F149" s="393" t="s">
        <v>469</v>
      </c>
      <c r="G149" s="392">
        <v>45755</v>
      </c>
      <c r="H149" s="406">
        <f>L149</f>
        <v>45755</v>
      </c>
      <c r="I149" s="226"/>
      <c r="J149" s="226"/>
      <c r="K149" s="224" t="s">
        <v>470</v>
      </c>
      <c r="L149" s="225">
        <v>45755</v>
      </c>
      <c r="M149" s="225">
        <v>45770</v>
      </c>
      <c r="N149" s="224" t="s">
        <v>471</v>
      </c>
      <c r="O149" s="224">
        <f t="shared" si="2"/>
        <v>15</v>
      </c>
      <c r="P149" s="224">
        <f>L151-M149</f>
        <v>55</v>
      </c>
      <c r="Q149" s="393"/>
      <c r="R149" s="393" t="s">
        <v>495</v>
      </c>
      <c r="S149" s="393" t="str">
        <f>N151</f>
        <v>CAT - I</v>
      </c>
      <c r="T149" s="393" t="s">
        <v>399</v>
      </c>
      <c r="U149" s="393">
        <f ca="1">U1-L151</f>
        <v>28</v>
      </c>
    </row>
    <row r="150" spans="1:21" s="297" customFormat="1" x14ac:dyDescent="0.3">
      <c r="A150" s="221">
        <v>3</v>
      </c>
      <c r="B150" s="395"/>
      <c r="C150" s="396"/>
      <c r="D150" s="397"/>
      <c r="E150" s="393"/>
      <c r="F150" s="393"/>
      <c r="G150" s="392"/>
      <c r="H150" s="419"/>
      <c r="I150" s="226"/>
      <c r="J150" s="226"/>
      <c r="K150" s="224" t="s">
        <v>472</v>
      </c>
      <c r="L150" s="225">
        <v>45787</v>
      </c>
      <c r="M150" s="225">
        <v>45809</v>
      </c>
      <c r="N150" s="224" t="s">
        <v>471</v>
      </c>
      <c r="O150" s="224">
        <f t="shared" si="2"/>
        <v>22</v>
      </c>
      <c r="P150" s="224">
        <f>L151-M150</f>
        <v>16</v>
      </c>
      <c r="Q150" s="393"/>
      <c r="R150" s="393"/>
      <c r="S150" s="393"/>
      <c r="T150" s="393"/>
      <c r="U150" s="393"/>
    </row>
    <row r="151" spans="1:21" s="297" customFormat="1" x14ac:dyDescent="0.3">
      <c r="A151" s="221">
        <v>3</v>
      </c>
      <c r="B151" s="395"/>
      <c r="C151" s="396"/>
      <c r="D151" s="397"/>
      <c r="E151" s="393"/>
      <c r="F151" s="393"/>
      <c r="G151" s="392"/>
      <c r="H151" s="407"/>
      <c r="I151" s="226"/>
      <c r="J151" s="226"/>
      <c r="K151" s="224" t="s">
        <v>474</v>
      </c>
      <c r="L151" s="225">
        <v>45825</v>
      </c>
      <c r="M151" s="225">
        <v>45830</v>
      </c>
      <c r="N151" s="224" t="s">
        <v>485</v>
      </c>
      <c r="O151" s="224">
        <f t="shared" si="2"/>
        <v>5</v>
      </c>
      <c r="P151" s="224"/>
      <c r="Q151" s="393"/>
      <c r="R151" s="393"/>
      <c r="S151" s="393"/>
      <c r="T151" s="393"/>
      <c r="U151" s="393"/>
    </row>
    <row r="152" spans="1:21" ht="28" x14ac:dyDescent="0.3">
      <c r="A152" s="276">
        <v>4</v>
      </c>
      <c r="B152" s="276" t="s">
        <v>627</v>
      </c>
      <c r="C152" s="277" t="s">
        <v>683</v>
      </c>
      <c r="D152" s="278" t="s">
        <v>709</v>
      </c>
      <c r="E152" s="215" t="s">
        <v>710</v>
      </c>
      <c r="F152" s="215" t="s">
        <v>479</v>
      </c>
      <c r="G152" s="242">
        <v>45807</v>
      </c>
      <c r="H152" s="234">
        <v>45835</v>
      </c>
      <c r="I152" s="243"/>
      <c r="J152" s="243">
        <v>45807</v>
      </c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5</v>
      </c>
      <c r="B153" s="276" t="s">
        <v>627</v>
      </c>
      <c r="C153" s="277" t="s">
        <v>683</v>
      </c>
      <c r="D153" s="278" t="s">
        <v>711</v>
      </c>
      <c r="E153" s="215" t="s">
        <v>712</v>
      </c>
      <c r="F153" s="215" t="s">
        <v>479</v>
      </c>
      <c r="G153" s="242">
        <v>45845</v>
      </c>
      <c r="H153" s="234">
        <f>G153</f>
        <v>45845</v>
      </c>
      <c r="I153" s="243"/>
      <c r="J153" s="243">
        <v>45845</v>
      </c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6</v>
      </c>
      <c r="B154" s="276" t="s">
        <v>713</v>
      </c>
      <c r="C154" s="277" t="s">
        <v>714</v>
      </c>
      <c r="D154" s="278" t="s">
        <v>715</v>
      </c>
      <c r="E154" s="215" t="s">
        <v>716</v>
      </c>
      <c r="F154" s="215" t="s">
        <v>469</v>
      </c>
      <c r="G154" s="243">
        <v>45803</v>
      </c>
      <c r="H154" s="243">
        <f>L154</f>
        <v>45804</v>
      </c>
      <c r="I154" s="279"/>
      <c r="J154" s="243"/>
      <c r="K154" s="215" t="s">
        <v>470</v>
      </c>
      <c r="L154" s="242">
        <v>45804</v>
      </c>
      <c r="M154" s="242">
        <v>45824</v>
      </c>
      <c r="N154" s="215" t="s">
        <v>471</v>
      </c>
      <c r="O154" s="215">
        <f ca="1">O1-L154</f>
        <v>49</v>
      </c>
      <c r="P154" s="215"/>
      <c r="Q154" s="215"/>
      <c r="R154" s="215" t="s">
        <v>502</v>
      </c>
      <c r="S154" s="215" t="str">
        <f>N154</f>
        <v>CAT - III</v>
      </c>
      <c r="T154" s="215" t="s">
        <v>476</v>
      </c>
      <c r="U154" s="215">
        <f ca="1">U1-L154</f>
        <v>49</v>
      </c>
    </row>
    <row r="155" spans="1:21" ht="28" x14ac:dyDescent="0.3">
      <c r="A155" s="276"/>
      <c r="B155" s="276"/>
      <c r="C155" s="277" t="s">
        <v>714</v>
      </c>
      <c r="D155" s="278" t="s">
        <v>717</v>
      </c>
      <c r="E155" s="215" t="s">
        <v>718</v>
      </c>
      <c r="F155" s="215" t="s">
        <v>469</v>
      </c>
      <c r="G155" s="243">
        <v>45817</v>
      </c>
      <c r="H155" s="243">
        <f>L155</f>
        <v>45813</v>
      </c>
      <c r="I155" s="279"/>
      <c r="J155" s="243"/>
      <c r="K155" s="215" t="s">
        <v>470</v>
      </c>
      <c r="L155" s="242">
        <v>45813</v>
      </c>
      <c r="M155" s="242"/>
      <c r="N155" s="215"/>
      <c r="O155" s="215"/>
      <c r="P155" s="215"/>
      <c r="Q155" s="215"/>
      <c r="R155" s="215" t="s">
        <v>495</v>
      </c>
      <c r="S155" s="215"/>
      <c r="T155" s="215" t="s">
        <v>473</v>
      </c>
      <c r="U155" s="215"/>
    </row>
    <row r="156" spans="1:21" ht="28" x14ac:dyDescent="0.3">
      <c r="A156" s="276">
        <v>7</v>
      </c>
      <c r="B156" s="276" t="s">
        <v>713</v>
      </c>
      <c r="C156" s="277" t="s">
        <v>714</v>
      </c>
      <c r="D156" s="278" t="s">
        <v>719</v>
      </c>
      <c r="E156" s="215" t="s">
        <v>720</v>
      </c>
      <c r="F156" s="215" t="s">
        <v>469</v>
      </c>
      <c r="G156" s="243">
        <v>45816</v>
      </c>
      <c r="H156" s="243">
        <v>45835</v>
      </c>
      <c r="I156" s="243" t="s">
        <v>389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8</v>
      </c>
      <c r="B157" s="276" t="s">
        <v>713</v>
      </c>
      <c r="C157" s="277" t="s">
        <v>714</v>
      </c>
      <c r="D157" s="278" t="s">
        <v>721</v>
      </c>
      <c r="E157" s="215" t="s">
        <v>722</v>
      </c>
      <c r="F157" s="215" t="s">
        <v>469</v>
      </c>
      <c r="G157" s="243">
        <v>45805</v>
      </c>
      <c r="H157" s="243">
        <v>45817</v>
      </c>
      <c r="I157" s="243" t="s">
        <v>389</v>
      </c>
      <c r="J157" s="243"/>
      <c r="K157" s="215" t="s">
        <v>470</v>
      </c>
      <c r="L157" s="242">
        <v>45817</v>
      </c>
      <c r="M157" s="242"/>
      <c r="N157" s="215"/>
      <c r="O157" s="215"/>
      <c r="P157" s="215"/>
      <c r="Q157" s="215"/>
      <c r="R157" s="215" t="s">
        <v>495</v>
      </c>
      <c r="S157" s="215"/>
      <c r="T157" s="215" t="s">
        <v>473</v>
      </c>
      <c r="U157" s="215"/>
    </row>
    <row r="158" spans="1:21" ht="28" x14ac:dyDescent="0.3">
      <c r="A158" s="276">
        <v>9</v>
      </c>
      <c r="B158" s="276" t="s">
        <v>713</v>
      </c>
      <c r="C158" s="277" t="s">
        <v>714</v>
      </c>
      <c r="D158" s="278" t="s">
        <v>723</v>
      </c>
      <c r="E158" s="215" t="s">
        <v>724</v>
      </c>
      <c r="F158" s="215" t="s">
        <v>469</v>
      </c>
      <c r="G158" s="243">
        <v>45805</v>
      </c>
      <c r="H158" s="243">
        <v>45817</v>
      </c>
      <c r="I158" s="243" t="s">
        <v>389</v>
      </c>
      <c r="J158" s="243"/>
      <c r="K158" s="215" t="s">
        <v>470</v>
      </c>
      <c r="L158" s="242">
        <v>45817</v>
      </c>
      <c r="M158" s="242"/>
      <c r="N158" s="215"/>
      <c r="O158" s="215"/>
      <c r="P158" s="215"/>
      <c r="Q158" s="215"/>
      <c r="R158" s="215" t="s">
        <v>495</v>
      </c>
      <c r="S158" s="215"/>
      <c r="T158" s="215" t="s">
        <v>473</v>
      </c>
      <c r="U158" s="215"/>
    </row>
    <row r="159" spans="1:21" ht="28" x14ac:dyDescent="0.3">
      <c r="A159" s="276">
        <v>10</v>
      </c>
      <c r="B159" s="276" t="s">
        <v>713</v>
      </c>
      <c r="C159" s="277" t="s">
        <v>714</v>
      </c>
      <c r="D159" s="278" t="s">
        <v>725</v>
      </c>
      <c r="E159" s="215" t="s">
        <v>726</v>
      </c>
      <c r="F159" s="215" t="s">
        <v>469</v>
      </c>
      <c r="G159" s="243">
        <v>45820</v>
      </c>
      <c r="H159" s="243">
        <v>45838</v>
      </c>
      <c r="I159" s="243" t="s">
        <v>389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11</v>
      </c>
      <c r="B160" s="276" t="s">
        <v>713</v>
      </c>
      <c r="C160" s="277" t="s">
        <v>714</v>
      </c>
      <c r="D160" s="278" t="s">
        <v>727</v>
      </c>
      <c r="E160" s="215" t="s">
        <v>728</v>
      </c>
      <c r="F160" s="215" t="s">
        <v>469</v>
      </c>
      <c r="G160" s="243">
        <v>45814</v>
      </c>
      <c r="H160" s="243">
        <v>45838</v>
      </c>
      <c r="I160" s="243" t="s">
        <v>389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12</v>
      </c>
      <c r="B161" s="276" t="s">
        <v>713</v>
      </c>
      <c r="C161" s="277" t="s">
        <v>714</v>
      </c>
      <c r="D161" s="278" t="s">
        <v>729</v>
      </c>
      <c r="E161" s="215" t="s">
        <v>730</v>
      </c>
      <c r="F161" s="215" t="s">
        <v>469</v>
      </c>
      <c r="G161" s="243">
        <f>[2]Sheet4!E50</f>
        <v>45870</v>
      </c>
      <c r="H161" s="235">
        <f>G161</f>
        <v>45870</v>
      </c>
      <c r="I161" s="243" t="s">
        <v>389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13</v>
      </c>
      <c r="B162" s="276" t="s">
        <v>713</v>
      </c>
      <c r="C162" s="277" t="s">
        <v>714</v>
      </c>
      <c r="D162" s="278" t="s">
        <v>731</v>
      </c>
      <c r="E162" s="215" t="s">
        <v>732</v>
      </c>
      <c r="F162" s="215" t="s">
        <v>469</v>
      </c>
      <c r="G162" s="243">
        <f>[2]Sheet4!E51</f>
        <v>45845</v>
      </c>
      <c r="H162" s="235">
        <f>G162</f>
        <v>45845</v>
      </c>
      <c r="I162" s="243" t="s">
        <v>389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14</v>
      </c>
      <c r="B163" s="276" t="s">
        <v>713</v>
      </c>
      <c r="C163" s="277" t="s">
        <v>714</v>
      </c>
      <c r="D163" s="278" t="s">
        <v>733</v>
      </c>
      <c r="E163" s="215" t="s">
        <v>734</v>
      </c>
      <c r="F163" s="215" t="s">
        <v>469</v>
      </c>
      <c r="G163" s="243">
        <v>45788</v>
      </c>
      <c r="H163" s="243">
        <v>45824</v>
      </c>
      <c r="I163" s="243" t="s">
        <v>389</v>
      </c>
      <c r="J163" s="243">
        <v>45814</v>
      </c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15</v>
      </c>
      <c r="B164" s="276" t="s">
        <v>713</v>
      </c>
      <c r="C164" s="277" t="s">
        <v>714</v>
      </c>
      <c r="D164" s="278" t="s">
        <v>735</v>
      </c>
      <c r="E164" s="215" t="s">
        <v>736</v>
      </c>
      <c r="F164" s="215" t="s">
        <v>469</v>
      </c>
      <c r="G164" s="243">
        <f>[2]Sheet4!E53</f>
        <v>45865</v>
      </c>
      <c r="H164" s="235">
        <f t="shared" ref="H164:H186" si="3">G164</f>
        <v>45865</v>
      </c>
      <c r="I164" s="243" t="s">
        <v>389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16</v>
      </c>
      <c r="B165" s="276" t="s">
        <v>713</v>
      </c>
      <c r="C165" s="277" t="s">
        <v>714</v>
      </c>
      <c r="D165" s="278" t="s">
        <v>737</v>
      </c>
      <c r="E165" s="215" t="s">
        <v>738</v>
      </c>
      <c r="F165" s="215" t="s">
        <v>469</v>
      </c>
      <c r="G165" s="243">
        <f>[2]Sheet4!E54</f>
        <v>45843</v>
      </c>
      <c r="H165" s="235">
        <f t="shared" si="3"/>
        <v>45843</v>
      </c>
      <c r="I165" s="243" t="s">
        <v>389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17</v>
      </c>
      <c r="B166" s="276" t="s">
        <v>713</v>
      </c>
      <c r="C166" s="277" t="s">
        <v>714</v>
      </c>
      <c r="D166" s="278" t="s">
        <v>739</v>
      </c>
      <c r="E166" s="215" t="s">
        <v>740</v>
      </c>
      <c r="F166" s="215" t="s">
        <v>469</v>
      </c>
      <c r="G166" s="243">
        <f>[2]Sheet4!E55</f>
        <v>45840</v>
      </c>
      <c r="H166" s="235">
        <f t="shared" si="3"/>
        <v>45840</v>
      </c>
      <c r="I166" s="243" t="s">
        <v>389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28" x14ac:dyDescent="0.3">
      <c r="A167" s="276">
        <v>18</v>
      </c>
      <c r="B167" s="276" t="s">
        <v>713</v>
      </c>
      <c r="C167" s="277" t="s">
        <v>714</v>
      </c>
      <c r="D167" s="278" t="s">
        <v>741</v>
      </c>
      <c r="E167" s="215" t="s">
        <v>742</v>
      </c>
      <c r="F167" s="215" t="s">
        <v>469</v>
      </c>
      <c r="G167" s="243">
        <f>[2]Sheet4!E56</f>
        <v>45822</v>
      </c>
      <c r="H167" s="235">
        <v>45835</v>
      </c>
      <c r="I167" s="243" t="s">
        <v>389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19</v>
      </c>
      <c r="B168" s="276" t="s">
        <v>713</v>
      </c>
      <c r="C168" s="277" t="s">
        <v>714</v>
      </c>
      <c r="D168" s="278" t="s">
        <v>743</v>
      </c>
      <c r="E168" s="215" t="s">
        <v>744</v>
      </c>
      <c r="F168" s="215" t="s">
        <v>479</v>
      </c>
      <c r="G168" s="243">
        <f>[2]Sheet4!E57</f>
        <v>45840</v>
      </c>
      <c r="H168" s="235">
        <f t="shared" si="3"/>
        <v>45840</v>
      </c>
      <c r="I168" s="243" t="s">
        <v>389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20</v>
      </c>
      <c r="B169" s="276" t="s">
        <v>713</v>
      </c>
      <c r="C169" s="277" t="s">
        <v>714</v>
      </c>
      <c r="D169" s="278" t="s">
        <v>745</v>
      </c>
      <c r="E169" s="215" t="s">
        <v>746</v>
      </c>
      <c r="F169" s="215" t="s">
        <v>479</v>
      </c>
      <c r="G169" s="243">
        <f>[2]Sheet4!E58</f>
        <v>45847</v>
      </c>
      <c r="H169" s="235">
        <f t="shared" si="3"/>
        <v>45847</v>
      </c>
      <c r="I169" s="243" t="s">
        <v>389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21</v>
      </c>
      <c r="B170" s="276" t="s">
        <v>713</v>
      </c>
      <c r="C170" s="277" t="s">
        <v>714</v>
      </c>
      <c r="D170" s="278" t="s">
        <v>747</v>
      </c>
      <c r="E170" s="215" t="s">
        <v>748</v>
      </c>
      <c r="F170" s="215" t="s">
        <v>469</v>
      </c>
      <c r="G170" s="243">
        <f>[2]Sheet4!E59</f>
        <v>45894</v>
      </c>
      <c r="H170" s="235">
        <f t="shared" si="3"/>
        <v>45894</v>
      </c>
      <c r="I170" s="243" t="s">
        <v>389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22</v>
      </c>
      <c r="B171" s="276" t="s">
        <v>713</v>
      </c>
      <c r="C171" s="277" t="s">
        <v>714</v>
      </c>
      <c r="D171" s="278" t="s">
        <v>749</v>
      </c>
      <c r="E171" s="215" t="s">
        <v>750</v>
      </c>
      <c r="F171" s="215" t="s">
        <v>479</v>
      </c>
      <c r="G171" s="243">
        <f>[2]Sheet4!E60</f>
        <v>45813</v>
      </c>
      <c r="H171" s="235">
        <v>45836</v>
      </c>
      <c r="I171" s="243" t="s">
        <v>389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v>23</v>
      </c>
      <c r="B172" s="276" t="s">
        <v>713</v>
      </c>
      <c r="C172" s="277" t="s">
        <v>714</v>
      </c>
      <c r="D172" s="278" t="s">
        <v>751</v>
      </c>
      <c r="E172" s="215" t="s">
        <v>752</v>
      </c>
      <c r="F172" s="215" t="s">
        <v>469</v>
      </c>
      <c r="G172" s="243">
        <f>[2]Sheet4!E61</f>
        <v>45858</v>
      </c>
      <c r="H172" s="235">
        <f t="shared" si="3"/>
        <v>45858</v>
      </c>
      <c r="I172" s="243" t="s">
        <v>389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v>24</v>
      </c>
      <c r="B173" s="276" t="s">
        <v>713</v>
      </c>
      <c r="C173" s="277" t="s">
        <v>714</v>
      </c>
      <c r="D173" s="278" t="s">
        <v>753</v>
      </c>
      <c r="E173" s="215" t="s">
        <v>754</v>
      </c>
      <c r="F173" s="215" t="s">
        <v>479</v>
      </c>
      <c r="G173" s="243">
        <f>[2]Sheet4!E62</f>
        <v>45834</v>
      </c>
      <c r="H173" s="235">
        <f t="shared" si="3"/>
        <v>45834</v>
      </c>
      <c r="I173" s="243" t="s">
        <v>389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v>25</v>
      </c>
      <c r="B174" s="276" t="s">
        <v>713</v>
      </c>
      <c r="C174" s="277" t="s">
        <v>714</v>
      </c>
      <c r="D174" s="278" t="s">
        <v>755</v>
      </c>
      <c r="E174" s="215" t="s">
        <v>756</v>
      </c>
      <c r="F174" s="215" t="s">
        <v>469</v>
      </c>
      <c r="G174" s="243">
        <f>[2]Sheet4!E63</f>
        <v>45840</v>
      </c>
      <c r="H174" s="235">
        <f t="shared" si="3"/>
        <v>45840</v>
      </c>
      <c r="I174" s="243" t="s">
        <v>389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v>26</v>
      </c>
      <c r="B175" s="276" t="s">
        <v>713</v>
      </c>
      <c r="C175" s="277" t="s">
        <v>714</v>
      </c>
      <c r="D175" s="278" t="s">
        <v>757</v>
      </c>
      <c r="E175" s="215" t="s">
        <v>758</v>
      </c>
      <c r="F175" s="215" t="s">
        <v>479</v>
      </c>
      <c r="G175" s="243">
        <f>[2]Sheet4!E64</f>
        <v>45962</v>
      </c>
      <c r="H175" s="235">
        <f t="shared" si="3"/>
        <v>45962</v>
      </c>
      <c r="I175" s="243" t="s">
        <v>389</v>
      </c>
      <c r="J175" s="243"/>
      <c r="K175" s="215"/>
      <c r="L175" s="242"/>
      <c r="M175" s="242"/>
      <c r="N175" s="215"/>
      <c r="O175" s="215"/>
      <c r="P175" s="215"/>
      <c r="Q175" s="215"/>
      <c r="R175" s="215"/>
      <c r="S175" s="215"/>
      <c r="T175" s="215"/>
      <c r="U175" s="215"/>
    </row>
    <row r="176" spans="1:21" ht="28" x14ac:dyDescent="0.3">
      <c r="A176" s="276">
        <v>27</v>
      </c>
      <c r="B176" s="276" t="s">
        <v>713</v>
      </c>
      <c r="C176" s="277" t="s">
        <v>714</v>
      </c>
      <c r="D176" s="278" t="s">
        <v>759</v>
      </c>
      <c r="E176" s="215" t="s">
        <v>760</v>
      </c>
      <c r="F176" s="215" t="s">
        <v>469</v>
      </c>
      <c r="G176" s="243">
        <f>[2]Sheet4!E65</f>
        <v>45826</v>
      </c>
      <c r="H176" s="235">
        <v>45838</v>
      </c>
      <c r="I176" s="243" t="s">
        <v>389</v>
      </c>
      <c r="J176" s="243"/>
      <c r="K176" s="215"/>
      <c r="L176" s="242"/>
      <c r="M176" s="242"/>
      <c r="N176" s="215"/>
      <c r="O176" s="215"/>
      <c r="P176" s="215"/>
      <c r="Q176" s="215"/>
      <c r="R176" s="215"/>
      <c r="S176" s="215"/>
      <c r="T176" s="215"/>
      <c r="U176" s="215"/>
    </row>
    <row r="177" spans="1:21" ht="28" x14ac:dyDescent="0.3">
      <c r="A177" s="276">
        <v>28</v>
      </c>
      <c r="B177" s="276" t="s">
        <v>713</v>
      </c>
      <c r="C177" s="277" t="s">
        <v>714</v>
      </c>
      <c r="D177" s="278" t="s">
        <v>761</v>
      </c>
      <c r="E177" s="215" t="s">
        <v>762</v>
      </c>
      <c r="F177" s="215" t="s">
        <v>479</v>
      </c>
      <c r="G177" s="243">
        <f>[2]Sheet4!E66</f>
        <v>45853</v>
      </c>
      <c r="H177" s="235">
        <f t="shared" si="3"/>
        <v>45853</v>
      </c>
      <c r="I177" s="243" t="s">
        <v>389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ht="28" x14ac:dyDescent="0.3">
      <c r="A178" s="276">
        <v>29</v>
      </c>
      <c r="B178" s="276" t="s">
        <v>713</v>
      </c>
      <c r="C178" s="277" t="s">
        <v>714</v>
      </c>
      <c r="D178" s="278" t="s">
        <v>763</v>
      </c>
      <c r="E178" s="215" t="s">
        <v>764</v>
      </c>
      <c r="F178" s="215" t="s">
        <v>479</v>
      </c>
      <c r="G178" s="243" t="str">
        <f>[2]Sheet4!E67</f>
        <v>Done</v>
      </c>
      <c r="H178" s="235" t="str">
        <f t="shared" si="3"/>
        <v>Done</v>
      </c>
      <c r="I178" s="243" t="s">
        <v>389</v>
      </c>
      <c r="J178" s="243"/>
      <c r="K178" s="215"/>
      <c r="L178" s="242"/>
      <c r="M178" s="242"/>
      <c r="N178" s="215"/>
      <c r="O178" s="215"/>
      <c r="P178" s="215"/>
      <c r="Q178" s="215"/>
      <c r="R178" s="215"/>
      <c r="S178" s="215"/>
      <c r="T178" s="215"/>
      <c r="U178" s="215"/>
    </row>
    <row r="179" spans="1:21" ht="70" x14ac:dyDescent="0.3">
      <c r="A179" s="276">
        <v>30</v>
      </c>
      <c r="B179" s="276" t="s">
        <v>713</v>
      </c>
      <c r="C179" s="277" t="s">
        <v>714</v>
      </c>
      <c r="D179" s="278" t="s">
        <v>765</v>
      </c>
      <c r="E179" s="215" t="s">
        <v>766</v>
      </c>
      <c r="F179" s="215" t="s">
        <v>479</v>
      </c>
      <c r="G179" s="243">
        <v>45900</v>
      </c>
      <c r="H179" s="235">
        <f t="shared" si="3"/>
        <v>45900</v>
      </c>
      <c r="I179" s="243" t="s">
        <v>389</v>
      </c>
      <c r="J179" s="243"/>
      <c r="K179" s="215"/>
      <c r="L179" s="242"/>
      <c r="M179" s="242"/>
      <c r="N179" s="215"/>
      <c r="O179" s="215"/>
      <c r="P179" s="215"/>
      <c r="Q179" s="215"/>
      <c r="R179" s="215"/>
      <c r="S179" s="215"/>
      <c r="T179" s="215"/>
      <c r="U179" s="215"/>
    </row>
    <row r="180" spans="1:21" ht="28" x14ac:dyDescent="0.3">
      <c r="A180" s="276">
        <v>31</v>
      </c>
      <c r="B180" s="276" t="s">
        <v>713</v>
      </c>
      <c r="C180" s="277" t="s">
        <v>714</v>
      </c>
      <c r="D180" s="278" t="s">
        <v>767</v>
      </c>
      <c r="E180" s="215" t="s">
        <v>768</v>
      </c>
      <c r="F180" s="215" t="s">
        <v>469</v>
      </c>
      <c r="G180" s="243">
        <f>[2]Sheet4!E69</f>
        <v>45834</v>
      </c>
      <c r="H180" s="235">
        <f t="shared" si="3"/>
        <v>45834</v>
      </c>
      <c r="I180" s="243" t="s">
        <v>389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ht="28" x14ac:dyDescent="0.3">
      <c r="A181" s="276">
        <v>32</v>
      </c>
      <c r="B181" s="276" t="s">
        <v>713</v>
      </c>
      <c r="C181" s="277" t="s">
        <v>714</v>
      </c>
      <c r="D181" s="278" t="s">
        <v>769</v>
      </c>
      <c r="E181" s="215" t="s">
        <v>770</v>
      </c>
      <c r="F181" s="215" t="s">
        <v>469</v>
      </c>
      <c r="G181" s="243">
        <f>[2]Sheet4!E70</f>
        <v>45814</v>
      </c>
      <c r="H181" s="235">
        <v>45838</v>
      </c>
      <c r="I181" s="243" t="s">
        <v>389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ht="28" x14ac:dyDescent="0.3">
      <c r="A182" s="276">
        <v>33</v>
      </c>
      <c r="B182" s="276" t="s">
        <v>713</v>
      </c>
      <c r="C182" s="277" t="s">
        <v>714</v>
      </c>
      <c r="D182" s="278" t="s">
        <v>771</v>
      </c>
      <c r="E182" s="215" t="s">
        <v>772</v>
      </c>
      <c r="F182" s="215" t="s">
        <v>469</v>
      </c>
      <c r="G182" s="243">
        <f>[2]Sheet4!E71</f>
        <v>45814</v>
      </c>
      <c r="H182" s="235">
        <v>45838</v>
      </c>
      <c r="I182" s="243" t="s">
        <v>389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ht="28" x14ac:dyDescent="0.3">
      <c r="A183" s="276">
        <v>1</v>
      </c>
      <c r="B183" s="276" t="s">
        <v>713</v>
      </c>
      <c r="C183" s="277" t="s">
        <v>714</v>
      </c>
      <c r="D183" s="278" t="s">
        <v>773</v>
      </c>
      <c r="E183" s="215" t="s">
        <v>774</v>
      </c>
      <c r="F183" s="215" t="s">
        <v>469</v>
      </c>
      <c r="G183" s="243">
        <f>[2]Sheet4!E72</f>
        <v>45826</v>
      </c>
      <c r="H183" s="235">
        <v>45838</v>
      </c>
      <c r="I183" s="243" t="s">
        <v>389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ht="28" x14ac:dyDescent="0.3">
      <c r="A184" s="276">
        <f t="shared" ref="A184:A213" si="4">A183+1</f>
        <v>2</v>
      </c>
      <c r="B184" s="276" t="s">
        <v>713</v>
      </c>
      <c r="C184" s="277" t="s">
        <v>714</v>
      </c>
      <c r="D184" s="278" t="s">
        <v>775</v>
      </c>
      <c r="E184" s="215" t="s">
        <v>776</v>
      </c>
      <c r="F184" s="215" t="s">
        <v>469</v>
      </c>
      <c r="G184" s="243">
        <f>[2]Sheet4!E73</f>
        <v>45834</v>
      </c>
      <c r="H184" s="235">
        <v>45838</v>
      </c>
      <c r="I184" s="243" t="s">
        <v>389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ht="28" x14ac:dyDescent="0.3">
      <c r="A185" s="276">
        <f t="shared" si="4"/>
        <v>3</v>
      </c>
      <c r="B185" s="276" t="s">
        <v>713</v>
      </c>
      <c r="C185" s="277" t="s">
        <v>714</v>
      </c>
      <c r="D185" s="278" t="s">
        <v>777</v>
      </c>
      <c r="E185" s="215" t="s">
        <v>778</v>
      </c>
      <c r="F185" s="215" t="s">
        <v>469</v>
      </c>
      <c r="G185" s="243">
        <f>[2]Sheet4!E74</f>
        <v>45848</v>
      </c>
      <c r="H185" s="235">
        <f t="shared" si="3"/>
        <v>45848</v>
      </c>
      <c r="I185" s="243" t="s">
        <v>389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ht="28" x14ac:dyDescent="0.3">
      <c r="A186" s="276">
        <f t="shared" si="4"/>
        <v>4</v>
      </c>
      <c r="B186" s="276" t="s">
        <v>713</v>
      </c>
      <c r="C186" s="277" t="s">
        <v>714</v>
      </c>
      <c r="D186" s="278" t="s">
        <v>779</v>
      </c>
      <c r="E186" s="215" t="s">
        <v>780</v>
      </c>
      <c r="F186" s="215" t="s">
        <v>469</v>
      </c>
      <c r="G186" s="243">
        <v>45868</v>
      </c>
      <c r="H186" s="235">
        <f t="shared" si="3"/>
        <v>45868</v>
      </c>
      <c r="I186" s="243" t="s">
        <v>389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ht="30" customHeight="1" x14ac:dyDescent="0.3">
      <c r="A187" s="458">
        <f t="shared" si="4"/>
        <v>5</v>
      </c>
      <c r="B187" s="276" t="s">
        <v>713</v>
      </c>
      <c r="C187" s="461" t="s">
        <v>714</v>
      </c>
      <c r="D187" s="476" t="s">
        <v>781</v>
      </c>
      <c r="E187" s="427" t="s">
        <v>782</v>
      </c>
      <c r="F187" s="427" t="s">
        <v>469</v>
      </c>
      <c r="G187" s="478">
        <v>45797</v>
      </c>
      <c r="H187" s="478">
        <v>45836</v>
      </c>
      <c r="I187" s="243" t="s">
        <v>389</v>
      </c>
      <c r="J187" s="243"/>
      <c r="K187" s="215" t="s">
        <v>470</v>
      </c>
      <c r="L187" s="242">
        <v>45790</v>
      </c>
      <c r="M187" s="242">
        <v>45812</v>
      </c>
      <c r="N187" s="215" t="s">
        <v>471</v>
      </c>
      <c r="O187" s="215">
        <f>M187-L187</f>
        <v>22</v>
      </c>
      <c r="P187" s="215">
        <f ca="1">O1-M187</f>
        <v>41</v>
      </c>
      <c r="Q187" s="427"/>
      <c r="R187" s="427" t="s">
        <v>495</v>
      </c>
      <c r="S187" s="427" t="str">
        <f>N187</f>
        <v>CAT - III</v>
      </c>
      <c r="T187" s="427" t="s">
        <v>473</v>
      </c>
      <c r="U187" s="427">
        <f ca="1">U1-L187</f>
        <v>63</v>
      </c>
    </row>
    <row r="188" spans="1:21" x14ac:dyDescent="0.3">
      <c r="A188" s="460"/>
      <c r="B188" s="276"/>
      <c r="C188" s="463"/>
      <c r="D188" s="477"/>
      <c r="E188" s="429"/>
      <c r="F188" s="429"/>
      <c r="G188" s="479"/>
      <c r="H188" s="479"/>
      <c r="I188" s="243"/>
      <c r="J188" s="243"/>
      <c r="K188" s="215" t="s">
        <v>472</v>
      </c>
      <c r="L188" s="242">
        <v>45824</v>
      </c>
      <c r="M188" s="242"/>
      <c r="N188" s="215"/>
      <c r="O188" s="215"/>
      <c r="P188" s="215"/>
      <c r="Q188" s="429"/>
      <c r="R188" s="429"/>
      <c r="S188" s="429"/>
      <c r="T188" s="429"/>
      <c r="U188" s="429"/>
    </row>
    <row r="189" spans="1:21" x14ac:dyDescent="0.3">
      <c r="A189" s="276">
        <f>A187+1</f>
        <v>6</v>
      </c>
      <c r="B189" s="276" t="s">
        <v>713</v>
      </c>
      <c r="C189" s="277" t="s">
        <v>783</v>
      </c>
      <c r="D189" s="278" t="s">
        <v>784</v>
      </c>
      <c r="E189" s="215" t="s">
        <v>785</v>
      </c>
      <c r="F189" s="215" t="s">
        <v>469</v>
      </c>
      <c r="G189" s="243">
        <f>[2]Sheet4!E77</f>
        <v>45826</v>
      </c>
      <c r="H189" s="243">
        <f>L189</f>
        <v>45804</v>
      </c>
      <c r="I189" s="243" t="s">
        <v>389</v>
      </c>
      <c r="J189" s="243"/>
      <c r="K189" s="215" t="s">
        <v>470</v>
      </c>
      <c r="L189" s="242">
        <v>45804</v>
      </c>
      <c r="M189" s="242"/>
      <c r="N189" s="215"/>
      <c r="O189" s="215">
        <f ca="1">O1-L189</f>
        <v>49</v>
      </c>
      <c r="P189" s="215"/>
      <c r="Q189" s="215"/>
      <c r="R189" s="215" t="s">
        <v>495</v>
      </c>
      <c r="S189" s="215"/>
      <c r="T189" s="215" t="s">
        <v>473</v>
      </c>
      <c r="U189" s="215">
        <f ca="1">U1-L189</f>
        <v>49</v>
      </c>
    </row>
    <row r="190" spans="1:21" x14ac:dyDescent="0.3">
      <c r="A190" s="276">
        <f t="shared" si="4"/>
        <v>7</v>
      </c>
      <c r="B190" s="276" t="s">
        <v>713</v>
      </c>
      <c r="C190" s="277" t="s">
        <v>783</v>
      </c>
      <c r="D190" s="278" t="s">
        <v>786</v>
      </c>
      <c r="E190" s="215" t="s">
        <v>787</v>
      </c>
      <c r="F190" s="215" t="s">
        <v>479</v>
      </c>
      <c r="G190" s="243">
        <f>[2]Sheet4!E78</f>
        <v>45826</v>
      </c>
      <c r="H190" s="243">
        <f>H156</f>
        <v>45835</v>
      </c>
      <c r="I190" s="243" t="s">
        <v>389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x14ac:dyDescent="0.3">
      <c r="A191" s="276">
        <f t="shared" si="4"/>
        <v>8</v>
      </c>
      <c r="B191" s="276" t="s">
        <v>713</v>
      </c>
      <c r="C191" s="277" t="s">
        <v>783</v>
      </c>
      <c r="D191" s="278" t="s">
        <v>788</v>
      </c>
      <c r="E191" s="215" t="s">
        <v>789</v>
      </c>
      <c r="F191" s="215" t="s">
        <v>469</v>
      </c>
      <c r="G191" s="243">
        <f>[2]Sheet4!E79</f>
        <v>45833</v>
      </c>
      <c r="H191" s="243">
        <f>H157</f>
        <v>45817</v>
      </c>
      <c r="I191" s="243" t="s">
        <v>389</v>
      </c>
      <c r="J191" s="243"/>
      <c r="K191" s="215" t="s">
        <v>470</v>
      </c>
      <c r="L191" s="242">
        <v>45817</v>
      </c>
      <c r="M191" s="242">
        <v>45828</v>
      </c>
      <c r="N191" s="215" t="s">
        <v>471</v>
      </c>
      <c r="O191" s="215"/>
      <c r="P191" s="215"/>
      <c r="Q191" s="215"/>
      <c r="R191" s="215" t="s">
        <v>502</v>
      </c>
      <c r="S191" s="215" t="str">
        <f>N191</f>
        <v>CAT - III</v>
      </c>
      <c r="T191" s="215" t="s">
        <v>476</v>
      </c>
      <c r="U191" s="215"/>
    </row>
    <row r="192" spans="1:21" x14ac:dyDescent="0.3">
      <c r="A192" s="276">
        <f t="shared" si="4"/>
        <v>9</v>
      </c>
      <c r="B192" s="276" t="s">
        <v>713</v>
      </c>
      <c r="C192" s="277" t="s">
        <v>783</v>
      </c>
      <c r="D192" s="278" t="s">
        <v>790</v>
      </c>
      <c r="E192" s="215" t="s">
        <v>791</v>
      </c>
      <c r="F192" s="215" t="s">
        <v>469</v>
      </c>
      <c r="G192" s="243">
        <f>[2]Sheet4!E80</f>
        <v>45870</v>
      </c>
      <c r="H192" s="243">
        <f>H158</f>
        <v>45817</v>
      </c>
      <c r="I192" s="243" t="s">
        <v>389</v>
      </c>
      <c r="J192" s="243"/>
      <c r="K192" s="215" t="s">
        <v>470</v>
      </c>
      <c r="L192" s="242">
        <v>45817</v>
      </c>
      <c r="M192" s="242"/>
      <c r="N192" s="215"/>
      <c r="O192" s="215"/>
      <c r="P192" s="215"/>
      <c r="Q192" s="215"/>
      <c r="R192" s="215" t="s">
        <v>495</v>
      </c>
      <c r="S192" s="215"/>
      <c r="T192" s="215" t="s">
        <v>473</v>
      </c>
      <c r="U192" s="215"/>
    </row>
    <row r="193" spans="1:21" x14ac:dyDescent="0.3">
      <c r="A193" s="276">
        <f t="shared" si="4"/>
        <v>10</v>
      </c>
      <c r="B193" s="276" t="s">
        <v>713</v>
      </c>
      <c r="C193" s="277" t="s">
        <v>783</v>
      </c>
      <c r="D193" s="278" t="s">
        <v>792</v>
      </c>
      <c r="E193" s="215" t="s">
        <v>793</v>
      </c>
      <c r="F193" s="215" t="s">
        <v>469</v>
      </c>
      <c r="G193" s="243">
        <f>[2]Sheet4!E81</f>
        <v>45845</v>
      </c>
      <c r="H193" s="235">
        <f t="shared" ref="H193:H208" si="5">G193</f>
        <v>45845</v>
      </c>
      <c r="I193" s="243" t="s">
        <v>389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4"/>
        <v>11</v>
      </c>
      <c r="B194" s="276" t="s">
        <v>713</v>
      </c>
      <c r="C194" s="277" t="s">
        <v>783</v>
      </c>
      <c r="D194" s="278" t="s">
        <v>794</v>
      </c>
      <c r="E194" s="215" t="s">
        <v>795</v>
      </c>
      <c r="F194" s="215" t="s">
        <v>479</v>
      </c>
      <c r="G194" s="243">
        <f>[2]Sheet4!E82</f>
        <v>45845</v>
      </c>
      <c r="H194" s="235">
        <f t="shared" si="5"/>
        <v>45845</v>
      </c>
      <c r="I194" s="243" t="s">
        <v>389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4"/>
        <v>12</v>
      </c>
      <c r="B195" s="276" t="s">
        <v>713</v>
      </c>
      <c r="C195" s="277" t="s">
        <v>783</v>
      </c>
      <c r="D195" s="278" t="s">
        <v>796</v>
      </c>
      <c r="E195" s="215" t="s">
        <v>797</v>
      </c>
      <c r="F195" s="215" t="s">
        <v>479</v>
      </c>
      <c r="G195" s="243">
        <f>[2]Sheet4!E83</f>
        <v>45865</v>
      </c>
      <c r="H195" s="235">
        <f t="shared" si="5"/>
        <v>45865</v>
      </c>
      <c r="I195" s="243" t="s">
        <v>389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276">
        <f t="shared" si="4"/>
        <v>13</v>
      </c>
      <c r="B196" s="276" t="s">
        <v>713</v>
      </c>
      <c r="C196" s="277" t="s">
        <v>783</v>
      </c>
      <c r="D196" s="278" t="s">
        <v>798</v>
      </c>
      <c r="E196" s="215" t="s">
        <v>799</v>
      </c>
      <c r="F196" s="215" t="s">
        <v>469</v>
      </c>
      <c r="G196" s="243">
        <f>[2]Sheet4!E84</f>
        <v>45843</v>
      </c>
      <c r="H196" s="235">
        <f t="shared" si="5"/>
        <v>45843</v>
      </c>
      <c r="I196" s="243" t="s">
        <v>389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276">
        <f t="shared" si="4"/>
        <v>14</v>
      </c>
      <c r="B197" s="276" t="s">
        <v>713</v>
      </c>
      <c r="C197" s="277" t="s">
        <v>783</v>
      </c>
      <c r="D197" s="278" t="s">
        <v>800</v>
      </c>
      <c r="E197" s="215" t="s">
        <v>801</v>
      </c>
      <c r="F197" s="215" t="s">
        <v>469</v>
      </c>
      <c r="G197" s="243">
        <f>[2]Sheet4!E85</f>
        <v>45822</v>
      </c>
      <c r="H197" s="235">
        <v>45835</v>
      </c>
      <c r="I197" s="243" t="s">
        <v>389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 t="shared" si="4"/>
        <v>15</v>
      </c>
      <c r="B198" s="276" t="s">
        <v>713</v>
      </c>
      <c r="C198" s="277" t="s">
        <v>783</v>
      </c>
      <c r="D198" s="278" t="s">
        <v>802</v>
      </c>
      <c r="E198" s="215" t="s">
        <v>803</v>
      </c>
      <c r="F198" s="215" t="s">
        <v>469</v>
      </c>
      <c r="G198" s="243">
        <f>[2]Sheet4!E86</f>
        <v>45840</v>
      </c>
      <c r="H198" s="235">
        <f t="shared" si="5"/>
        <v>45840</v>
      </c>
      <c r="I198" s="243" t="s">
        <v>389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x14ac:dyDescent="0.3">
      <c r="A199" s="276">
        <f t="shared" si="4"/>
        <v>16</v>
      </c>
      <c r="B199" s="276" t="s">
        <v>713</v>
      </c>
      <c r="C199" s="277" t="s">
        <v>783</v>
      </c>
      <c r="D199" s="278" t="s">
        <v>804</v>
      </c>
      <c r="E199" s="215" t="s">
        <v>805</v>
      </c>
      <c r="F199" s="215" t="s">
        <v>469</v>
      </c>
      <c r="G199" s="243">
        <f>[2]Sheet4!E87</f>
        <v>45870</v>
      </c>
      <c r="H199" s="235">
        <f t="shared" si="5"/>
        <v>45870</v>
      </c>
      <c r="I199" s="243" t="s">
        <v>389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276">
        <f t="shared" si="4"/>
        <v>17</v>
      </c>
      <c r="B200" s="276" t="s">
        <v>713</v>
      </c>
      <c r="C200" s="277" t="s">
        <v>783</v>
      </c>
      <c r="D200" s="278" t="s">
        <v>806</v>
      </c>
      <c r="E200" s="215" t="s">
        <v>807</v>
      </c>
      <c r="F200" s="215" t="s">
        <v>469</v>
      </c>
      <c r="G200" s="243">
        <f>[2]Sheet4!E88</f>
        <v>45813</v>
      </c>
      <c r="H200" s="235">
        <v>45835</v>
      </c>
      <c r="I200" s="243" t="s">
        <v>389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276">
        <f t="shared" si="4"/>
        <v>18</v>
      </c>
      <c r="B201" s="276" t="s">
        <v>713</v>
      </c>
      <c r="C201" s="277" t="s">
        <v>783</v>
      </c>
      <c r="D201" s="278" t="s">
        <v>808</v>
      </c>
      <c r="E201" s="215" t="s">
        <v>809</v>
      </c>
      <c r="F201" s="215" t="s">
        <v>479</v>
      </c>
      <c r="G201" s="243">
        <f>[2]Sheet4!E89</f>
        <v>45858</v>
      </c>
      <c r="H201" s="235">
        <f t="shared" si="5"/>
        <v>45858</v>
      </c>
      <c r="I201" s="243" t="s">
        <v>389</v>
      </c>
      <c r="J201" s="243"/>
      <c r="K201" s="215"/>
      <c r="L201" s="242"/>
      <c r="M201" s="242"/>
      <c r="N201" s="215"/>
      <c r="O201" s="215"/>
      <c r="P201" s="215"/>
      <c r="Q201" s="215"/>
      <c r="R201" s="215"/>
      <c r="S201" s="215"/>
      <c r="T201" s="215"/>
      <c r="U201" s="215"/>
    </row>
    <row r="202" spans="1:21" x14ac:dyDescent="0.3">
      <c r="A202" s="276">
        <f t="shared" si="4"/>
        <v>19</v>
      </c>
      <c r="B202" s="276" t="s">
        <v>713</v>
      </c>
      <c r="C202" s="277" t="s">
        <v>783</v>
      </c>
      <c r="D202" s="278" t="s">
        <v>810</v>
      </c>
      <c r="E202" s="215" t="s">
        <v>811</v>
      </c>
      <c r="F202" s="215" t="s">
        <v>479</v>
      </c>
      <c r="G202" s="243">
        <f>[2]Sheet4!E90</f>
        <v>45834</v>
      </c>
      <c r="H202" s="235">
        <f t="shared" si="5"/>
        <v>45834</v>
      </c>
      <c r="I202" s="243" t="s">
        <v>389</v>
      </c>
      <c r="J202" s="243"/>
      <c r="K202" s="215"/>
      <c r="L202" s="242"/>
      <c r="M202" s="242"/>
      <c r="N202" s="215"/>
      <c r="O202" s="215"/>
      <c r="P202" s="215"/>
      <c r="Q202" s="215"/>
      <c r="R202" s="215"/>
      <c r="S202" s="215"/>
      <c r="T202" s="215"/>
      <c r="U202" s="215"/>
    </row>
    <row r="203" spans="1:21" x14ac:dyDescent="0.3">
      <c r="A203" s="276">
        <f t="shared" si="4"/>
        <v>20</v>
      </c>
      <c r="B203" s="276" t="s">
        <v>713</v>
      </c>
      <c r="C203" s="277" t="s">
        <v>783</v>
      </c>
      <c r="D203" s="278" t="s">
        <v>812</v>
      </c>
      <c r="E203" s="215" t="s">
        <v>813</v>
      </c>
      <c r="F203" s="215" t="s">
        <v>479</v>
      </c>
      <c r="G203" s="243">
        <f>[2]Sheet4!E91</f>
        <v>45840</v>
      </c>
      <c r="H203" s="235">
        <f t="shared" si="5"/>
        <v>45840</v>
      </c>
      <c r="I203" s="243" t="s">
        <v>389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s="287" customFormat="1" ht="28" x14ac:dyDescent="0.3">
      <c r="A204" s="276">
        <f t="shared" si="4"/>
        <v>21</v>
      </c>
      <c r="B204" s="276" t="s">
        <v>713</v>
      </c>
      <c r="C204" s="277" t="s">
        <v>783</v>
      </c>
      <c r="D204" s="278" t="s">
        <v>814</v>
      </c>
      <c r="E204" s="215" t="s">
        <v>815</v>
      </c>
      <c r="F204" s="215" t="s">
        <v>479</v>
      </c>
      <c r="G204" s="243">
        <f>[2]Sheet4!E92</f>
        <v>45826</v>
      </c>
      <c r="H204" s="235">
        <v>45835</v>
      </c>
      <c r="I204" s="243" t="s">
        <v>389</v>
      </c>
      <c r="J204" s="243"/>
      <c r="K204" s="286"/>
      <c r="L204" s="242"/>
      <c r="M204" s="242"/>
      <c r="N204" s="286"/>
      <c r="O204" s="215"/>
      <c r="P204" s="215"/>
      <c r="Q204" s="286"/>
      <c r="R204" s="286"/>
      <c r="S204" s="286"/>
      <c r="T204" s="286"/>
      <c r="U204" s="286"/>
    </row>
    <row r="205" spans="1:21" x14ac:dyDescent="0.3">
      <c r="A205" s="276">
        <f t="shared" si="4"/>
        <v>22</v>
      </c>
      <c r="B205" s="276" t="s">
        <v>713</v>
      </c>
      <c r="C205" s="277" t="s">
        <v>783</v>
      </c>
      <c r="D205" s="278" t="s">
        <v>816</v>
      </c>
      <c r="E205" s="215" t="s">
        <v>817</v>
      </c>
      <c r="F205" s="215" t="s">
        <v>469</v>
      </c>
      <c r="G205" s="243" t="str">
        <f>[2]Sheet4!E93</f>
        <v>Done</v>
      </c>
      <c r="H205" s="235" t="str">
        <f t="shared" si="5"/>
        <v>Done</v>
      </c>
      <c r="I205" s="243" t="s">
        <v>389</v>
      </c>
      <c r="J205" s="243"/>
      <c r="K205" s="215"/>
      <c r="L205" s="242"/>
      <c r="M205" s="242"/>
      <c r="N205" s="215"/>
      <c r="O205" s="215"/>
      <c r="P205" s="215"/>
      <c r="Q205" s="215"/>
      <c r="R205" s="215"/>
      <c r="S205" s="215"/>
      <c r="T205" s="215"/>
      <c r="U205" s="215"/>
    </row>
    <row r="206" spans="1:21" x14ac:dyDescent="0.3">
      <c r="A206" s="276">
        <f t="shared" si="4"/>
        <v>23</v>
      </c>
      <c r="B206" s="276" t="s">
        <v>713</v>
      </c>
      <c r="C206" s="277" t="s">
        <v>783</v>
      </c>
      <c r="D206" s="278" t="s">
        <v>818</v>
      </c>
      <c r="E206" s="215" t="s">
        <v>819</v>
      </c>
      <c r="F206" s="215" t="s">
        <v>469</v>
      </c>
      <c r="G206" s="243">
        <f>[2]Sheet4!E94</f>
        <v>45853</v>
      </c>
      <c r="H206" s="235">
        <f t="shared" si="5"/>
        <v>45853</v>
      </c>
      <c r="I206" s="243" t="s">
        <v>389</v>
      </c>
      <c r="J206" s="243"/>
      <c r="K206" s="215"/>
      <c r="L206" s="242"/>
      <c r="M206" s="242"/>
      <c r="N206" s="215"/>
      <c r="O206" s="215"/>
      <c r="P206" s="215"/>
      <c r="Q206" s="215"/>
      <c r="R206" s="215"/>
      <c r="S206" s="215"/>
      <c r="T206" s="215"/>
      <c r="U206" s="215"/>
    </row>
    <row r="207" spans="1:21" x14ac:dyDescent="0.3">
      <c r="A207" s="276">
        <f t="shared" si="4"/>
        <v>24</v>
      </c>
      <c r="B207" s="276" t="s">
        <v>713</v>
      </c>
      <c r="C207" s="277" t="s">
        <v>783</v>
      </c>
      <c r="D207" s="278" t="s">
        <v>820</v>
      </c>
      <c r="E207" s="215" t="s">
        <v>821</v>
      </c>
      <c r="F207" s="214" t="s">
        <v>479</v>
      </c>
      <c r="G207" s="243">
        <f>[2]Sheet4!E95</f>
        <v>45826</v>
      </c>
      <c r="H207" s="235">
        <v>45835</v>
      </c>
      <c r="I207" s="243" t="s">
        <v>389</v>
      </c>
      <c r="J207" s="243"/>
      <c r="K207" s="215"/>
      <c r="L207" s="242"/>
      <c r="M207" s="242"/>
      <c r="N207" s="215"/>
      <c r="O207" s="215"/>
      <c r="P207" s="215"/>
      <c r="Q207" s="215"/>
      <c r="R207" s="215"/>
      <c r="S207" s="215"/>
      <c r="T207" s="215"/>
      <c r="U207" s="215"/>
    </row>
    <row r="208" spans="1:21" x14ac:dyDescent="0.3">
      <c r="A208" s="276">
        <f t="shared" si="4"/>
        <v>25</v>
      </c>
      <c r="B208" s="276" t="s">
        <v>713</v>
      </c>
      <c r="C208" s="277" t="s">
        <v>783</v>
      </c>
      <c r="D208" s="278" t="s">
        <v>822</v>
      </c>
      <c r="E208" s="215" t="s">
        <v>823</v>
      </c>
      <c r="F208" s="215" t="s">
        <v>469</v>
      </c>
      <c r="G208" s="243" t="str">
        <f>[2]Sheet4!E96</f>
        <v>Done</v>
      </c>
      <c r="H208" s="235" t="str">
        <f t="shared" si="5"/>
        <v>Done</v>
      </c>
      <c r="I208" s="243" t="s">
        <v>389</v>
      </c>
      <c r="J208" s="243"/>
      <c r="K208" s="215"/>
      <c r="L208" s="242"/>
      <c r="M208" s="242"/>
      <c r="N208" s="215"/>
      <c r="O208" s="215"/>
      <c r="P208" s="215"/>
      <c r="Q208" s="215"/>
      <c r="R208" s="215"/>
      <c r="S208" s="215"/>
      <c r="T208" s="215"/>
      <c r="U208" s="215"/>
    </row>
    <row r="209" spans="1:21" x14ac:dyDescent="0.3">
      <c r="A209" s="458">
        <f t="shared" si="4"/>
        <v>26</v>
      </c>
      <c r="B209" s="276" t="s">
        <v>713</v>
      </c>
      <c r="C209" s="277" t="s">
        <v>783</v>
      </c>
      <c r="D209" s="278" t="s">
        <v>824</v>
      </c>
      <c r="E209" s="215" t="s">
        <v>825</v>
      </c>
      <c r="F209" s="215" t="s">
        <v>469</v>
      </c>
      <c r="G209" s="243">
        <v>45868</v>
      </c>
      <c r="H209" s="235">
        <f>G209</f>
        <v>45868</v>
      </c>
      <c r="I209" s="243" t="s">
        <v>389</v>
      </c>
      <c r="J209" s="243"/>
      <c r="K209" s="215"/>
      <c r="L209" s="242"/>
      <c r="M209" s="242"/>
      <c r="N209" s="215"/>
      <c r="O209" s="215"/>
      <c r="P209" s="215"/>
      <c r="Q209" s="215"/>
      <c r="R209" s="215"/>
      <c r="S209" s="215"/>
      <c r="T209" s="215"/>
      <c r="U209" s="215"/>
    </row>
    <row r="210" spans="1:21" x14ac:dyDescent="0.3">
      <c r="A210" s="460"/>
      <c r="B210" s="276" t="s">
        <v>713</v>
      </c>
      <c r="C210" s="277" t="s">
        <v>783</v>
      </c>
      <c r="D210" s="278" t="s">
        <v>826</v>
      </c>
      <c r="E210" s="215" t="s">
        <v>827</v>
      </c>
      <c r="F210" s="215" t="s">
        <v>479</v>
      </c>
      <c r="G210" s="243">
        <v>45868</v>
      </c>
      <c r="H210" s="235">
        <f>G210</f>
        <v>45868</v>
      </c>
      <c r="I210" s="243" t="s">
        <v>389</v>
      </c>
      <c r="J210" s="243"/>
      <c r="K210" s="215"/>
      <c r="L210" s="242"/>
      <c r="M210" s="242"/>
      <c r="N210" s="215"/>
      <c r="O210" s="215"/>
      <c r="P210" s="215"/>
      <c r="Q210" s="215"/>
      <c r="R210" s="215"/>
      <c r="S210" s="215"/>
      <c r="T210" s="215"/>
      <c r="U210" s="215"/>
    </row>
    <row r="211" spans="1:21" x14ac:dyDescent="0.3">
      <c r="A211" s="276">
        <f>A209+1</f>
        <v>27</v>
      </c>
      <c r="B211" s="276" t="s">
        <v>713</v>
      </c>
      <c r="C211" s="277" t="s">
        <v>783</v>
      </c>
      <c r="D211" s="278" t="s">
        <v>828</v>
      </c>
      <c r="E211" s="215" t="s">
        <v>829</v>
      </c>
      <c r="F211" s="215" t="s">
        <v>479</v>
      </c>
      <c r="G211" s="243">
        <v>45899</v>
      </c>
      <c r="H211" s="235">
        <f>G211</f>
        <v>45899</v>
      </c>
      <c r="I211" s="243" t="s">
        <v>389</v>
      </c>
      <c r="J211" s="243"/>
      <c r="K211" s="215"/>
      <c r="L211" s="242"/>
      <c r="M211" s="242"/>
      <c r="N211" s="215"/>
      <c r="O211" s="215"/>
      <c r="P211" s="215"/>
      <c r="Q211" s="215"/>
      <c r="R211" s="215"/>
      <c r="S211" s="215"/>
      <c r="T211" s="215"/>
      <c r="U211" s="215"/>
    </row>
    <row r="212" spans="1:21" ht="28" x14ac:dyDescent="0.3">
      <c r="A212" s="281">
        <f t="shared" si="4"/>
        <v>28</v>
      </c>
      <c r="B212" s="276" t="s">
        <v>713</v>
      </c>
      <c r="C212" s="277" t="s">
        <v>783</v>
      </c>
      <c r="D212" s="278" t="s">
        <v>830</v>
      </c>
      <c r="E212" s="215" t="s">
        <v>831</v>
      </c>
      <c r="F212" s="215" t="s">
        <v>479</v>
      </c>
      <c r="G212" s="243">
        <v>45899</v>
      </c>
      <c r="H212" s="235">
        <f>G212</f>
        <v>45899</v>
      </c>
      <c r="I212" s="243" t="s">
        <v>389</v>
      </c>
      <c r="J212" s="243"/>
      <c r="K212" s="215"/>
      <c r="L212" s="242"/>
      <c r="M212" s="242"/>
      <c r="N212" s="215"/>
      <c r="O212" s="215"/>
      <c r="P212" s="215"/>
      <c r="Q212" s="215"/>
      <c r="R212" s="215"/>
      <c r="S212" s="215"/>
      <c r="T212" s="215"/>
      <c r="U212" s="215"/>
    </row>
    <row r="213" spans="1:21" x14ac:dyDescent="0.3">
      <c r="A213" s="298">
        <f t="shared" si="4"/>
        <v>29</v>
      </c>
      <c r="B213" s="276" t="s">
        <v>713</v>
      </c>
      <c r="C213" s="277" t="s">
        <v>783</v>
      </c>
      <c r="D213" s="278" t="s">
        <v>832</v>
      </c>
      <c r="E213" s="215" t="s">
        <v>833</v>
      </c>
      <c r="F213" s="215" t="s">
        <v>469</v>
      </c>
      <c r="G213" s="243">
        <v>45899</v>
      </c>
      <c r="H213" s="235">
        <f>G213</f>
        <v>45899</v>
      </c>
      <c r="I213" s="243" t="s">
        <v>389</v>
      </c>
      <c r="J213" s="243"/>
      <c r="K213" s="215"/>
      <c r="L213" s="242"/>
      <c r="M213" s="242"/>
      <c r="N213" s="215"/>
      <c r="O213" s="215"/>
      <c r="P213" s="215"/>
      <c r="Q213" s="215"/>
      <c r="R213" s="215"/>
      <c r="S213" s="215"/>
      <c r="T213" s="215"/>
      <c r="U213" s="215"/>
    </row>
    <row r="214" spans="1:21" x14ac:dyDescent="0.3">
      <c r="A214" s="298"/>
      <c r="B214" s="276" t="s">
        <v>713</v>
      </c>
      <c r="C214" s="461" t="s">
        <v>783</v>
      </c>
      <c r="D214" s="451" t="s">
        <v>834</v>
      </c>
      <c r="E214" s="427" t="s">
        <v>835</v>
      </c>
      <c r="F214" s="427" t="s">
        <v>469</v>
      </c>
      <c r="G214" s="478">
        <v>45793</v>
      </c>
      <c r="H214" s="478">
        <f>L214</f>
        <v>45793</v>
      </c>
      <c r="I214" s="486" t="s">
        <v>389</v>
      </c>
      <c r="J214" s="486"/>
      <c r="K214" s="215" t="s">
        <v>470</v>
      </c>
      <c r="L214" s="242">
        <v>45793</v>
      </c>
      <c r="M214" s="242">
        <v>45807</v>
      </c>
      <c r="N214" s="215" t="s">
        <v>471</v>
      </c>
      <c r="O214" s="215">
        <f>M214-L214</f>
        <v>14</v>
      </c>
      <c r="P214" s="215">
        <f ca="1">O1-M214</f>
        <v>46</v>
      </c>
      <c r="Q214" s="427"/>
      <c r="R214" s="427" t="s">
        <v>502</v>
      </c>
      <c r="S214" s="427" t="str">
        <f>N214</f>
        <v>CAT - III</v>
      </c>
      <c r="T214" s="427" t="s">
        <v>476</v>
      </c>
      <c r="U214" s="427">
        <f ca="1">U1-M214</f>
        <v>46</v>
      </c>
    </row>
    <row r="215" spans="1:21" x14ac:dyDescent="0.3">
      <c r="A215" s="290"/>
      <c r="B215" s="276"/>
      <c r="C215" s="463"/>
      <c r="D215" s="452"/>
      <c r="E215" s="429"/>
      <c r="F215" s="429"/>
      <c r="G215" s="429"/>
      <c r="H215" s="479"/>
      <c r="I215" s="487"/>
      <c r="J215" s="487"/>
      <c r="K215" s="215" t="s">
        <v>472</v>
      </c>
      <c r="L215" s="242"/>
      <c r="M215" s="242"/>
      <c r="N215" s="215"/>
      <c r="O215" s="215"/>
      <c r="P215" s="215"/>
      <c r="Q215" s="429"/>
      <c r="R215" s="429"/>
      <c r="S215" s="429"/>
      <c r="T215" s="429"/>
      <c r="U215" s="429"/>
    </row>
    <row r="216" spans="1:21" x14ac:dyDescent="0.3">
      <c r="B216" s="276" t="s">
        <v>713</v>
      </c>
      <c r="C216" s="277" t="s">
        <v>783</v>
      </c>
      <c r="D216" s="278" t="s">
        <v>836</v>
      </c>
      <c r="E216" s="215" t="s">
        <v>837</v>
      </c>
      <c r="F216" s="241" t="s">
        <v>469</v>
      </c>
      <c r="G216" s="243">
        <v>45868</v>
      </c>
      <c r="H216" s="235">
        <f>G216</f>
        <v>45868</v>
      </c>
      <c r="I216" s="243" t="s">
        <v>389</v>
      </c>
      <c r="J216" s="243"/>
      <c r="K216" s="215"/>
      <c r="L216" s="242"/>
      <c r="M216" s="242"/>
      <c r="N216" s="215"/>
      <c r="O216" s="215"/>
      <c r="P216" s="215"/>
      <c r="Q216" s="215"/>
      <c r="R216" s="215"/>
      <c r="S216" s="215"/>
      <c r="T216" s="215"/>
      <c r="U216" s="215"/>
    </row>
    <row r="217" spans="1:21" x14ac:dyDescent="0.3">
      <c r="B217" s="281" t="s">
        <v>713</v>
      </c>
      <c r="C217" s="282" t="s">
        <v>783</v>
      </c>
      <c r="D217" s="289" t="s">
        <v>838</v>
      </c>
      <c r="E217" s="267" t="s">
        <v>839</v>
      </c>
      <c r="F217" s="272" t="s">
        <v>469</v>
      </c>
      <c r="G217" s="280">
        <v>45826</v>
      </c>
      <c r="H217" s="235">
        <v>45835</v>
      </c>
      <c r="I217" s="280" t="s">
        <v>389</v>
      </c>
      <c r="J217" s="280"/>
      <c r="K217" s="267"/>
      <c r="L217" s="266"/>
      <c r="M217" s="266"/>
      <c r="N217" s="267"/>
      <c r="O217" s="267"/>
      <c r="P217" s="267"/>
      <c r="Q217" s="267"/>
      <c r="R217" s="267"/>
      <c r="S217" s="267"/>
      <c r="T217" s="267"/>
      <c r="U217" s="267"/>
    </row>
    <row r="218" spans="1:21" s="290" customFormat="1" x14ac:dyDescent="0.3">
      <c r="A218" s="340"/>
      <c r="B218" s="341" t="s">
        <v>713</v>
      </c>
      <c r="C218" s="481" t="s">
        <v>783</v>
      </c>
      <c r="D218" s="482" t="s">
        <v>840</v>
      </c>
      <c r="E218" s="480" t="s">
        <v>839</v>
      </c>
      <c r="F218" s="480" t="s">
        <v>469</v>
      </c>
      <c r="G218" s="483">
        <v>45803</v>
      </c>
      <c r="H218" s="484">
        <f>L218</f>
        <v>45803</v>
      </c>
      <c r="I218" s="483" t="s">
        <v>389</v>
      </c>
      <c r="J218" s="483"/>
      <c r="K218" s="342" t="s">
        <v>470</v>
      </c>
      <c r="L218" s="343">
        <v>45803</v>
      </c>
      <c r="M218" s="343">
        <v>45810</v>
      </c>
      <c r="N218" s="342" t="s">
        <v>471</v>
      </c>
      <c r="O218" s="342">
        <f>M218-L218</f>
        <v>7</v>
      </c>
      <c r="P218" s="342">
        <f>L219-M218</f>
        <v>8</v>
      </c>
      <c r="Q218" s="480"/>
      <c r="R218" s="480" t="s">
        <v>502</v>
      </c>
      <c r="S218" s="480" t="str">
        <f>N219</f>
        <v>CAT - III</v>
      </c>
      <c r="T218" s="480" t="s">
        <v>399</v>
      </c>
      <c r="U218" s="480">
        <f ca="1">U1-M219</f>
        <v>33</v>
      </c>
    </row>
    <row r="219" spans="1:21" s="290" customFormat="1" x14ac:dyDescent="0.3">
      <c r="A219" s="340"/>
      <c r="B219" s="342"/>
      <c r="C219" s="481"/>
      <c r="D219" s="482"/>
      <c r="E219" s="480"/>
      <c r="F219" s="480"/>
      <c r="G219" s="483"/>
      <c r="H219" s="485"/>
      <c r="I219" s="483"/>
      <c r="J219" s="483"/>
      <c r="K219" s="342" t="s">
        <v>472</v>
      </c>
      <c r="L219" s="343">
        <v>45818</v>
      </c>
      <c r="M219" s="343">
        <v>45820</v>
      </c>
      <c r="N219" s="342" t="s">
        <v>471</v>
      </c>
      <c r="O219" s="342">
        <f>M219-L219</f>
        <v>2</v>
      </c>
      <c r="P219" s="342">
        <f ca="1">O1-M219</f>
        <v>33</v>
      </c>
      <c r="Q219" s="480"/>
      <c r="R219" s="480"/>
      <c r="S219" s="480"/>
      <c r="T219" s="480"/>
      <c r="U219" s="480"/>
    </row>
    <row r="220" spans="1:21" s="290" customFormat="1" x14ac:dyDescent="0.3">
      <c r="A220" s="291"/>
      <c r="L220" s="293"/>
      <c r="M220" s="293"/>
    </row>
  </sheetData>
  <autoFilter ref="A2:U219" xr:uid="{3231EE02-D3A7-4921-9CFE-BCAE4C68606C}"/>
  <mergeCells count="310">
    <mergeCell ref="Q218:Q219"/>
    <mergeCell ref="R218:R219"/>
    <mergeCell ref="S218:S219"/>
    <mergeCell ref="T218:T219"/>
    <mergeCell ref="U218:U219"/>
    <mergeCell ref="T214:T215"/>
    <mergeCell ref="U214:U215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H214:H215"/>
    <mergeCell ref="I214:I215"/>
    <mergeCell ref="J214:J215"/>
    <mergeCell ref="Q214:Q215"/>
    <mergeCell ref="R214:R215"/>
    <mergeCell ref="S214:S215"/>
    <mergeCell ref="A209:A210"/>
    <mergeCell ref="C214:C215"/>
    <mergeCell ref="D214:D215"/>
    <mergeCell ref="E214:E215"/>
    <mergeCell ref="F214:F215"/>
    <mergeCell ref="G214:G215"/>
    <mergeCell ref="H187:H188"/>
    <mergeCell ref="Q187:Q188"/>
    <mergeCell ref="R187:R188"/>
    <mergeCell ref="S187:S188"/>
    <mergeCell ref="T187:T188"/>
    <mergeCell ref="U187:U188"/>
    <mergeCell ref="A187:A188"/>
    <mergeCell ref="C187:C188"/>
    <mergeCell ref="D187:D188"/>
    <mergeCell ref="E187:E188"/>
    <mergeCell ref="F187:F188"/>
    <mergeCell ref="G187:G188"/>
    <mergeCell ref="H149:H151"/>
    <mergeCell ref="Q149:Q151"/>
    <mergeCell ref="R149:R151"/>
    <mergeCell ref="S149:S151"/>
    <mergeCell ref="T149:T151"/>
    <mergeCell ref="U149:U151"/>
    <mergeCell ref="B149:B151"/>
    <mergeCell ref="C149:C151"/>
    <mergeCell ref="D149:D151"/>
    <mergeCell ref="E149:E151"/>
    <mergeCell ref="F149:F151"/>
    <mergeCell ref="G149:G151"/>
    <mergeCell ref="H146:H148"/>
    <mergeCell ref="Q146:Q148"/>
    <mergeCell ref="R146:R148"/>
    <mergeCell ref="S146:S148"/>
    <mergeCell ref="T146:T148"/>
    <mergeCell ref="U146:U148"/>
    <mergeCell ref="B146:B148"/>
    <mergeCell ref="C146:C148"/>
    <mergeCell ref="D146:D148"/>
    <mergeCell ref="E146:E148"/>
    <mergeCell ref="F146:F148"/>
    <mergeCell ref="G146:G148"/>
    <mergeCell ref="G142:G144"/>
    <mergeCell ref="H142:H144"/>
    <mergeCell ref="Q142:Q144"/>
    <mergeCell ref="R142:R144"/>
    <mergeCell ref="S142:S144"/>
    <mergeCell ref="T142:T144"/>
    <mergeCell ref="A139:A140"/>
    <mergeCell ref="A142:A144"/>
    <mergeCell ref="C142:C144"/>
    <mergeCell ref="D142:D144"/>
    <mergeCell ref="E142:E144"/>
    <mergeCell ref="F142:F144"/>
    <mergeCell ref="J135:J137"/>
    <mergeCell ref="Q135:Q137"/>
    <mergeCell ref="R135:R137"/>
    <mergeCell ref="S135:S137"/>
    <mergeCell ref="T135:T137"/>
    <mergeCell ref="U135:U137"/>
    <mergeCell ref="T133:T134"/>
    <mergeCell ref="U133:U134"/>
    <mergeCell ref="A135:A137"/>
    <mergeCell ref="C135:C137"/>
    <mergeCell ref="D135:D137"/>
    <mergeCell ref="E135:E137"/>
    <mergeCell ref="F135:F137"/>
    <mergeCell ref="G135:G137"/>
    <mergeCell ref="H135:H137"/>
    <mergeCell ref="I135:I137"/>
    <mergeCell ref="H133:H134"/>
    <mergeCell ref="I133:I134"/>
    <mergeCell ref="J133:J134"/>
    <mergeCell ref="Q133:Q134"/>
    <mergeCell ref="R133:R134"/>
    <mergeCell ref="S133:S134"/>
    <mergeCell ref="S111:S113"/>
    <mergeCell ref="T111:T113"/>
    <mergeCell ref="U111:U113"/>
    <mergeCell ref="A128:A129"/>
    <mergeCell ref="B133:B134"/>
    <mergeCell ref="C133:C134"/>
    <mergeCell ref="D133:D134"/>
    <mergeCell ref="E133:E134"/>
    <mergeCell ref="F133:F134"/>
    <mergeCell ref="G133:G134"/>
    <mergeCell ref="A111:A113"/>
    <mergeCell ref="C111:C113"/>
    <mergeCell ref="D111:D113"/>
    <mergeCell ref="E111:E113"/>
    <mergeCell ref="F111:F113"/>
    <mergeCell ref="G111:G113"/>
    <mergeCell ref="H111:H113"/>
    <mergeCell ref="R111:R113"/>
    <mergeCell ref="U101:U102"/>
    <mergeCell ref="B104:B106"/>
    <mergeCell ref="C104:C106"/>
    <mergeCell ref="D104:D106"/>
    <mergeCell ref="E104:E106"/>
    <mergeCell ref="F104:F106"/>
    <mergeCell ref="T104:T106"/>
    <mergeCell ref="U104:U106"/>
    <mergeCell ref="S104:S106"/>
    <mergeCell ref="G104:G106"/>
    <mergeCell ref="H104:H106"/>
    <mergeCell ref="J104:J106"/>
    <mergeCell ref="Q104:Q106"/>
    <mergeCell ref="R104:R106"/>
    <mergeCell ref="Q101:Q102"/>
    <mergeCell ref="R101:R102"/>
    <mergeCell ref="S101:S102"/>
    <mergeCell ref="T101:T102"/>
    <mergeCell ref="A99:A100"/>
    <mergeCell ref="B101:B102"/>
    <mergeCell ref="C101:C102"/>
    <mergeCell ref="D101:D102"/>
    <mergeCell ref="E101:E102"/>
    <mergeCell ref="F101:F102"/>
    <mergeCell ref="G101:G102"/>
    <mergeCell ref="H101:H102"/>
    <mergeCell ref="J101:J102"/>
    <mergeCell ref="G97:G100"/>
    <mergeCell ref="H97:H100"/>
    <mergeCell ref="H69:H71"/>
    <mergeCell ref="H67:H68"/>
    <mergeCell ref="Q69:Q71"/>
    <mergeCell ref="R69:R71"/>
    <mergeCell ref="S69:S71"/>
    <mergeCell ref="T69:T71"/>
    <mergeCell ref="U69:U71"/>
    <mergeCell ref="B97:B100"/>
    <mergeCell ref="C97:C100"/>
    <mergeCell ref="D97:D100"/>
    <mergeCell ref="E97:E100"/>
    <mergeCell ref="F97:F100"/>
    <mergeCell ref="U97:U100"/>
    <mergeCell ref="Q97:Q100"/>
    <mergeCell ref="R97:R100"/>
    <mergeCell ref="S97:S100"/>
    <mergeCell ref="T97:T100"/>
    <mergeCell ref="T67:T68"/>
    <mergeCell ref="U67:U68"/>
    <mergeCell ref="I67:I68"/>
    <mergeCell ref="J67:J68"/>
    <mergeCell ref="Q67:Q68"/>
    <mergeCell ref="R67:R68"/>
    <mergeCell ref="S67:S68"/>
    <mergeCell ref="A44:A47"/>
    <mergeCell ref="B44:B47"/>
    <mergeCell ref="C44:C47"/>
    <mergeCell ref="D44:D47"/>
    <mergeCell ref="E44:E47"/>
    <mergeCell ref="F44:F47"/>
    <mergeCell ref="G44:G47"/>
    <mergeCell ref="A69:A71"/>
    <mergeCell ref="B69:B71"/>
    <mergeCell ref="C69:C71"/>
    <mergeCell ref="D69:D71"/>
    <mergeCell ref="E69:E71"/>
    <mergeCell ref="F69:F71"/>
    <mergeCell ref="G69:G71"/>
    <mergeCell ref="A67:A68"/>
    <mergeCell ref="C67:C68"/>
    <mergeCell ref="D67:D68"/>
    <mergeCell ref="E67:E68"/>
    <mergeCell ref="F67:F68"/>
    <mergeCell ref="G67:G68"/>
    <mergeCell ref="H44:H47"/>
    <mergeCell ref="F38:F41"/>
    <mergeCell ref="G38:G41"/>
    <mergeCell ref="H38:H41"/>
    <mergeCell ref="Q36:Q37"/>
    <mergeCell ref="R36:R37"/>
    <mergeCell ref="S36:S37"/>
    <mergeCell ref="T36:T37"/>
    <mergeCell ref="U36:U37"/>
    <mergeCell ref="R44:R47"/>
    <mergeCell ref="S44:S47"/>
    <mergeCell ref="T44:T47"/>
    <mergeCell ref="U44:U47"/>
    <mergeCell ref="Q44:Q47"/>
    <mergeCell ref="A38:A41"/>
    <mergeCell ref="B38:B41"/>
    <mergeCell ref="C38:C41"/>
    <mergeCell ref="D38:D41"/>
    <mergeCell ref="E38:E41"/>
    <mergeCell ref="T38:T41"/>
    <mergeCell ref="U38:U41"/>
    <mergeCell ref="Q38:Q41"/>
    <mergeCell ref="R38:R41"/>
    <mergeCell ref="S38:S41"/>
    <mergeCell ref="A36:A37"/>
    <mergeCell ref="B36:B37"/>
    <mergeCell ref="C36:C37"/>
    <mergeCell ref="D36:D37"/>
    <mergeCell ref="E36:E37"/>
    <mergeCell ref="F36:F37"/>
    <mergeCell ref="G36:G37"/>
    <mergeCell ref="H36:H37"/>
    <mergeCell ref="F30:F34"/>
    <mergeCell ref="G30:G34"/>
    <mergeCell ref="H30:H34"/>
    <mergeCell ref="T25:T27"/>
    <mergeCell ref="U25:U27"/>
    <mergeCell ref="A30:A34"/>
    <mergeCell ref="B30:B33"/>
    <mergeCell ref="C30:C34"/>
    <mergeCell ref="D30:D34"/>
    <mergeCell ref="E30:E34"/>
    <mergeCell ref="T30:T34"/>
    <mergeCell ref="U30:U33"/>
    <mergeCell ref="Q30:Q34"/>
    <mergeCell ref="R30:R34"/>
    <mergeCell ref="S30:S34"/>
    <mergeCell ref="A19:A21"/>
    <mergeCell ref="B19:B21"/>
    <mergeCell ref="C19:C21"/>
    <mergeCell ref="D19:D21"/>
    <mergeCell ref="E19:E21"/>
    <mergeCell ref="T19:T21"/>
    <mergeCell ref="U19:U21"/>
    <mergeCell ref="A25:A27"/>
    <mergeCell ref="B25:B27"/>
    <mergeCell ref="C25:C27"/>
    <mergeCell ref="D25:D27"/>
    <mergeCell ref="E25:E27"/>
    <mergeCell ref="F25:F27"/>
    <mergeCell ref="G25:G27"/>
    <mergeCell ref="H25:H27"/>
    <mergeCell ref="F19:F21"/>
    <mergeCell ref="G19:G21"/>
    <mergeCell ref="H19:H21"/>
    <mergeCell ref="Q19:Q21"/>
    <mergeCell ref="R19:R21"/>
    <mergeCell ref="S19:S21"/>
    <mergeCell ref="Q25:Q27"/>
    <mergeCell ref="R25:R27"/>
    <mergeCell ref="S25:S27"/>
    <mergeCell ref="U10:U11"/>
    <mergeCell ref="A14:A15"/>
    <mergeCell ref="B14:B15"/>
    <mergeCell ref="C14:C15"/>
    <mergeCell ref="D14:D15"/>
    <mergeCell ref="E14:E15"/>
    <mergeCell ref="F14:F15"/>
    <mergeCell ref="G14:G15"/>
    <mergeCell ref="H14:H15"/>
    <mergeCell ref="R14:R15"/>
    <mergeCell ref="S14:S15"/>
    <mergeCell ref="T14:T15"/>
    <mergeCell ref="U14:U15"/>
    <mergeCell ref="U7:U8"/>
    <mergeCell ref="A10:A11"/>
    <mergeCell ref="C10:C11"/>
    <mergeCell ref="D10:D11"/>
    <mergeCell ref="E10:E11"/>
    <mergeCell ref="F10:F11"/>
    <mergeCell ref="G10:G11"/>
    <mergeCell ref="H10:H11"/>
    <mergeCell ref="Q10:Q11"/>
    <mergeCell ref="R10:R11"/>
    <mergeCell ref="G7:G8"/>
    <mergeCell ref="H7:H8"/>
    <mergeCell ref="Q7:Q8"/>
    <mergeCell ref="R7:R8"/>
    <mergeCell ref="S7:S8"/>
    <mergeCell ref="T7:T8"/>
    <mergeCell ref="A7:A8"/>
    <mergeCell ref="B7:B8"/>
    <mergeCell ref="C7:C8"/>
    <mergeCell ref="D7:D8"/>
    <mergeCell ref="E7:E8"/>
    <mergeCell ref="F7:F8"/>
    <mergeCell ref="S10:S11"/>
    <mergeCell ref="T10:T11"/>
    <mergeCell ref="H3:H6"/>
    <mergeCell ref="Q3:Q6"/>
    <mergeCell ref="R3:R6"/>
    <mergeCell ref="S3:S6"/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35 F3 F208:F214 F72:F97 F7 F189:F206 F114:F133 F42:F44 F16:F19 F36 F22:F25 F101 F149 F38:F40 F69 F28:F30 F103:F111 F138:F143 F48:F67 F145:F146 F152:F187 F9:F10 F12:F14" xr:uid="{BE050F3F-E60D-41B3-9407-81D5CFB8B7E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EQ129"/>
  <sheetViews>
    <sheetView topLeftCell="B1" zoomScale="80" zoomScaleNormal="130" workbookViewId="0">
      <pane xSplit="16" ySplit="3" topLeftCell="DM9" activePane="bottomRight" state="frozen"/>
      <selection activeCell="B1" sqref="B1"/>
      <selection pane="topRight" activeCell="Q1" sqref="Q1"/>
      <selection pane="bottomLeft" activeCell="B4" sqref="B4"/>
      <selection pane="bottomRight" activeCell="DT12" sqref="DT12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325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7.6328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8" width="7.6328125" style="54" bestFit="1" customWidth="1"/>
    <col min="19" max="19" width="6.72656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41" width="4.54296875" style="56" bestFit="1" customWidth="1"/>
    <col min="142" max="142" width="1.7265625" style="56" hidden="1" customWidth="1"/>
    <col min="143" max="143" width="12.1796875" style="56" hidden="1" customWidth="1"/>
    <col min="144" max="144" width="0.1796875" style="56" customWidth="1"/>
    <col min="145" max="147" width="12.1796875" style="56" hidden="1" customWidth="1"/>
    <col min="148" max="16384" width="12.1796875" style="56"/>
  </cols>
  <sheetData>
    <row r="1" spans="2:147" x14ac:dyDescent="0.4">
      <c r="C1" s="52" t="s">
        <v>10</v>
      </c>
      <c r="D1" s="321">
        <f>'Construction DASHBOARD'!B6</f>
        <v>45853</v>
      </c>
      <c r="E1" s="121"/>
      <c r="F1" s="121"/>
      <c r="G1" s="121"/>
      <c r="H1" s="121"/>
      <c r="I1" s="121"/>
      <c r="U1" s="170"/>
    </row>
    <row r="2" spans="2:147" s="22" customFormat="1" ht="72" customHeight="1" x14ac:dyDescent="0.35">
      <c r="B2" s="493" t="s">
        <v>96</v>
      </c>
      <c r="C2" s="494" t="s">
        <v>97</v>
      </c>
      <c r="D2" s="495" t="s">
        <v>98</v>
      </c>
      <c r="E2" s="490" t="s">
        <v>306</v>
      </c>
      <c r="F2" s="490" t="s">
        <v>307</v>
      </c>
      <c r="G2" s="500" t="s">
        <v>434</v>
      </c>
      <c r="H2" s="490" t="s">
        <v>428</v>
      </c>
      <c r="I2" s="490" t="s">
        <v>429</v>
      </c>
      <c r="J2" s="494" t="s">
        <v>3</v>
      </c>
      <c r="K2" s="488" t="s">
        <v>1</v>
      </c>
      <c r="L2" s="492" t="s">
        <v>100</v>
      </c>
      <c r="M2" s="498" t="s">
        <v>405</v>
      </c>
      <c r="N2" s="490" t="s">
        <v>102</v>
      </c>
      <c r="O2" s="490" t="s">
        <v>103</v>
      </c>
      <c r="P2" s="490" t="s">
        <v>255</v>
      </c>
      <c r="Q2" s="488" t="s">
        <v>104</v>
      </c>
      <c r="R2" s="488" t="s">
        <v>105</v>
      </c>
      <c r="S2" s="489" t="s">
        <v>254</v>
      </c>
      <c r="T2" s="504" t="s">
        <v>410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</row>
    <row r="3" spans="2:147" s="22" customFormat="1" ht="24" customHeight="1" x14ac:dyDescent="0.35">
      <c r="B3" s="493"/>
      <c r="C3" s="494"/>
      <c r="D3" s="495"/>
      <c r="E3" s="490"/>
      <c r="F3" s="490"/>
      <c r="G3" s="501"/>
      <c r="H3" s="490"/>
      <c r="I3" s="490"/>
      <c r="J3" s="494"/>
      <c r="K3" s="488"/>
      <c r="L3" s="492"/>
      <c r="M3" s="499"/>
      <c r="N3" s="490"/>
      <c r="O3" s="490"/>
      <c r="P3" s="490"/>
      <c r="Q3" s="488"/>
      <c r="R3" s="488"/>
      <c r="S3" s="489"/>
      <c r="T3" s="504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K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</row>
    <row r="4" spans="2:147" s="23" customFormat="1" x14ac:dyDescent="0.35">
      <c r="B4" s="491" t="s">
        <v>106</v>
      </c>
      <c r="C4" s="60">
        <v>1</v>
      </c>
      <c r="D4" s="322" t="s">
        <v>406</v>
      </c>
      <c r="E4" s="198">
        <v>45750</v>
      </c>
      <c r="F4" s="198">
        <v>45870</v>
      </c>
      <c r="G4" s="199">
        <f>F4-E4</f>
        <v>120</v>
      </c>
      <c r="H4" s="198">
        <v>45754</v>
      </c>
      <c r="I4" s="198">
        <v>45870</v>
      </c>
      <c r="J4" s="200" t="s">
        <v>5</v>
      </c>
      <c r="K4" s="201">
        <v>1033</v>
      </c>
      <c r="L4" s="202">
        <v>45754</v>
      </c>
      <c r="M4" s="202">
        <v>45796</v>
      </c>
      <c r="N4" s="199">
        <f t="shared" ref="N4:N27" si="3">IF(OR(M4="",L4=""),"",INT(M4-L4+1))</f>
        <v>43</v>
      </c>
      <c r="O4" s="203">
        <f t="shared" ref="O4:O27" si="4">IFERROR(K4/N4,"-")</f>
        <v>24.023255813953487</v>
      </c>
      <c r="P4" s="204">
        <f>Q4/K4</f>
        <v>0.84414327202323325</v>
      </c>
      <c r="Q4" s="205">
        <f>S4</f>
        <v>872</v>
      </c>
      <c r="R4" s="205">
        <f t="shared" ref="R4:R27" si="5">K4-Q4</f>
        <v>161</v>
      </c>
      <c r="S4" s="158">
        <f t="shared" ref="S4:S27" si="6">SUM(U4:XFD4)</f>
        <v>872</v>
      </c>
      <c r="T4" s="158">
        <f t="shared" ref="T4:T9" si="7">SUM(U4:CB4)</f>
        <v>486</v>
      </c>
      <c r="U4" s="149">
        <v>0</v>
      </c>
      <c r="V4" s="149">
        <v>0</v>
      </c>
      <c r="W4" s="149"/>
      <c r="X4" s="149"/>
      <c r="Y4" s="149"/>
      <c r="Z4" s="153">
        <v>1.5</v>
      </c>
      <c r="AA4" s="153">
        <v>3.5</v>
      </c>
      <c r="AB4" s="153">
        <v>4</v>
      </c>
      <c r="AC4" s="153">
        <v>4</v>
      </c>
      <c r="AD4" s="153">
        <v>4</v>
      </c>
      <c r="AE4" s="153">
        <v>4</v>
      </c>
      <c r="AF4" s="153">
        <v>3</v>
      </c>
      <c r="AG4" s="153">
        <v>2</v>
      </c>
      <c r="AH4" s="153"/>
      <c r="AI4" s="153">
        <v>10</v>
      </c>
      <c r="AJ4" s="153">
        <v>20</v>
      </c>
      <c r="AK4" s="153">
        <v>20</v>
      </c>
      <c r="AL4" s="153">
        <v>20</v>
      </c>
      <c r="AM4" s="153">
        <v>21</v>
      </c>
      <c r="AN4" s="153">
        <v>40</v>
      </c>
      <c r="AO4" s="153">
        <v>40</v>
      </c>
      <c r="AP4" s="153">
        <v>40</v>
      </c>
      <c r="AQ4" s="153">
        <v>38</v>
      </c>
      <c r="AR4" s="153"/>
      <c r="AS4" s="153"/>
      <c r="AT4" s="153"/>
      <c r="AU4" s="150"/>
      <c r="AV4" s="150"/>
      <c r="AW4" s="150"/>
      <c r="AX4" s="150"/>
      <c r="AY4" s="150"/>
      <c r="AZ4" s="150"/>
      <c r="BA4" s="150"/>
      <c r="BB4" s="150"/>
      <c r="BC4" s="150">
        <v>5</v>
      </c>
      <c r="BD4" s="150">
        <v>10</v>
      </c>
      <c r="BE4" s="150">
        <v>10</v>
      </c>
      <c r="BF4" s="150">
        <v>10</v>
      </c>
      <c r="BG4" s="150">
        <v>5</v>
      </c>
      <c r="BH4" s="150">
        <v>7</v>
      </c>
      <c r="BI4" s="150">
        <v>5</v>
      </c>
      <c r="BJ4" s="150">
        <v>0</v>
      </c>
      <c r="BK4" s="150">
        <v>0</v>
      </c>
      <c r="BL4" s="150">
        <v>7</v>
      </c>
      <c r="BM4" s="150">
        <v>0</v>
      </c>
      <c r="BN4" s="150">
        <v>17</v>
      </c>
      <c r="BO4" s="168">
        <v>19</v>
      </c>
      <c r="BP4" s="168">
        <v>24</v>
      </c>
      <c r="BQ4" s="168">
        <v>9</v>
      </c>
      <c r="BR4" s="168">
        <v>12</v>
      </c>
      <c r="BS4" s="168">
        <v>0</v>
      </c>
      <c r="BT4" s="168">
        <v>16</v>
      </c>
      <c r="BU4" s="168">
        <v>0</v>
      </c>
      <c r="BV4" s="168">
        <v>0</v>
      </c>
      <c r="BW4" s="168">
        <v>0</v>
      </c>
      <c r="BX4" s="168">
        <v>0</v>
      </c>
      <c r="BY4" s="168">
        <v>6</v>
      </c>
      <c r="BZ4" s="168">
        <v>16</v>
      </c>
      <c r="CA4" s="168">
        <v>15</v>
      </c>
      <c r="CB4" s="168">
        <v>18</v>
      </c>
      <c r="CC4" s="168">
        <v>14</v>
      </c>
      <c r="CD4" s="168">
        <v>16</v>
      </c>
      <c r="CE4" s="168">
        <v>15</v>
      </c>
      <c r="CF4" s="168">
        <v>14</v>
      </c>
      <c r="CG4" s="168">
        <v>18</v>
      </c>
      <c r="CH4" s="168">
        <v>14</v>
      </c>
      <c r="CI4" s="168">
        <v>15</v>
      </c>
      <c r="CJ4" s="168">
        <v>10</v>
      </c>
      <c r="CK4" s="168">
        <v>11</v>
      </c>
      <c r="CL4" s="168">
        <v>16</v>
      </c>
      <c r="CM4" s="168">
        <v>13</v>
      </c>
      <c r="CN4" s="168">
        <v>15</v>
      </c>
      <c r="CO4" s="168">
        <v>17</v>
      </c>
      <c r="CP4" s="168">
        <v>5</v>
      </c>
      <c r="CQ4" s="168">
        <v>14</v>
      </c>
      <c r="CR4" s="168">
        <v>16</v>
      </c>
      <c r="CS4" s="168">
        <v>13</v>
      </c>
      <c r="CT4" s="168">
        <v>13</v>
      </c>
      <c r="CU4" s="168">
        <v>11</v>
      </c>
      <c r="CV4" s="168">
        <v>7</v>
      </c>
      <c r="CW4" s="168">
        <v>5</v>
      </c>
      <c r="CX4" s="168">
        <v>5</v>
      </c>
      <c r="CY4" s="168">
        <v>5</v>
      </c>
      <c r="CZ4" s="168">
        <v>5</v>
      </c>
      <c r="DA4" s="168">
        <v>5</v>
      </c>
      <c r="DB4" s="168">
        <v>7</v>
      </c>
      <c r="DC4" s="168">
        <v>10</v>
      </c>
      <c r="DD4" s="168">
        <v>7</v>
      </c>
      <c r="DE4" s="168">
        <v>6</v>
      </c>
      <c r="DF4" s="168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</row>
    <row r="5" spans="2:147" s="23" customFormat="1" x14ac:dyDescent="0.35">
      <c r="B5" s="491"/>
      <c r="C5" s="60">
        <v>2</v>
      </c>
      <c r="D5" s="322" t="s">
        <v>407</v>
      </c>
      <c r="E5" s="198">
        <v>45750</v>
      </c>
      <c r="F5" s="198">
        <v>45870</v>
      </c>
      <c r="G5" s="199">
        <f>F5-E5</f>
        <v>120</v>
      </c>
      <c r="H5" s="198">
        <v>45754</v>
      </c>
      <c r="I5" s="198">
        <v>45870</v>
      </c>
      <c r="J5" s="200" t="s">
        <v>5</v>
      </c>
      <c r="K5" s="201">
        <v>1033</v>
      </c>
      <c r="L5" s="202">
        <v>45754</v>
      </c>
      <c r="M5" s="202">
        <v>45796</v>
      </c>
      <c r="N5" s="199">
        <f t="shared" si="3"/>
        <v>43</v>
      </c>
      <c r="O5" s="203">
        <f t="shared" si="4"/>
        <v>24.023255813953487</v>
      </c>
      <c r="P5" s="204">
        <f>Q5/K5</f>
        <v>0.84414327202323325</v>
      </c>
      <c r="Q5" s="205">
        <f>S5</f>
        <v>872</v>
      </c>
      <c r="R5" s="205">
        <f t="shared" si="5"/>
        <v>161</v>
      </c>
      <c r="S5" s="158">
        <f t="shared" si="6"/>
        <v>872</v>
      </c>
      <c r="T5" s="158">
        <f t="shared" si="7"/>
        <v>486</v>
      </c>
      <c r="U5" s="149"/>
      <c r="V5" s="149"/>
      <c r="W5" s="149"/>
      <c r="X5" s="149"/>
      <c r="Y5" s="149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>
        <v>10</v>
      </c>
      <c r="AS5" s="153">
        <v>10</v>
      </c>
      <c r="AT5" s="153">
        <v>10</v>
      </c>
      <c r="AU5" s="150">
        <v>10</v>
      </c>
      <c r="AV5" s="150">
        <v>12</v>
      </c>
      <c r="AW5" s="150">
        <v>13</v>
      </c>
      <c r="AX5" s="150">
        <v>10</v>
      </c>
      <c r="AY5" s="150">
        <v>12</v>
      </c>
      <c r="AZ5" s="150">
        <v>11</v>
      </c>
      <c r="BA5" s="150">
        <v>20</v>
      </c>
      <c r="BB5" s="150">
        <v>14</v>
      </c>
      <c r="BC5" s="150">
        <v>16</v>
      </c>
      <c r="BD5" s="150">
        <v>10</v>
      </c>
      <c r="BE5" s="150">
        <v>6</v>
      </c>
      <c r="BF5" s="150">
        <v>10</v>
      </c>
      <c r="BG5" s="150">
        <v>5</v>
      </c>
      <c r="BH5" s="150">
        <v>7</v>
      </c>
      <c r="BI5" s="150">
        <v>5</v>
      </c>
      <c r="BJ5" s="150">
        <v>7</v>
      </c>
      <c r="BK5" s="150">
        <v>7</v>
      </c>
      <c r="BL5" s="150">
        <v>7</v>
      </c>
      <c r="BM5" s="150">
        <v>12</v>
      </c>
      <c r="BN5" s="150">
        <v>17</v>
      </c>
      <c r="BO5" s="168">
        <v>19</v>
      </c>
      <c r="BP5" s="168">
        <v>24</v>
      </c>
      <c r="BQ5" s="168">
        <v>9</v>
      </c>
      <c r="BR5" s="168">
        <v>12</v>
      </c>
      <c r="BS5" s="168">
        <v>18</v>
      </c>
      <c r="BT5" s="168">
        <v>16</v>
      </c>
      <c r="BU5" s="168">
        <v>15</v>
      </c>
      <c r="BV5" s="168">
        <v>23</v>
      </c>
      <c r="BW5" s="168">
        <v>22</v>
      </c>
      <c r="BX5" s="168">
        <v>20</v>
      </c>
      <c r="BY5" s="168">
        <v>18</v>
      </c>
      <c r="BZ5" s="168">
        <v>16</v>
      </c>
      <c r="CA5" s="168">
        <v>15</v>
      </c>
      <c r="CB5" s="168">
        <v>18</v>
      </c>
      <c r="CC5" s="168">
        <v>14</v>
      </c>
      <c r="CD5" s="168">
        <v>16</v>
      </c>
      <c r="CE5" s="168">
        <v>15</v>
      </c>
      <c r="CF5" s="168">
        <v>14</v>
      </c>
      <c r="CG5" s="168">
        <v>18</v>
      </c>
      <c r="CH5" s="168">
        <v>14</v>
      </c>
      <c r="CI5" s="168">
        <v>15</v>
      </c>
      <c r="CJ5" s="168">
        <v>10</v>
      </c>
      <c r="CK5" s="168">
        <v>11</v>
      </c>
      <c r="CL5" s="168">
        <v>16</v>
      </c>
      <c r="CM5" s="168">
        <v>13</v>
      </c>
      <c r="CN5" s="168">
        <v>15</v>
      </c>
      <c r="CO5" s="168">
        <v>17</v>
      </c>
      <c r="CP5" s="168">
        <v>5</v>
      </c>
      <c r="CQ5" s="168">
        <v>14</v>
      </c>
      <c r="CR5" s="168">
        <v>16</v>
      </c>
      <c r="CS5" s="168">
        <v>13</v>
      </c>
      <c r="CT5" s="168">
        <v>13</v>
      </c>
      <c r="CU5" s="168">
        <v>11</v>
      </c>
      <c r="CV5" s="168">
        <v>7</v>
      </c>
      <c r="CW5" s="168">
        <v>5</v>
      </c>
      <c r="CX5" s="168">
        <v>5</v>
      </c>
      <c r="CY5" s="168">
        <v>5</v>
      </c>
      <c r="CZ5" s="168">
        <v>5</v>
      </c>
      <c r="DA5" s="168">
        <v>5</v>
      </c>
      <c r="DB5" s="168">
        <v>7</v>
      </c>
      <c r="DC5" s="168">
        <v>10</v>
      </c>
      <c r="DD5" s="168">
        <v>7</v>
      </c>
      <c r="DE5" s="168">
        <v>6</v>
      </c>
      <c r="DF5" s="168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</row>
    <row r="6" spans="2:147" x14ac:dyDescent="0.4">
      <c r="B6" s="491" t="s">
        <v>19</v>
      </c>
      <c r="C6" s="60">
        <v>3</v>
      </c>
      <c r="D6" s="323" t="s">
        <v>310</v>
      </c>
      <c r="E6" s="198">
        <v>45700</v>
      </c>
      <c r="F6" s="198">
        <v>45709</v>
      </c>
      <c r="G6" s="199">
        <f t="shared" ref="G6:G27" si="8">F6-E6</f>
        <v>9</v>
      </c>
      <c r="H6" s="198">
        <v>45700</v>
      </c>
      <c r="I6" s="198">
        <v>45709</v>
      </c>
      <c r="J6" s="200" t="s">
        <v>256</v>
      </c>
      <c r="K6" s="201">
        <v>1</v>
      </c>
      <c r="L6" s="202">
        <v>45700</v>
      </c>
      <c r="M6" s="202">
        <v>45710</v>
      </c>
      <c r="N6" s="199">
        <f t="shared" si="3"/>
        <v>11</v>
      </c>
      <c r="O6" s="203">
        <f t="shared" si="4"/>
        <v>9.0909090909090912E-2</v>
      </c>
      <c r="P6" s="206">
        <f>IFERROR(SUMIF($U$2:$AT$2,"&lt;="&amp;$D$1,U6:BN6)/K6,"-")</f>
        <v>1</v>
      </c>
      <c r="Q6" s="205">
        <f>SUMIF($U$2:$CC$2,"&lt;="&amp;$D$1,U6:CC6)</f>
        <v>1</v>
      </c>
      <c r="R6" s="205">
        <f t="shared" si="5"/>
        <v>0</v>
      </c>
      <c r="S6" s="158">
        <f t="shared" si="6"/>
        <v>1</v>
      </c>
      <c r="T6" s="158">
        <f t="shared" si="7"/>
        <v>1</v>
      </c>
      <c r="U6" s="157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</row>
    <row r="7" spans="2:147" x14ac:dyDescent="0.4">
      <c r="B7" s="491"/>
      <c r="C7" s="60">
        <v>4</v>
      </c>
      <c r="D7" s="323" t="s">
        <v>108</v>
      </c>
      <c r="E7" s="198">
        <v>45711</v>
      </c>
      <c r="F7" s="198">
        <v>45730</v>
      </c>
      <c r="G7" s="199">
        <f t="shared" si="8"/>
        <v>19</v>
      </c>
      <c r="H7" s="198">
        <v>45711</v>
      </c>
      <c r="I7" s="198">
        <v>45730</v>
      </c>
      <c r="J7" s="200" t="s">
        <v>256</v>
      </c>
      <c r="K7" s="201">
        <v>1</v>
      </c>
      <c r="L7" s="202">
        <v>45703</v>
      </c>
      <c r="M7" s="202">
        <v>45730</v>
      </c>
      <c r="N7" s="199">
        <f t="shared" si="3"/>
        <v>28</v>
      </c>
      <c r="O7" s="203">
        <f t="shared" si="4"/>
        <v>3.5714285714285712E-2</v>
      </c>
      <c r="P7" s="206">
        <f>IFERROR(SUMIF($U$2:$AT$2,"&lt;="&amp;$D$1,U7:BN7)/K7,"-")</f>
        <v>1</v>
      </c>
      <c r="Q7" s="205">
        <f>SUMIF($U$2:$CC$2,"&lt;="&amp;$D$1,U7:CC7)</f>
        <v>1</v>
      </c>
      <c r="R7" s="205">
        <f t="shared" si="5"/>
        <v>0</v>
      </c>
      <c r="S7" s="158">
        <f t="shared" si="6"/>
        <v>1</v>
      </c>
      <c r="T7" s="158">
        <f t="shared" si="7"/>
        <v>1</v>
      </c>
      <c r="U7" s="157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</row>
    <row r="8" spans="2:147" x14ac:dyDescent="0.4">
      <c r="B8" s="491"/>
      <c r="C8" s="60">
        <v>5</v>
      </c>
      <c r="D8" s="323" t="s">
        <v>311</v>
      </c>
      <c r="E8" s="198">
        <v>45703</v>
      </c>
      <c r="F8" s="198">
        <v>45762</v>
      </c>
      <c r="G8" s="199">
        <f t="shared" si="8"/>
        <v>59</v>
      </c>
      <c r="H8" s="198">
        <v>45703</v>
      </c>
      <c r="I8" s="198">
        <v>45776</v>
      </c>
      <c r="J8" s="200" t="s">
        <v>315</v>
      </c>
      <c r="K8" s="201">
        <v>79</v>
      </c>
      <c r="L8" s="202">
        <v>45711</v>
      </c>
      <c r="M8" s="202">
        <v>45778</v>
      </c>
      <c r="N8" s="199">
        <f t="shared" si="3"/>
        <v>68</v>
      </c>
      <c r="O8" s="203">
        <f t="shared" si="4"/>
        <v>1.161764705882353</v>
      </c>
      <c r="P8" s="206">
        <f>Q8/K8</f>
        <v>1</v>
      </c>
      <c r="Q8" s="205">
        <f>SUMIF($U$2:$CC$2,"&lt;="&amp;$D$1,U8:CC8)</f>
        <v>79</v>
      </c>
      <c r="R8" s="205">
        <f t="shared" si="5"/>
        <v>0</v>
      </c>
      <c r="S8" s="158">
        <f t="shared" si="6"/>
        <v>79</v>
      </c>
      <c r="T8" s="158">
        <f t="shared" si="7"/>
        <v>79</v>
      </c>
      <c r="U8" s="157">
        <v>52</v>
      </c>
      <c r="V8" s="157">
        <v>2</v>
      </c>
      <c r="W8" s="157">
        <v>2</v>
      </c>
      <c r="X8" s="157">
        <v>2</v>
      </c>
      <c r="Y8" s="157">
        <v>2</v>
      </c>
      <c r="Z8" s="157">
        <v>2</v>
      </c>
      <c r="AA8" s="157">
        <v>1</v>
      </c>
      <c r="AB8" s="157">
        <v>1</v>
      </c>
      <c r="AC8" s="157">
        <v>1</v>
      </c>
      <c r="AD8" s="157">
        <v>1</v>
      </c>
      <c r="AE8" s="157">
        <v>1</v>
      </c>
      <c r="AF8" s="157">
        <v>1</v>
      </c>
      <c r="AG8" s="157"/>
      <c r="AH8" s="157">
        <v>1</v>
      </c>
      <c r="AI8" s="157">
        <v>1</v>
      </c>
      <c r="AJ8" s="157"/>
      <c r="AK8" s="157"/>
      <c r="AL8" s="157">
        <v>1</v>
      </c>
      <c r="AM8" s="157">
        <v>1</v>
      </c>
      <c r="AN8" s="157">
        <v>1</v>
      </c>
      <c r="AO8" s="157">
        <v>1</v>
      </c>
      <c r="AP8" s="157">
        <v>1</v>
      </c>
      <c r="AQ8" s="157"/>
      <c r="AR8" s="155"/>
      <c r="AS8" s="157">
        <v>1</v>
      </c>
      <c r="AT8" s="157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</row>
    <row r="9" spans="2:147" x14ac:dyDescent="0.4">
      <c r="B9" s="491"/>
      <c r="C9" s="60">
        <v>6</v>
      </c>
      <c r="D9" s="323" t="s">
        <v>312</v>
      </c>
      <c r="E9" s="198">
        <v>45749</v>
      </c>
      <c r="F9" s="198">
        <v>45760</v>
      </c>
      <c r="G9" s="199">
        <f t="shared" si="8"/>
        <v>11</v>
      </c>
      <c r="H9" s="198">
        <v>45753</v>
      </c>
      <c r="I9" s="198">
        <v>45757</v>
      </c>
      <c r="J9" s="200" t="s">
        <v>256</v>
      </c>
      <c r="K9" s="201">
        <v>36</v>
      </c>
      <c r="L9" s="202">
        <v>45753</v>
      </c>
      <c r="M9" s="202">
        <v>45757</v>
      </c>
      <c r="N9" s="199">
        <f t="shared" si="3"/>
        <v>5</v>
      </c>
      <c r="O9" s="203">
        <f t="shared" si="4"/>
        <v>7.2</v>
      </c>
      <c r="P9" s="206">
        <f>IFERROR(SUMIF($U$2:$AT$2,"&lt;="&amp;$D$1,U9:BN9)/K9,"-")</f>
        <v>1</v>
      </c>
      <c r="Q9" s="205">
        <f>SUMIF($U$2:$CC$2,"&lt;="&amp;$D$1,U9:CC9)</f>
        <v>36</v>
      </c>
      <c r="R9" s="205">
        <f t="shared" si="5"/>
        <v>0</v>
      </c>
      <c r="S9" s="158">
        <f t="shared" si="6"/>
        <v>36</v>
      </c>
      <c r="T9" s="158">
        <f t="shared" si="7"/>
        <v>36</v>
      </c>
      <c r="U9" s="66">
        <v>0</v>
      </c>
      <c r="V9" s="66">
        <v>0</v>
      </c>
      <c r="W9" s="66"/>
      <c r="X9" s="66"/>
      <c r="Y9" s="156">
        <v>4</v>
      </c>
      <c r="Z9" s="156">
        <v>8</v>
      </c>
      <c r="AA9" s="156">
        <v>8</v>
      </c>
      <c r="AB9" s="156">
        <v>10</v>
      </c>
      <c r="AC9" s="156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</row>
    <row r="10" spans="2:147" x14ac:dyDescent="0.4">
      <c r="B10" s="491"/>
      <c r="C10" s="60">
        <v>7</v>
      </c>
      <c r="D10" s="323" t="s">
        <v>313</v>
      </c>
      <c r="E10" s="198">
        <v>45759</v>
      </c>
      <c r="F10" s="198">
        <v>45773</v>
      </c>
      <c r="G10" s="199">
        <f t="shared" si="8"/>
        <v>14</v>
      </c>
      <c r="H10" s="198">
        <v>45806</v>
      </c>
      <c r="I10" s="198">
        <v>45811</v>
      </c>
      <c r="J10" s="200" t="s">
        <v>256</v>
      </c>
      <c r="K10" s="201">
        <v>240</v>
      </c>
      <c r="L10" s="202"/>
      <c r="M10" s="202"/>
      <c r="N10" s="199" t="str">
        <f t="shared" si="3"/>
        <v/>
      </c>
      <c r="O10" s="203" t="str">
        <f t="shared" si="4"/>
        <v>-</v>
      </c>
      <c r="P10" s="206">
        <f>Q10/K10</f>
        <v>1</v>
      </c>
      <c r="Q10" s="205">
        <f>S10</f>
        <v>240</v>
      </c>
      <c r="R10" s="205">
        <f t="shared" si="5"/>
        <v>0</v>
      </c>
      <c r="S10" s="158">
        <f t="shared" si="6"/>
        <v>240</v>
      </c>
      <c r="T10" s="158">
        <f t="shared" ref="T10:T54" si="9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>
        <v>34</v>
      </c>
      <c r="CA10" s="169">
        <v>38</v>
      </c>
      <c r="CB10" s="169">
        <v>36</v>
      </c>
      <c r="CC10" s="169">
        <v>40</v>
      </c>
      <c r="CD10" s="169"/>
      <c r="CE10" s="169"/>
      <c r="CF10" s="169"/>
      <c r="CG10" s="169">
        <v>40</v>
      </c>
      <c r="CH10" s="169">
        <v>32</v>
      </c>
      <c r="CI10" s="169">
        <v>20</v>
      </c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</row>
    <row r="11" spans="2:147" x14ac:dyDescent="0.4">
      <c r="B11" s="491"/>
      <c r="C11" s="60">
        <v>8</v>
      </c>
      <c r="D11" s="323" t="s">
        <v>844</v>
      </c>
      <c r="E11" s="198">
        <f>F10+28</f>
        <v>45801</v>
      </c>
      <c r="F11" s="198">
        <f>E11+G11-1</f>
        <v>45807</v>
      </c>
      <c r="G11" s="199">
        <v>7</v>
      </c>
      <c r="H11" s="198">
        <v>45824</v>
      </c>
      <c r="I11" s="198">
        <f>H11+60</f>
        <v>45884</v>
      </c>
      <c r="J11" s="200" t="s">
        <v>256</v>
      </c>
      <c r="K11" s="201">
        <v>240</v>
      </c>
      <c r="L11" s="202"/>
      <c r="M11" s="202"/>
      <c r="N11" s="199" t="str">
        <f t="shared" si="3"/>
        <v/>
      </c>
      <c r="O11" s="203" t="str">
        <f t="shared" si="4"/>
        <v>-</v>
      </c>
      <c r="P11" s="206">
        <f>Q11/K11</f>
        <v>0.26250000000000001</v>
      </c>
      <c r="Q11" s="205">
        <f>S11</f>
        <v>63</v>
      </c>
      <c r="R11" s="205">
        <f t="shared" si="5"/>
        <v>177</v>
      </c>
      <c r="S11" s="158">
        <f t="shared" si="6"/>
        <v>63</v>
      </c>
      <c r="T11" s="158">
        <f t="shared" si="9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>
        <v>3</v>
      </c>
      <c r="CW11" s="169">
        <v>4</v>
      </c>
      <c r="CX11" s="169">
        <v>4</v>
      </c>
      <c r="CY11" s="169">
        <v>4</v>
      </c>
      <c r="CZ11" s="169">
        <v>0</v>
      </c>
      <c r="DA11" s="169">
        <v>6</v>
      </c>
      <c r="DB11" s="169">
        <v>2</v>
      </c>
      <c r="DC11" s="169">
        <v>2</v>
      </c>
      <c r="DD11" s="169">
        <v>0</v>
      </c>
      <c r="DE11" s="169">
        <v>7</v>
      </c>
      <c r="DF11" s="169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</row>
    <row r="12" spans="2:147" x14ac:dyDescent="0.4">
      <c r="B12" s="491" t="s">
        <v>109</v>
      </c>
      <c r="C12" s="60">
        <v>9</v>
      </c>
      <c r="D12" s="323" t="s">
        <v>110</v>
      </c>
      <c r="E12" s="207">
        <v>45824</v>
      </c>
      <c r="F12" s="207">
        <v>45971</v>
      </c>
      <c r="G12" s="199">
        <f t="shared" si="8"/>
        <v>147</v>
      </c>
      <c r="H12" s="207">
        <v>45838</v>
      </c>
      <c r="I12" s="207">
        <v>45971</v>
      </c>
      <c r="J12" s="200" t="s">
        <v>433</v>
      </c>
      <c r="K12" s="201">
        <v>13322</v>
      </c>
      <c r="L12" s="202"/>
      <c r="M12" s="202"/>
      <c r="N12" s="199" t="str">
        <f t="shared" si="3"/>
        <v/>
      </c>
      <c r="O12" s="203" t="str">
        <f t="shared" si="4"/>
        <v>-</v>
      </c>
      <c r="P12" s="206">
        <f>Q12/K12</f>
        <v>0</v>
      </c>
      <c r="Q12" s="205">
        <f>SUMIF($U$2:$AT$2,"&lt;="&amp;$D$1,U12:AT12)</f>
        <v>0</v>
      </c>
      <c r="R12" s="205">
        <f t="shared" si="5"/>
        <v>13322</v>
      </c>
      <c r="S12" s="65">
        <f>SUM(U12:XFD12)</f>
        <v>77</v>
      </c>
      <c r="T12" s="158">
        <f t="shared" si="9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S12" s="56">
        <v>30</v>
      </c>
      <c r="DT12" s="56">
        <v>47</v>
      </c>
    </row>
    <row r="13" spans="2:147" x14ac:dyDescent="0.4">
      <c r="B13" s="491"/>
      <c r="C13" s="60">
        <v>10</v>
      </c>
      <c r="D13" s="323" t="s">
        <v>111</v>
      </c>
      <c r="E13" s="207">
        <v>45848</v>
      </c>
      <c r="F13" s="207">
        <v>45976</v>
      </c>
      <c r="G13" s="199">
        <f t="shared" si="8"/>
        <v>128</v>
      </c>
      <c r="H13" s="207">
        <f>E13</f>
        <v>45848</v>
      </c>
      <c r="I13" s="207">
        <f>F13</f>
        <v>45976</v>
      </c>
      <c r="J13" s="200" t="s">
        <v>433</v>
      </c>
      <c r="K13" s="201">
        <v>13322</v>
      </c>
      <c r="L13" s="202"/>
      <c r="M13" s="202"/>
      <c r="N13" s="199" t="str">
        <f t="shared" si="3"/>
        <v/>
      </c>
      <c r="O13" s="203" t="str">
        <f t="shared" si="4"/>
        <v>-</v>
      </c>
      <c r="P13" s="206">
        <f t="shared" ref="P12:P27" si="10">IFERROR(SUMIF($U$2:$AT$2,"&lt;="&amp;$D$1,U13:BN13)/K13,"-")</f>
        <v>0</v>
      </c>
      <c r="Q13" s="205">
        <f>SUMIF($U$2:$AT$2,"&lt;="&amp;$D$1,U13:BN13)</f>
        <v>0</v>
      </c>
      <c r="R13" s="205">
        <f t="shared" si="5"/>
        <v>13322</v>
      </c>
      <c r="S13" s="65">
        <f t="shared" si="6"/>
        <v>0</v>
      </c>
      <c r="T13" s="158">
        <f t="shared" si="9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</row>
    <row r="14" spans="2:147" x14ac:dyDescent="0.4">
      <c r="B14" s="491"/>
      <c r="C14" s="60">
        <v>11</v>
      </c>
      <c r="D14" s="323" t="s">
        <v>112</v>
      </c>
      <c r="E14" s="207">
        <v>45858</v>
      </c>
      <c r="F14" s="207">
        <v>45986</v>
      </c>
      <c r="G14" s="199">
        <f t="shared" si="8"/>
        <v>128</v>
      </c>
      <c r="H14" s="207">
        <f t="shared" ref="H14:I20" si="11">E14</f>
        <v>45858</v>
      </c>
      <c r="I14" s="207">
        <f t="shared" ref="I14:I15" si="12">F14</f>
        <v>45986</v>
      </c>
      <c r="J14" s="200" t="s">
        <v>433</v>
      </c>
      <c r="K14" s="201">
        <v>13322</v>
      </c>
      <c r="L14" s="202"/>
      <c r="M14" s="202"/>
      <c r="N14" s="199" t="str">
        <f t="shared" si="3"/>
        <v/>
      </c>
      <c r="O14" s="203" t="str">
        <f t="shared" si="4"/>
        <v>-</v>
      </c>
      <c r="P14" s="206">
        <f t="shared" si="10"/>
        <v>0</v>
      </c>
      <c r="Q14" s="205">
        <f>SUMIF($U$2:$AT$2,"&lt;="&amp;$D$1,U14:BN14)</f>
        <v>0</v>
      </c>
      <c r="R14" s="205">
        <f t="shared" si="5"/>
        <v>13322</v>
      </c>
      <c r="S14" s="65">
        <f t="shared" si="6"/>
        <v>0</v>
      </c>
      <c r="T14" s="158">
        <f t="shared" si="9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</row>
    <row r="15" spans="2:147" x14ac:dyDescent="0.4">
      <c r="B15" s="491"/>
      <c r="C15" s="60">
        <v>12</v>
      </c>
      <c r="D15" s="323" t="s">
        <v>113</v>
      </c>
      <c r="E15" s="207">
        <v>45863</v>
      </c>
      <c r="F15" s="207">
        <v>45995</v>
      </c>
      <c r="G15" s="199">
        <f t="shared" si="8"/>
        <v>132</v>
      </c>
      <c r="H15" s="207">
        <f t="shared" si="11"/>
        <v>45863</v>
      </c>
      <c r="I15" s="207">
        <f t="shared" si="12"/>
        <v>45995</v>
      </c>
      <c r="J15" s="200" t="s">
        <v>433</v>
      </c>
      <c r="K15" s="201">
        <v>13322</v>
      </c>
      <c r="L15" s="202"/>
      <c r="M15" s="202"/>
      <c r="N15" s="199" t="str">
        <f t="shared" si="3"/>
        <v/>
      </c>
      <c r="O15" s="203" t="str">
        <f t="shared" si="4"/>
        <v>-</v>
      </c>
      <c r="P15" s="206">
        <f t="shared" si="10"/>
        <v>0</v>
      </c>
      <c r="Q15" s="205">
        <f t="shared" ref="Q15:Q27" si="13">SUMIF($U$2:$AT$2,"&lt;="&amp;$D$1,U15:AT15)</f>
        <v>0</v>
      </c>
      <c r="R15" s="205">
        <f t="shared" si="5"/>
        <v>13322</v>
      </c>
      <c r="S15" s="65">
        <f t="shared" si="6"/>
        <v>0</v>
      </c>
      <c r="T15" s="158">
        <f t="shared" si="9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</row>
    <row r="16" spans="2:147" x14ac:dyDescent="0.4">
      <c r="B16" s="491" t="s">
        <v>114</v>
      </c>
      <c r="C16" s="60">
        <v>13</v>
      </c>
      <c r="D16" s="323" t="s">
        <v>120</v>
      </c>
      <c r="E16" s="207">
        <v>45821</v>
      </c>
      <c r="F16" s="207">
        <v>45923</v>
      </c>
      <c r="G16" s="199">
        <f t="shared" si="8"/>
        <v>102</v>
      </c>
      <c r="H16" s="207">
        <f t="shared" si="11"/>
        <v>45821</v>
      </c>
      <c r="I16" s="207">
        <f t="shared" si="11"/>
        <v>45923</v>
      </c>
      <c r="J16" s="200" t="s">
        <v>2</v>
      </c>
      <c r="K16" s="201">
        <v>26</v>
      </c>
      <c r="L16" s="202"/>
      <c r="M16" s="202"/>
      <c r="N16" s="199" t="str">
        <f t="shared" si="3"/>
        <v/>
      </c>
      <c r="O16" s="203" t="str">
        <f t="shared" si="4"/>
        <v>-</v>
      </c>
      <c r="P16" s="206">
        <f t="shared" si="10"/>
        <v>0</v>
      </c>
      <c r="Q16" s="205">
        <f t="shared" si="13"/>
        <v>0</v>
      </c>
      <c r="R16" s="205">
        <f t="shared" si="5"/>
        <v>26</v>
      </c>
      <c r="S16" s="65">
        <f t="shared" si="6"/>
        <v>0</v>
      </c>
      <c r="T16" s="158">
        <f t="shared" si="9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</row>
    <row r="17" spans="2:110" x14ac:dyDescent="0.4">
      <c r="B17" s="491"/>
      <c r="C17" s="60">
        <v>14</v>
      </c>
      <c r="D17" s="323" t="s">
        <v>121</v>
      </c>
      <c r="E17" s="207">
        <v>45840</v>
      </c>
      <c r="F17" s="207">
        <f>F16+6</f>
        <v>45929</v>
      </c>
      <c r="G17" s="199">
        <f t="shared" si="8"/>
        <v>89</v>
      </c>
      <c r="H17" s="207">
        <f t="shared" si="11"/>
        <v>45840</v>
      </c>
      <c r="I17" s="207">
        <f t="shared" si="11"/>
        <v>45929</v>
      </c>
      <c r="J17" s="200" t="s">
        <v>2</v>
      </c>
      <c r="K17" s="201">
        <v>26</v>
      </c>
      <c r="L17" s="202"/>
      <c r="M17" s="202"/>
      <c r="N17" s="199" t="str">
        <f t="shared" si="3"/>
        <v/>
      </c>
      <c r="O17" s="203" t="str">
        <f t="shared" si="4"/>
        <v>-</v>
      </c>
      <c r="P17" s="206">
        <f t="shared" si="10"/>
        <v>0</v>
      </c>
      <c r="Q17" s="208">
        <f t="shared" si="13"/>
        <v>0</v>
      </c>
      <c r="R17" s="205">
        <f t="shared" si="5"/>
        <v>26</v>
      </c>
      <c r="S17" s="65">
        <f t="shared" si="6"/>
        <v>0</v>
      </c>
      <c r="T17" s="158">
        <f t="shared" si="9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</row>
    <row r="18" spans="2:110" x14ac:dyDescent="0.4">
      <c r="B18" s="491"/>
      <c r="C18" s="60">
        <v>15</v>
      </c>
      <c r="D18" s="323" t="s">
        <v>122</v>
      </c>
      <c r="E18" s="207">
        <f>E17+7</f>
        <v>45847</v>
      </c>
      <c r="F18" s="207">
        <f>F17+7</f>
        <v>45936</v>
      </c>
      <c r="G18" s="199">
        <f t="shared" si="8"/>
        <v>89</v>
      </c>
      <c r="H18" s="207">
        <f t="shared" si="11"/>
        <v>45847</v>
      </c>
      <c r="I18" s="207">
        <f t="shared" si="11"/>
        <v>45936</v>
      </c>
      <c r="J18" s="200" t="s">
        <v>2</v>
      </c>
      <c r="K18" s="201">
        <v>26</v>
      </c>
      <c r="L18" s="202"/>
      <c r="M18" s="202"/>
      <c r="N18" s="199" t="str">
        <f t="shared" si="3"/>
        <v/>
      </c>
      <c r="O18" s="203" t="str">
        <f t="shared" si="4"/>
        <v>-</v>
      </c>
      <c r="P18" s="206">
        <f t="shared" si="10"/>
        <v>0</v>
      </c>
      <c r="Q18" s="208">
        <f t="shared" si="13"/>
        <v>0</v>
      </c>
      <c r="R18" s="205">
        <f t="shared" si="5"/>
        <v>26</v>
      </c>
      <c r="S18" s="65">
        <f t="shared" si="6"/>
        <v>0</v>
      </c>
      <c r="T18" s="158">
        <f t="shared" si="9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</row>
    <row r="19" spans="2:110" x14ac:dyDescent="0.4">
      <c r="B19" s="491"/>
      <c r="C19" s="60">
        <v>16</v>
      </c>
      <c r="D19" s="323" t="s">
        <v>123</v>
      </c>
      <c r="E19" s="207">
        <f>E18+15</f>
        <v>45862</v>
      </c>
      <c r="F19" s="207">
        <f>F18+15</f>
        <v>45951</v>
      </c>
      <c r="G19" s="199">
        <f t="shared" si="8"/>
        <v>89</v>
      </c>
      <c r="H19" s="207">
        <f t="shared" si="11"/>
        <v>45862</v>
      </c>
      <c r="I19" s="207">
        <f t="shared" si="11"/>
        <v>45951</v>
      </c>
      <c r="J19" s="200" t="s">
        <v>2</v>
      </c>
      <c r="K19" s="201">
        <v>26</v>
      </c>
      <c r="L19" s="202"/>
      <c r="M19" s="202"/>
      <c r="N19" s="199" t="str">
        <f t="shared" si="3"/>
        <v/>
      </c>
      <c r="O19" s="203" t="str">
        <f t="shared" si="4"/>
        <v>-</v>
      </c>
      <c r="P19" s="206">
        <f t="shared" si="10"/>
        <v>0</v>
      </c>
      <c r="Q19" s="208">
        <f t="shared" si="13"/>
        <v>0</v>
      </c>
      <c r="R19" s="205">
        <f t="shared" si="5"/>
        <v>26</v>
      </c>
      <c r="S19" s="65">
        <f t="shared" si="6"/>
        <v>0</v>
      </c>
      <c r="T19" s="158">
        <f t="shared" si="9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</row>
    <row r="20" spans="2:110" x14ac:dyDescent="0.4">
      <c r="B20" s="491"/>
      <c r="C20" s="60">
        <v>17</v>
      </c>
      <c r="D20" s="323" t="s">
        <v>124</v>
      </c>
      <c r="E20" s="207">
        <f>E19+21</f>
        <v>45883</v>
      </c>
      <c r="F20" s="207">
        <f>F19+21</f>
        <v>45972</v>
      </c>
      <c r="G20" s="199">
        <f t="shared" si="8"/>
        <v>89</v>
      </c>
      <c r="H20" s="207">
        <f t="shared" si="11"/>
        <v>45883</v>
      </c>
      <c r="I20" s="207">
        <f t="shared" si="11"/>
        <v>45972</v>
      </c>
      <c r="J20" s="200" t="s">
        <v>2</v>
      </c>
      <c r="K20" s="201">
        <v>26</v>
      </c>
      <c r="L20" s="202"/>
      <c r="M20" s="202"/>
      <c r="N20" s="199" t="str">
        <f t="shared" si="3"/>
        <v/>
      </c>
      <c r="O20" s="203" t="str">
        <f t="shared" si="4"/>
        <v>-</v>
      </c>
      <c r="P20" s="206">
        <f t="shared" si="10"/>
        <v>0</v>
      </c>
      <c r="Q20" s="208">
        <f t="shared" si="13"/>
        <v>0</v>
      </c>
      <c r="R20" s="205">
        <f t="shared" si="5"/>
        <v>26</v>
      </c>
      <c r="S20" s="65">
        <f t="shared" si="6"/>
        <v>0</v>
      </c>
      <c r="T20" s="158">
        <f t="shared" si="9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</row>
    <row r="21" spans="2:110" x14ac:dyDescent="0.4">
      <c r="B21" s="491"/>
      <c r="C21" s="60">
        <v>18</v>
      </c>
      <c r="D21" s="323" t="s">
        <v>126</v>
      </c>
      <c r="E21" s="207">
        <v>45838</v>
      </c>
      <c r="F21" s="207">
        <v>45925</v>
      </c>
      <c r="G21" s="199">
        <f t="shared" si="8"/>
        <v>87</v>
      </c>
      <c r="H21" s="207">
        <f t="shared" ref="H21:H27" si="14">E21</f>
        <v>45838</v>
      </c>
      <c r="I21" s="207">
        <f t="shared" ref="I21:I27" si="15">F21</f>
        <v>45925</v>
      </c>
      <c r="J21" s="200" t="s">
        <v>2</v>
      </c>
      <c r="K21" s="201">
        <v>26</v>
      </c>
      <c r="L21" s="202"/>
      <c r="M21" s="202"/>
      <c r="N21" s="199" t="str">
        <f t="shared" si="3"/>
        <v/>
      </c>
      <c r="O21" s="203" t="str">
        <f t="shared" si="4"/>
        <v>-</v>
      </c>
      <c r="P21" s="206">
        <f t="shared" si="10"/>
        <v>0</v>
      </c>
      <c r="Q21" s="208">
        <f t="shared" si="13"/>
        <v>0</v>
      </c>
      <c r="R21" s="205">
        <f t="shared" si="5"/>
        <v>26</v>
      </c>
      <c r="S21" s="65">
        <f t="shared" si="6"/>
        <v>0</v>
      </c>
      <c r="T21" s="158">
        <f t="shared" si="9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69"/>
      <c r="CN21" s="169"/>
      <c r="CO21" s="169"/>
      <c r="CP21" s="169"/>
      <c r="CQ21" s="169"/>
      <c r="CR21" s="169"/>
      <c r="CS21" s="169"/>
      <c r="CT21" s="169"/>
      <c r="CU21" s="169"/>
      <c r="CV21" s="169"/>
      <c r="CW21" s="169"/>
      <c r="CX21" s="169"/>
      <c r="CY21" s="169"/>
      <c r="CZ21" s="169"/>
      <c r="DA21" s="169"/>
      <c r="DB21" s="169"/>
      <c r="DC21" s="169"/>
      <c r="DD21" s="169"/>
      <c r="DE21" s="169"/>
      <c r="DF21" s="169"/>
    </row>
    <row r="22" spans="2:110" x14ac:dyDescent="0.4">
      <c r="B22" s="491"/>
      <c r="C22" s="60">
        <v>19</v>
      </c>
      <c r="D22" s="323" t="s">
        <v>127</v>
      </c>
      <c r="E22" s="207">
        <f>E21+2</f>
        <v>45840</v>
      </c>
      <c r="F22" s="207">
        <f>F21+2</f>
        <v>45927</v>
      </c>
      <c r="G22" s="199">
        <f t="shared" si="8"/>
        <v>87</v>
      </c>
      <c r="H22" s="207">
        <f t="shared" si="14"/>
        <v>45840</v>
      </c>
      <c r="I22" s="207">
        <f t="shared" si="15"/>
        <v>45927</v>
      </c>
      <c r="J22" s="200" t="s">
        <v>2</v>
      </c>
      <c r="K22" s="201">
        <v>26</v>
      </c>
      <c r="L22" s="202"/>
      <c r="M22" s="202"/>
      <c r="N22" s="199" t="str">
        <f t="shared" si="3"/>
        <v/>
      </c>
      <c r="O22" s="203" t="str">
        <f t="shared" si="4"/>
        <v>-</v>
      </c>
      <c r="P22" s="206">
        <f t="shared" si="10"/>
        <v>0</v>
      </c>
      <c r="Q22" s="208">
        <f t="shared" si="13"/>
        <v>0</v>
      </c>
      <c r="R22" s="205">
        <f t="shared" si="5"/>
        <v>26</v>
      </c>
      <c r="S22" s="65">
        <f t="shared" si="6"/>
        <v>0</v>
      </c>
      <c r="T22" s="158">
        <f t="shared" si="9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</row>
    <row r="23" spans="2:110" x14ac:dyDescent="0.4">
      <c r="B23" s="491"/>
      <c r="C23" s="60">
        <v>20</v>
      </c>
      <c r="D23" s="323" t="s">
        <v>128</v>
      </c>
      <c r="E23" s="207">
        <f t="shared" ref="E23:F25" si="16">E22+7</f>
        <v>45847</v>
      </c>
      <c r="F23" s="207">
        <f t="shared" si="16"/>
        <v>45934</v>
      </c>
      <c r="G23" s="199">
        <f t="shared" si="8"/>
        <v>87</v>
      </c>
      <c r="H23" s="207">
        <f t="shared" si="14"/>
        <v>45847</v>
      </c>
      <c r="I23" s="207">
        <f t="shared" si="15"/>
        <v>45934</v>
      </c>
      <c r="J23" s="200" t="s">
        <v>2</v>
      </c>
      <c r="K23" s="201">
        <v>26</v>
      </c>
      <c r="L23" s="202"/>
      <c r="M23" s="202"/>
      <c r="N23" s="199" t="str">
        <f t="shared" si="3"/>
        <v/>
      </c>
      <c r="O23" s="203" t="str">
        <f t="shared" si="4"/>
        <v>-</v>
      </c>
      <c r="P23" s="206">
        <f t="shared" si="10"/>
        <v>0</v>
      </c>
      <c r="Q23" s="208">
        <f t="shared" si="13"/>
        <v>0</v>
      </c>
      <c r="R23" s="205">
        <f t="shared" si="5"/>
        <v>26</v>
      </c>
      <c r="S23" s="65">
        <f t="shared" si="6"/>
        <v>0</v>
      </c>
      <c r="T23" s="158">
        <f t="shared" si="9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</row>
    <row r="24" spans="2:110" x14ac:dyDescent="0.4">
      <c r="B24" s="491"/>
      <c r="C24" s="60">
        <v>21</v>
      </c>
      <c r="D24" s="323" t="s">
        <v>129</v>
      </c>
      <c r="E24" s="207">
        <f t="shared" si="16"/>
        <v>45854</v>
      </c>
      <c r="F24" s="207">
        <f t="shared" si="16"/>
        <v>45941</v>
      </c>
      <c r="G24" s="199">
        <f t="shared" si="8"/>
        <v>87</v>
      </c>
      <c r="H24" s="207">
        <f t="shared" si="14"/>
        <v>45854</v>
      </c>
      <c r="I24" s="207">
        <f t="shared" si="15"/>
        <v>45941</v>
      </c>
      <c r="J24" s="200" t="s">
        <v>2</v>
      </c>
      <c r="K24" s="201">
        <v>26</v>
      </c>
      <c r="L24" s="202"/>
      <c r="M24" s="202"/>
      <c r="N24" s="199" t="str">
        <f t="shared" si="3"/>
        <v/>
      </c>
      <c r="O24" s="203" t="str">
        <f t="shared" si="4"/>
        <v>-</v>
      </c>
      <c r="P24" s="206">
        <f t="shared" si="10"/>
        <v>0</v>
      </c>
      <c r="Q24" s="208">
        <f t="shared" si="13"/>
        <v>0</v>
      </c>
      <c r="R24" s="205">
        <f t="shared" si="5"/>
        <v>26</v>
      </c>
      <c r="S24" s="65">
        <f t="shared" si="6"/>
        <v>0</v>
      </c>
      <c r="T24" s="158">
        <f t="shared" si="9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</row>
    <row r="25" spans="2:110" x14ac:dyDescent="0.4">
      <c r="B25" s="491"/>
      <c r="C25" s="60">
        <v>22</v>
      </c>
      <c r="D25" s="323" t="s">
        <v>130</v>
      </c>
      <c r="E25" s="207">
        <f t="shared" si="16"/>
        <v>45861</v>
      </c>
      <c r="F25" s="207">
        <f t="shared" si="16"/>
        <v>45948</v>
      </c>
      <c r="G25" s="199">
        <f t="shared" si="8"/>
        <v>87</v>
      </c>
      <c r="H25" s="207">
        <f t="shared" si="14"/>
        <v>45861</v>
      </c>
      <c r="I25" s="207">
        <f t="shared" si="15"/>
        <v>45948</v>
      </c>
      <c r="J25" s="200" t="s">
        <v>2</v>
      </c>
      <c r="K25" s="201">
        <v>26</v>
      </c>
      <c r="L25" s="202"/>
      <c r="M25" s="202"/>
      <c r="N25" s="199" t="str">
        <f t="shared" si="3"/>
        <v/>
      </c>
      <c r="O25" s="203" t="str">
        <f t="shared" si="4"/>
        <v>-</v>
      </c>
      <c r="P25" s="206">
        <f t="shared" si="10"/>
        <v>0</v>
      </c>
      <c r="Q25" s="208">
        <f t="shared" si="13"/>
        <v>0</v>
      </c>
      <c r="R25" s="205">
        <f t="shared" si="5"/>
        <v>26</v>
      </c>
      <c r="S25" s="65">
        <f t="shared" si="6"/>
        <v>0</v>
      </c>
      <c r="T25" s="158">
        <f t="shared" si="9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</row>
    <row r="26" spans="2:110" x14ac:dyDescent="0.4">
      <c r="B26" s="491"/>
      <c r="C26" s="60">
        <v>23</v>
      </c>
      <c r="D26" s="328" t="s">
        <v>131</v>
      </c>
      <c r="E26" s="207">
        <f>E25+15</f>
        <v>45876</v>
      </c>
      <c r="F26" s="207">
        <f>F25+15</f>
        <v>45963</v>
      </c>
      <c r="G26" s="199">
        <f t="shared" si="8"/>
        <v>87</v>
      </c>
      <c r="H26" s="207">
        <f t="shared" si="14"/>
        <v>45876</v>
      </c>
      <c r="I26" s="207">
        <f>F26</f>
        <v>45963</v>
      </c>
      <c r="J26" s="200" t="s">
        <v>2</v>
      </c>
      <c r="K26" s="201">
        <v>26</v>
      </c>
      <c r="L26" s="202"/>
      <c r="M26" s="202"/>
      <c r="N26" s="199" t="str">
        <f t="shared" si="3"/>
        <v/>
      </c>
      <c r="O26" s="203" t="str">
        <f t="shared" si="4"/>
        <v>-</v>
      </c>
      <c r="P26" s="206">
        <f t="shared" si="10"/>
        <v>0</v>
      </c>
      <c r="Q26" s="208">
        <f t="shared" si="13"/>
        <v>0</v>
      </c>
      <c r="R26" s="205">
        <f t="shared" si="5"/>
        <v>26</v>
      </c>
      <c r="S26" s="65">
        <f t="shared" si="6"/>
        <v>0</v>
      </c>
      <c r="T26" s="158">
        <f t="shared" si="9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</row>
    <row r="27" spans="2:110" x14ac:dyDescent="0.4">
      <c r="B27" s="491"/>
      <c r="C27" s="326">
        <v>24</v>
      </c>
      <c r="D27" s="330" t="s">
        <v>132</v>
      </c>
      <c r="E27" s="327">
        <f>F27-30</f>
        <v>45942</v>
      </c>
      <c r="F27" s="207">
        <v>45972</v>
      </c>
      <c r="G27" s="199">
        <f t="shared" si="8"/>
        <v>30</v>
      </c>
      <c r="H27" s="207">
        <f t="shared" si="14"/>
        <v>45942</v>
      </c>
      <c r="I27" s="207">
        <f t="shared" si="15"/>
        <v>45972</v>
      </c>
      <c r="J27" s="200" t="s">
        <v>2</v>
      </c>
      <c r="K27" s="201">
        <v>26</v>
      </c>
      <c r="L27" s="202"/>
      <c r="M27" s="202"/>
      <c r="N27" s="199" t="str">
        <f t="shared" si="3"/>
        <v/>
      </c>
      <c r="O27" s="203" t="str">
        <f t="shared" si="4"/>
        <v>-</v>
      </c>
      <c r="P27" s="206">
        <f t="shared" si="10"/>
        <v>0</v>
      </c>
      <c r="Q27" s="208">
        <f t="shared" si="13"/>
        <v>0</v>
      </c>
      <c r="R27" s="205">
        <f t="shared" si="5"/>
        <v>26</v>
      </c>
      <c r="S27" s="65">
        <f t="shared" si="6"/>
        <v>0</v>
      </c>
      <c r="T27" s="158">
        <f t="shared" si="9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</row>
    <row r="28" spans="2:110" x14ac:dyDescent="0.4">
      <c r="B28" s="502" t="s">
        <v>152</v>
      </c>
      <c r="C28" s="326">
        <v>49</v>
      </c>
      <c r="D28" s="330" t="s">
        <v>159</v>
      </c>
      <c r="E28" s="327">
        <v>45858</v>
      </c>
      <c r="F28" s="207">
        <v>45945</v>
      </c>
      <c r="G28" s="199">
        <f t="shared" ref="G28:G91" si="17">F28-E28</f>
        <v>87</v>
      </c>
      <c r="H28" s="207">
        <f>E28</f>
        <v>45858</v>
      </c>
      <c r="I28" s="207">
        <f>F28</f>
        <v>45945</v>
      </c>
      <c r="J28" s="200" t="s">
        <v>154</v>
      </c>
      <c r="K28" s="201"/>
      <c r="L28" s="202"/>
      <c r="M28" s="202"/>
      <c r="N28" s="199" t="str">
        <f t="shared" ref="N28:N42" si="18">IF(OR(M28="",L28=""),"",INT(M28-L28+1))</f>
        <v/>
      </c>
      <c r="O28" s="203" t="str">
        <f t="shared" ref="O28:O42" si="19">IFERROR(K28/N28,"-")</f>
        <v>-</v>
      </c>
      <c r="P28" s="206" t="str">
        <f t="shared" ref="P28:P42" si="20">IFERROR(SUMIF($U$2:$AT$2,"&lt;="&amp;$D$1,U28:BN28)/K28,"-")</f>
        <v>-</v>
      </c>
      <c r="Q28" s="208">
        <f t="shared" ref="Q28:Q42" si="21">SUMIF($U$2:$AT$2,"&lt;="&amp;$D$1,U28:AT28)</f>
        <v>0</v>
      </c>
      <c r="R28" s="205">
        <f t="shared" ref="R28:R42" si="22">K28-Q28</f>
        <v>0</v>
      </c>
      <c r="S28" s="65">
        <f t="shared" ref="S28:S42" si="23">SUM(U28:XFD28)</f>
        <v>0</v>
      </c>
      <c r="T28" s="158">
        <f t="shared" si="9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</row>
    <row r="29" spans="2:110" x14ac:dyDescent="0.4">
      <c r="B29" s="503"/>
      <c r="C29" s="326">
        <v>50</v>
      </c>
      <c r="D29" s="330" t="s">
        <v>160</v>
      </c>
      <c r="E29" s="327">
        <v>45863</v>
      </c>
      <c r="F29" s="207">
        <v>45950</v>
      </c>
      <c r="G29" s="199">
        <f t="shared" si="17"/>
        <v>87</v>
      </c>
      <c r="H29" s="207">
        <f t="shared" ref="H29:H33" si="24">E29</f>
        <v>45863</v>
      </c>
      <c r="I29" s="207">
        <f t="shared" ref="I29:I33" si="25">F29</f>
        <v>45950</v>
      </c>
      <c r="J29" s="200" t="s">
        <v>154</v>
      </c>
      <c r="K29" s="201"/>
      <c r="L29" s="202"/>
      <c r="M29" s="202"/>
      <c r="N29" s="199" t="str">
        <f t="shared" si="18"/>
        <v/>
      </c>
      <c r="O29" s="203" t="str">
        <f t="shared" si="19"/>
        <v>-</v>
      </c>
      <c r="P29" s="206" t="str">
        <f t="shared" si="20"/>
        <v>-</v>
      </c>
      <c r="Q29" s="208">
        <f t="shared" si="21"/>
        <v>0</v>
      </c>
      <c r="R29" s="205">
        <f t="shared" si="22"/>
        <v>0</v>
      </c>
      <c r="S29" s="65">
        <f t="shared" si="23"/>
        <v>0</v>
      </c>
      <c r="T29" s="158">
        <f t="shared" si="9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  <c r="CB29" s="169"/>
      <c r="CC29" s="169"/>
      <c r="CD29" s="169"/>
      <c r="CE29" s="169"/>
      <c r="CF29" s="169"/>
      <c r="CG29" s="169"/>
      <c r="CH29" s="169"/>
      <c r="CI29" s="169"/>
      <c r="CJ29" s="169"/>
      <c r="CK29" s="169"/>
      <c r="CL29" s="169"/>
      <c r="CM29" s="169"/>
      <c r="CN29" s="169"/>
      <c r="CO29" s="169"/>
      <c r="CP29" s="169"/>
      <c r="CQ29" s="169"/>
      <c r="CR29" s="169"/>
      <c r="CS29" s="169"/>
      <c r="CT29" s="169"/>
      <c r="CU29" s="169"/>
      <c r="CV29" s="169"/>
      <c r="CW29" s="169"/>
      <c r="CX29" s="169"/>
      <c r="CY29" s="169"/>
      <c r="CZ29" s="169"/>
      <c r="DA29" s="169"/>
      <c r="DB29" s="169"/>
      <c r="DC29" s="169"/>
      <c r="DD29" s="169"/>
      <c r="DE29" s="169"/>
      <c r="DF29" s="169"/>
    </row>
    <row r="30" spans="2:110" x14ac:dyDescent="0.4">
      <c r="B30" s="503"/>
      <c r="C30" s="326">
        <v>51</v>
      </c>
      <c r="D30" s="330" t="s">
        <v>161</v>
      </c>
      <c r="E30" s="327">
        <v>45966</v>
      </c>
      <c r="F30" s="207">
        <v>46001</v>
      </c>
      <c r="G30" s="199">
        <f t="shared" si="17"/>
        <v>35</v>
      </c>
      <c r="H30" s="207">
        <f t="shared" si="24"/>
        <v>45966</v>
      </c>
      <c r="I30" s="207">
        <f t="shared" si="25"/>
        <v>46001</v>
      </c>
      <c r="J30" s="200" t="s">
        <v>154</v>
      </c>
      <c r="K30" s="201"/>
      <c r="L30" s="202"/>
      <c r="M30" s="202"/>
      <c r="N30" s="199" t="str">
        <f t="shared" si="18"/>
        <v/>
      </c>
      <c r="O30" s="203" t="str">
        <f t="shared" si="19"/>
        <v>-</v>
      </c>
      <c r="P30" s="206" t="str">
        <f t="shared" si="20"/>
        <v>-</v>
      </c>
      <c r="Q30" s="208">
        <f t="shared" si="21"/>
        <v>0</v>
      </c>
      <c r="R30" s="205">
        <f t="shared" si="22"/>
        <v>0</v>
      </c>
      <c r="S30" s="65">
        <f t="shared" si="23"/>
        <v>0</v>
      </c>
      <c r="T30" s="158">
        <f t="shared" si="9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</row>
    <row r="31" spans="2:110" x14ac:dyDescent="0.4">
      <c r="B31" s="503"/>
      <c r="C31" s="326">
        <v>52</v>
      </c>
      <c r="D31" s="330" t="s">
        <v>162</v>
      </c>
      <c r="E31" s="327">
        <v>45981</v>
      </c>
      <c r="F31" s="207">
        <v>46009</v>
      </c>
      <c r="G31" s="199">
        <f t="shared" si="17"/>
        <v>28</v>
      </c>
      <c r="H31" s="207">
        <f t="shared" si="24"/>
        <v>45981</v>
      </c>
      <c r="I31" s="207">
        <f t="shared" si="25"/>
        <v>46009</v>
      </c>
      <c r="J31" s="200" t="s">
        <v>154</v>
      </c>
      <c r="K31" s="201"/>
      <c r="L31" s="202"/>
      <c r="M31" s="202"/>
      <c r="N31" s="199" t="str">
        <f t="shared" si="18"/>
        <v/>
      </c>
      <c r="O31" s="203" t="str">
        <f t="shared" si="19"/>
        <v>-</v>
      </c>
      <c r="P31" s="206" t="str">
        <f t="shared" si="20"/>
        <v>-</v>
      </c>
      <c r="Q31" s="208">
        <f t="shared" si="21"/>
        <v>0</v>
      </c>
      <c r="R31" s="205">
        <f t="shared" si="22"/>
        <v>0</v>
      </c>
      <c r="S31" s="65">
        <f t="shared" si="23"/>
        <v>0</v>
      </c>
      <c r="T31" s="158">
        <f t="shared" si="9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</row>
    <row r="32" spans="2:110" x14ac:dyDescent="0.4">
      <c r="B32" s="503"/>
      <c r="C32" s="60">
        <v>53</v>
      </c>
      <c r="D32" s="329" t="s">
        <v>163</v>
      </c>
      <c r="E32" s="207">
        <v>45971</v>
      </c>
      <c r="F32" s="207">
        <v>46006</v>
      </c>
      <c r="G32" s="199">
        <f t="shared" si="17"/>
        <v>35</v>
      </c>
      <c r="H32" s="207">
        <f t="shared" si="24"/>
        <v>45971</v>
      </c>
      <c r="I32" s="207">
        <f t="shared" si="25"/>
        <v>46006</v>
      </c>
      <c r="J32" s="200" t="s">
        <v>154</v>
      </c>
      <c r="K32" s="201"/>
      <c r="L32" s="202"/>
      <c r="M32" s="202"/>
      <c r="N32" s="199" t="str">
        <f t="shared" si="18"/>
        <v/>
      </c>
      <c r="O32" s="203" t="str">
        <f t="shared" si="19"/>
        <v>-</v>
      </c>
      <c r="P32" s="206" t="str">
        <f t="shared" si="20"/>
        <v>-</v>
      </c>
      <c r="Q32" s="208">
        <f t="shared" si="21"/>
        <v>0</v>
      </c>
      <c r="R32" s="205">
        <f t="shared" si="22"/>
        <v>0</v>
      </c>
      <c r="S32" s="65">
        <f t="shared" si="23"/>
        <v>0</v>
      </c>
      <c r="T32" s="158">
        <f t="shared" si="9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</row>
    <row r="33" spans="2:110" x14ac:dyDescent="0.4">
      <c r="B33" s="503"/>
      <c r="C33" s="60">
        <v>54</v>
      </c>
      <c r="D33" s="323" t="s">
        <v>164</v>
      </c>
      <c r="E33" s="207">
        <v>45996</v>
      </c>
      <c r="F33" s="207">
        <v>46008</v>
      </c>
      <c r="G33" s="199">
        <f t="shared" si="17"/>
        <v>12</v>
      </c>
      <c r="H33" s="207">
        <f t="shared" si="24"/>
        <v>45996</v>
      </c>
      <c r="I33" s="207">
        <f t="shared" si="25"/>
        <v>46008</v>
      </c>
      <c r="J33" s="200" t="s">
        <v>154</v>
      </c>
      <c r="K33" s="201"/>
      <c r="L33" s="202"/>
      <c r="M33" s="202"/>
      <c r="N33" s="199" t="str">
        <f t="shared" si="18"/>
        <v/>
      </c>
      <c r="O33" s="203" t="str">
        <f t="shared" si="19"/>
        <v>-</v>
      </c>
      <c r="P33" s="206" t="str">
        <f t="shared" si="20"/>
        <v>-</v>
      </c>
      <c r="Q33" s="208">
        <f t="shared" si="21"/>
        <v>0</v>
      </c>
      <c r="R33" s="205">
        <f t="shared" si="22"/>
        <v>0</v>
      </c>
      <c r="S33" s="65">
        <f t="shared" si="23"/>
        <v>0</v>
      </c>
      <c r="T33" s="158">
        <f t="shared" si="9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  <c r="CG33" s="169"/>
      <c r="CH33" s="169"/>
      <c r="CI33" s="169"/>
      <c r="CJ33" s="169"/>
      <c r="CK33" s="169"/>
      <c r="CL33" s="169"/>
      <c r="CM33" s="169"/>
      <c r="CN33" s="169"/>
      <c r="CO33" s="169"/>
      <c r="CP33" s="169"/>
      <c r="CQ33" s="169"/>
      <c r="CR33" s="169"/>
      <c r="CS33" s="169"/>
      <c r="CT33" s="169"/>
      <c r="CU33" s="169"/>
      <c r="CV33" s="169"/>
      <c r="CW33" s="169"/>
      <c r="CX33" s="169"/>
      <c r="CY33" s="169"/>
      <c r="CZ33" s="169"/>
      <c r="DA33" s="169"/>
      <c r="DB33" s="169"/>
      <c r="DC33" s="169"/>
      <c r="DD33" s="169"/>
      <c r="DE33" s="169"/>
      <c r="DF33" s="169"/>
    </row>
    <row r="34" spans="2:110" x14ac:dyDescent="0.4">
      <c r="B34" s="503"/>
      <c r="C34" s="60">
        <v>55</v>
      </c>
      <c r="D34" s="323" t="s">
        <v>169</v>
      </c>
      <c r="E34" s="207">
        <v>45772</v>
      </c>
      <c r="F34" s="207">
        <v>45823</v>
      </c>
      <c r="G34" s="209">
        <f t="shared" si="17"/>
        <v>51</v>
      </c>
      <c r="H34" s="207">
        <v>45819</v>
      </c>
      <c r="I34" s="207">
        <f>H34+G34</f>
        <v>45870</v>
      </c>
      <c r="J34" s="200" t="s">
        <v>154</v>
      </c>
      <c r="K34" s="201">
        <v>21000</v>
      </c>
      <c r="L34" s="202"/>
      <c r="M34" s="202"/>
      <c r="N34" s="199" t="str">
        <f t="shared" si="18"/>
        <v/>
      </c>
      <c r="O34" s="203" t="str">
        <f t="shared" si="19"/>
        <v>-</v>
      </c>
      <c r="P34" s="206">
        <f t="shared" si="20"/>
        <v>0</v>
      </c>
      <c r="Q34" s="208">
        <f t="shared" si="21"/>
        <v>0</v>
      </c>
      <c r="R34" s="205">
        <f t="shared" si="22"/>
        <v>21000</v>
      </c>
      <c r="S34" s="65">
        <f t="shared" si="23"/>
        <v>0</v>
      </c>
      <c r="T34" s="158">
        <f t="shared" si="9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  <c r="CG34" s="169"/>
      <c r="CH34" s="169"/>
      <c r="CI34" s="169"/>
      <c r="CJ34" s="169"/>
      <c r="CK34" s="169"/>
      <c r="CL34" s="169"/>
      <c r="CM34" s="169"/>
      <c r="CN34" s="169"/>
      <c r="CO34" s="169"/>
      <c r="CP34" s="169"/>
      <c r="CQ34" s="169"/>
      <c r="CR34" s="169"/>
      <c r="CS34" s="169"/>
      <c r="CT34" s="169"/>
      <c r="CU34" s="169"/>
      <c r="CV34" s="169"/>
      <c r="CW34" s="169"/>
      <c r="CX34" s="169"/>
      <c r="CY34" s="169"/>
      <c r="CZ34" s="169"/>
      <c r="DA34" s="169"/>
      <c r="DB34" s="169"/>
      <c r="DC34" s="169"/>
      <c r="DD34" s="169"/>
      <c r="DE34" s="169"/>
      <c r="DF34" s="169"/>
    </row>
    <row r="35" spans="2:110" x14ac:dyDescent="0.4">
      <c r="B35" s="503"/>
      <c r="C35" s="60">
        <v>56</v>
      </c>
      <c r="D35" s="323" t="s">
        <v>170</v>
      </c>
      <c r="E35" s="207">
        <v>45773</v>
      </c>
      <c r="F35" s="207">
        <v>45824</v>
      </c>
      <c r="G35" s="209">
        <f t="shared" si="17"/>
        <v>51</v>
      </c>
      <c r="H35" s="207">
        <v>45820</v>
      </c>
      <c r="I35" s="207">
        <v>45871</v>
      </c>
      <c r="J35" s="200" t="s">
        <v>154</v>
      </c>
      <c r="K35" s="201">
        <v>21000</v>
      </c>
      <c r="L35" s="202"/>
      <c r="M35" s="202"/>
      <c r="N35" s="199" t="str">
        <f t="shared" si="18"/>
        <v/>
      </c>
      <c r="O35" s="203" t="str">
        <f t="shared" si="19"/>
        <v>-</v>
      </c>
      <c r="P35" s="206">
        <f t="shared" si="20"/>
        <v>0</v>
      </c>
      <c r="Q35" s="208">
        <f t="shared" si="21"/>
        <v>0</v>
      </c>
      <c r="R35" s="205">
        <f t="shared" si="22"/>
        <v>21000</v>
      </c>
      <c r="S35" s="65">
        <f t="shared" si="23"/>
        <v>0</v>
      </c>
      <c r="T35" s="158">
        <f t="shared" si="9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</row>
    <row r="36" spans="2:110" x14ac:dyDescent="0.4">
      <c r="B36" s="503"/>
      <c r="C36" s="60">
        <v>57</v>
      </c>
      <c r="D36" s="323" t="s">
        <v>439</v>
      </c>
      <c r="E36" s="207">
        <v>45797</v>
      </c>
      <c r="F36" s="207">
        <v>45828</v>
      </c>
      <c r="G36" s="209">
        <f t="shared" si="17"/>
        <v>31</v>
      </c>
      <c r="H36" s="207">
        <v>45833</v>
      </c>
      <c r="I36" s="207">
        <v>45874</v>
      </c>
      <c r="J36" s="200" t="s">
        <v>154</v>
      </c>
      <c r="K36" s="201">
        <v>21000</v>
      </c>
      <c r="L36" s="202"/>
      <c r="M36" s="202"/>
      <c r="N36" s="199" t="str">
        <f t="shared" si="18"/>
        <v/>
      </c>
      <c r="O36" s="203" t="str">
        <f t="shared" si="19"/>
        <v>-</v>
      </c>
      <c r="P36" s="206">
        <f t="shared" si="20"/>
        <v>0</v>
      </c>
      <c r="Q36" s="208">
        <f t="shared" si="21"/>
        <v>0</v>
      </c>
      <c r="R36" s="205">
        <f t="shared" si="22"/>
        <v>21000</v>
      </c>
      <c r="S36" s="65">
        <f t="shared" si="23"/>
        <v>0</v>
      </c>
      <c r="T36" s="158">
        <f t="shared" si="9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</row>
    <row r="37" spans="2:110" x14ac:dyDescent="0.4">
      <c r="B37" s="503"/>
      <c r="C37" s="60">
        <v>58</v>
      </c>
      <c r="D37" s="323" t="s">
        <v>430</v>
      </c>
      <c r="E37" s="207">
        <v>45802</v>
      </c>
      <c r="F37" s="207">
        <v>45832</v>
      </c>
      <c r="G37" s="209">
        <f t="shared" si="17"/>
        <v>30</v>
      </c>
      <c r="H37" s="207">
        <v>45838</v>
      </c>
      <c r="I37" s="207">
        <v>45877</v>
      </c>
      <c r="J37" s="200" t="s">
        <v>154</v>
      </c>
      <c r="K37" s="201">
        <v>21000</v>
      </c>
      <c r="L37" s="202"/>
      <c r="M37" s="202"/>
      <c r="N37" s="199" t="str">
        <f t="shared" si="18"/>
        <v/>
      </c>
      <c r="O37" s="203" t="str">
        <f t="shared" si="19"/>
        <v>-</v>
      </c>
      <c r="P37" s="206">
        <f t="shared" si="20"/>
        <v>0</v>
      </c>
      <c r="Q37" s="208">
        <f t="shared" si="21"/>
        <v>0</v>
      </c>
      <c r="R37" s="205">
        <f t="shared" si="22"/>
        <v>21000</v>
      </c>
      <c r="S37" s="65">
        <f t="shared" si="23"/>
        <v>0</v>
      </c>
      <c r="T37" s="158">
        <f t="shared" si="9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</row>
    <row r="38" spans="2:110" x14ac:dyDescent="0.4">
      <c r="B38" s="503"/>
      <c r="C38" s="60">
        <v>59</v>
      </c>
      <c r="D38" s="323" t="s">
        <v>173</v>
      </c>
      <c r="E38" s="207">
        <v>45874</v>
      </c>
      <c r="F38" s="207">
        <v>45950</v>
      </c>
      <c r="G38" s="209">
        <f t="shared" si="17"/>
        <v>76</v>
      </c>
      <c r="H38" s="207">
        <f>E38</f>
        <v>45874</v>
      </c>
      <c r="I38" s="207">
        <f>F38</f>
        <v>45950</v>
      </c>
      <c r="J38" s="200" t="s">
        <v>154</v>
      </c>
      <c r="K38" s="201"/>
      <c r="L38" s="202"/>
      <c r="M38" s="202"/>
      <c r="N38" s="199" t="str">
        <f t="shared" si="18"/>
        <v/>
      </c>
      <c r="O38" s="203" t="str">
        <f t="shared" si="19"/>
        <v>-</v>
      </c>
      <c r="P38" s="206" t="str">
        <f t="shared" si="20"/>
        <v>-</v>
      </c>
      <c r="Q38" s="208">
        <f t="shared" si="21"/>
        <v>0</v>
      </c>
      <c r="R38" s="205">
        <f t="shared" si="22"/>
        <v>0</v>
      </c>
      <c r="S38" s="65">
        <f t="shared" si="23"/>
        <v>0</v>
      </c>
      <c r="T38" s="158">
        <f t="shared" si="9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69"/>
      <c r="CH38" s="169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69"/>
      <c r="CW38" s="169"/>
      <c r="CX38" s="169"/>
      <c r="CY38" s="169"/>
      <c r="CZ38" s="169"/>
      <c r="DA38" s="169"/>
      <c r="DB38" s="169"/>
      <c r="DC38" s="169"/>
      <c r="DD38" s="169"/>
      <c r="DE38" s="169"/>
      <c r="DF38" s="169"/>
    </row>
    <row r="39" spans="2:110" x14ac:dyDescent="0.4">
      <c r="B39" s="503"/>
      <c r="C39" s="60">
        <v>60</v>
      </c>
      <c r="D39" s="323" t="s">
        <v>174</v>
      </c>
      <c r="E39" s="207">
        <v>45885</v>
      </c>
      <c r="F39" s="207">
        <v>45958</v>
      </c>
      <c r="G39" s="209">
        <f t="shared" si="17"/>
        <v>73</v>
      </c>
      <c r="H39" s="207">
        <f t="shared" ref="H39:H61" si="26">E39</f>
        <v>45885</v>
      </c>
      <c r="I39" s="207">
        <f t="shared" ref="I39:I61" si="27">F39</f>
        <v>45958</v>
      </c>
      <c r="J39" s="200" t="s">
        <v>154</v>
      </c>
      <c r="K39" s="201"/>
      <c r="L39" s="202"/>
      <c r="M39" s="202"/>
      <c r="N39" s="199" t="str">
        <f t="shared" si="18"/>
        <v/>
      </c>
      <c r="O39" s="203" t="str">
        <f t="shared" si="19"/>
        <v>-</v>
      </c>
      <c r="P39" s="206" t="str">
        <f t="shared" si="20"/>
        <v>-</v>
      </c>
      <c r="Q39" s="208">
        <f t="shared" si="21"/>
        <v>0</v>
      </c>
      <c r="R39" s="205">
        <f t="shared" si="22"/>
        <v>0</v>
      </c>
      <c r="S39" s="65">
        <f t="shared" si="23"/>
        <v>0</v>
      </c>
      <c r="T39" s="158">
        <f t="shared" si="9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  <c r="CG39" s="169"/>
      <c r="CH39" s="169"/>
      <c r="CI39" s="169"/>
      <c r="CJ39" s="169"/>
      <c r="CK39" s="169"/>
      <c r="CL39" s="169"/>
      <c r="CM39" s="169"/>
      <c r="CN39" s="169"/>
      <c r="CO39" s="169"/>
      <c r="CP39" s="169"/>
      <c r="CQ39" s="169"/>
      <c r="CR39" s="169"/>
      <c r="CS39" s="169"/>
      <c r="CT39" s="169"/>
      <c r="CU39" s="169"/>
      <c r="CV39" s="169"/>
      <c r="CW39" s="169"/>
      <c r="CX39" s="169"/>
      <c r="CY39" s="169"/>
      <c r="CZ39" s="169"/>
      <c r="DA39" s="169"/>
      <c r="DB39" s="169"/>
      <c r="DC39" s="169"/>
      <c r="DD39" s="169"/>
      <c r="DE39" s="169"/>
      <c r="DF39" s="169"/>
    </row>
    <row r="40" spans="2:110" x14ac:dyDescent="0.4">
      <c r="B40" s="503"/>
      <c r="C40" s="60">
        <v>61</v>
      </c>
      <c r="D40" s="323" t="s">
        <v>175</v>
      </c>
      <c r="E40" s="207">
        <v>45905</v>
      </c>
      <c r="F40" s="207">
        <v>45976</v>
      </c>
      <c r="G40" s="209">
        <f t="shared" si="17"/>
        <v>71</v>
      </c>
      <c r="H40" s="207">
        <f t="shared" si="26"/>
        <v>45905</v>
      </c>
      <c r="I40" s="207">
        <f t="shared" si="27"/>
        <v>45976</v>
      </c>
      <c r="J40" s="200" t="s">
        <v>154</v>
      </c>
      <c r="K40" s="201"/>
      <c r="L40" s="202"/>
      <c r="M40" s="202"/>
      <c r="N40" s="199" t="str">
        <f t="shared" si="18"/>
        <v/>
      </c>
      <c r="O40" s="203" t="str">
        <f t="shared" si="19"/>
        <v>-</v>
      </c>
      <c r="P40" s="206" t="str">
        <f t="shared" si="20"/>
        <v>-</v>
      </c>
      <c r="Q40" s="208">
        <f t="shared" si="21"/>
        <v>0</v>
      </c>
      <c r="R40" s="205">
        <f t="shared" si="22"/>
        <v>0</v>
      </c>
      <c r="S40" s="65">
        <f t="shared" si="23"/>
        <v>0</v>
      </c>
      <c r="T40" s="158">
        <f t="shared" si="9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  <c r="CG40" s="169"/>
      <c r="CH40" s="169"/>
      <c r="CI40" s="169"/>
      <c r="CJ40" s="169"/>
      <c r="CK40" s="169"/>
      <c r="CL40" s="169"/>
      <c r="CM40" s="169"/>
      <c r="CN40" s="169"/>
      <c r="CO40" s="169"/>
      <c r="CP40" s="169"/>
      <c r="CQ40" s="169"/>
      <c r="CR40" s="169"/>
      <c r="CS40" s="169"/>
      <c r="CT40" s="169"/>
      <c r="CU40" s="169"/>
      <c r="CV40" s="169"/>
      <c r="CW40" s="169"/>
      <c r="CX40" s="169"/>
      <c r="CY40" s="169"/>
      <c r="CZ40" s="169"/>
      <c r="DA40" s="169"/>
      <c r="DB40" s="169"/>
      <c r="DC40" s="169"/>
      <c r="DD40" s="169"/>
      <c r="DE40" s="169"/>
      <c r="DF40" s="169"/>
    </row>
    <row r="41" spans="2:110" ht="29" x14ac:dyDescent="0.4">
      <c r="B41" s="491" t="s">
        <v>176</v>
      </c>
      <c r="C41" s="60">
        <v>66</v>
      </c>
      <c r="D41" s="324" t="s">
        <v>441</v>
      </c>
      <c r="E41" s="196">
        <v>45879</v>
      </c>
      <c r="F41" s="196">
        <v>46006</v>
      </c>
      <c r="G41" s="197">
        <f t="shared" si="17"/>
        <v>127</v>
      </c>
      <c r="H41" s="207">
        <f t="shared" si="26"/>
        <v>45879</v>
      </c>
      <c r="I41" s="207">
        <f t="shared" si="27"/>
        <v>46006</v>
      </c>
      <c r="J41" s="200" t="s">
        <v>17</v>
      </c>
      <c r="K41" s="201">
        <v>1360</v>
      </c>
      <c r="L41" s="202"/>
      <c r="M41" s="202"/>
      <c r="N41" s="199" t="str">
        <f t="shared" si="18"/>
        <v/>
      </c>
      <c r="O41" s="203" t="str">
        <f t="shared" si="19"/>
        <v>-</v>
      </c>
      <c r="P41" s="206">
        <f t="shared" si="20"/>
        <v>0</v>
      </c>
      <c r="Q41" s="208">
        <f t="shared" si="21"/>
        <v>0</v>
      </c>
      <c r="R41" s="205">
        <f t="shared" si="22"/>
        <v>1360</v>
      </c>
      <c r="S41" s="65">
        <f t="shared" si="23"/>
        <v>0</v>
      </c>
      <c r="T41" s="158">
        <f t="shared" si="9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69"/>
      <c r="CH41" s="169"/>
      <c r="CI41" s="169"/>
      <c r="CJ41" s="169"/>
      <c r="CK41" s="169"/>
      <c r="CL41" s="169"/>
      <c r="CM41" s="169"/>
      <c r="CN41" s="169"/>
      <c r="CO41" s="169"/>
      <c r="CP41" s="169"/>
      <c r="CQ41" s="169"/>
      <c r="CR41" s="169"/>
      <c r="CS41" s="169"/>
      <c r="CT41" s="169"/>
      <c r="CU41" s="169"/>
      <c r="CV41" s="169"/>
      <c r="CW41" s="169"/>
      <c r="CX41" s="169"/>
      <c r="CY41" s="169"/>
      <c r="CZ41" s="169"/>
      <c r="DA41" s="169"/>
      <c r="DB41" s="169"/>
      <c r="DC41" s="169"/>
      <c r="DD41" s="169"/>
      <c r="DE41" s="169"/>
      <c r="DF41" s="169"/>
    </row>
    <row r="42" spans="2:110" x14ac:dyDescent="0.4">
      <c r="B42" s="491"/>
      <c r="C42" s="60">
        <v>67</v>
      </c>
      <c r="D42" s="324" t="s">
        <v>259</v>
      </c>
      <c r="E42" s="196">
        <v>45887</v>
      </c>
      <c r="F42" s="196">
        <v>46016</v>
      </c>
      <c r="G42" s="197">
        <f t="shared" si="17"/>
        <v>129</v>
      </c>
      <c r="H42" s="207">
        <f t="shared" si="26"/>
        <v>45887</v>
      </c>
      <c r="I42" s="207">
        <f t="shared" si="27"/>
        <v>46016</v>
      </c>
      <c r="J42" s="200" t="s">
        <v>17</v>
      </c>
      <c r="K42" s="201">
        <v>1360</v>
      </c>
      <c r="L42" s="202"/>
      <c r="M42" s="202"/>
      <c r="N42" s="199" t="str">
        <f t="shared" si="18"/>
        <v/>
      </c>
      <c r="O42" s="203" t="str">
        <f t="shared" si="19"/>
        <v>-</v>
      </c>
      <c r="P42" s="206">
        <f t="shared" si="20"/>
        <v>0</v>
      </c>
      <c r="Q42" s="208">
        <f t="shared" si="21"/>
        <v>0</v>
      </c>
      <c r="R42" s="205">
        <f t="shared" si="22"/>
        <v>1360</v>
      </c>
      <c r="S42" s="65">
        <f t="shared" si="23"/>
        <v>0</v>
      </c>
      <c r="T42" s="158">
        <f t="shared" si="9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9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  <c r="CB42" s="169"/>
      <c r="CC42" s="169"/>
      <c r="CD42" s="169"/>
      <c r="CE42" s="169"/>
      <c r="CF42" s="169"/>
      <c r="CG42" s="169"/>
      <c r="CH42" s="169"/>
      <c r="CI42" s="169"/>
      <c r="CJ42" s="169"/>
      <c r="CK42" s="169"/>
      <c r="CL42" s="169"/>
      <c r="CM42" s="169"/>
      <c r="CN42" s="169"/>
      <c r="CO42" s="169"/>
      <c r="CP42" s="169"/>
      <c r="CQ42" s="169"/>
      <c r="CR42" s="169"/>
      <c r="CS42" s="169"/>
      <c r="CT42" s="169"/>
      <c r="CU42" s="169"/>
      <c r="CV42" s="169"/>
      <c r="CW42" s="169"/>
      <c r="CX42" s="169"/>
      <c r="CY42" s="169"/>
      <c r="CZ42" s="169"/>
      <c r="DA42" s="169"/>
      <c r="DB42" s="169"/>
      <c r="DC42" s="169"/>
      <c r="DD42" s="169"/>
      <c r="DE42" s="169"/>
      <c r="DF42" s="169"/>
    </row>
    <row r="43" spans="2:110" x14ac:dyDescent="0.4">
      <c r="B43" s="491"/>
      <c r="C43" s="60">
        <v>68</v>
      </c>
      <c r="D43" s="324" t="s">
        <v>258</v>
      </c>
      <c r="E43" s="196">
        <v>45849</v>
      </c>
      <c r="F43" s="196">
        <v>46010</v>
      </c>
      <c r="G43" s="197">
        <f t="shared" si="17"/>
        <v>161</v>
      </c>
      <c r="H43" s="207">
        <f t="shared" si="26"/>
        <v>45849</v>
      </c>
      <c r="I43" s="207">
        <f t="shared" si="27"/>
        <v>46010</v>
      </c>
      <c r="J43" s="200" t="s">
        <v>17</v>
      </c>
      <c r="K43" s="201">
        <v>1360</v>
      </c>
      <c r="L43" s="202"/>
      <c r="M43" s="202"/>
      <c r="N43" s="199" t="str">
        <f t="shared" ref="N43:N73" si="28">IF(OR(M43="",L43=""),"",INT(M43-L43+1))</f>
        <v/>
      </c>
      <c r="O43" s="203" t="str">
        <f t="shared" ref="O43:O73" si="29">IFERROR(K43/N43,"-")</f>
        <v>-</v>
      </c>
      <c r="P43" s="206">
        <f t="shared" ref="P43:P73" si="30">IFERROR(SUMIF($U$2:$AT$2,"&lt;="&amp;$D$1,U43:BN43)/K43,"-")</f>
        <v>0</v>
      </c>
      <c r="Q43" s="208">
        <f t="shared" ref="Q43:Q73" si="31">SUMIF($U$2:$AT$2,"&lt;="&amp;$D$1,U43:AT43)</f>
        <v>0</v>
      </c>
      <c r="R43" s="205">
        <f t="shared" ref="R43:R73" si="32">K43-Q43</f>
        <v>1360</v>
      </c>
      <c r="S43" s="65">
        <f t="shared" ref="S43:S55" si="33">SUM(U43:XFD43)</f>
        <v>0</v>
      </c>
      <c r="T43" s="158">
        <f t="shared" si="9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</row>
    <row r="44" spans="2:110" x14ac:dyDescent="0.4">
      <c r="B44" s="491"/>
      <c r="C44" s="60">
        <v>69</v>
      </c>
      <c r="D44" s="324" t="s">
        <v>263</v>
      </c>
      <c r="E44" s="196">
        <v>45888</v>
      </c>
      <c r="F44" s="196">
        <v>46043</v>
      </c>
      <c r="G44" s="197">
        <f t="shared" si="17"/>
        <v>155</v>
      </c>
      <c r="H44" s="207">
        <f t="shared" si="26"/>
        <v>45888</v>
      </c>
      <c r="I44" s="207">
        <f t="shared" si="27"/>
        <v>46043</v>
      </c>
      <c r="J44" s="200" t="s">
        <v>17</v>
      </c>
      <c r="K44" s="201">
        <v>1360</v>
      </c>
      <c r="L44" s="202"/>
      <c r="M44" s="202"/>
      <c r="N44" s="199" t="str">
        <f t="shared" si="28"/>
        <v/>
      </c>
      <c r="O44" s="203" t="str">
        <f t="shared" si="29"/>
        <v>-</v>
      </c>
      <c r="P44" s="206">
        <f t="shared" si="30"/>
        <v>0</v>
      </c>
      <c r="Q44" s="208">
        <f t="shared" si="31"/>
        <v>0</v>
      </c>
      <c r="R44" s="205">
        <f t="shared" si="32"/>
        <v>1360</v>
      </c>
      <c r="S44" s="65">
        <f t="shared" si="33"/>
        <v>0</v>
      </c>
      <c r="T44" s="158">
        <f t="shared" si="9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  <c r="CG44" s="169"/>
      <c r="CH44" s="169"/>
      <c r="CI44" s="169"/>
      <c r="CJ44" s="169"/>
      <c r="CK44" s="169"/>
      <c r="CL44" s="169"/>
      <c r="CM44" s="169"/>
      <c r="CN44" s="169"/>
      <c r="CO44" s="169"/>
      <c r="CP44" s="169"/>
      <c r="CQ44" s="169"/>
      <c r="CR44" s="169"/>
      <c r="CS44" s="169"/>
      <c r="CT44" s="169"/>
      <c r="CU44" s="169"/>
      <c r="CV44" s="169"/>
      <c r="CW44" s="169"/>
      <c r="CX44" s="169"/>
      <c r="CY44" s="169"/>
      <c r="CZ44" s="169"/>
      <c r="DA44" s="169"/>
      <c r="DB44" s="169"/>
      <c r="DC44" s="169"/>
      <c r="DD44" s="169"/>
      <c r="DE44" s="169"/>
      <c r="DF44" s="169"/>
    </row>
    <row r="45" spans="2:110" ht="29" x14ac:dyDescent="0.4">
      <c r="B45" s="491"/>
      <c r="C45" s="60">
        <v>70</v>
      </c>
      <c r="D45" s="324" t="s">
        <v>264</v>
      </c>
      <c r="E45" s="196">
        <f>E44+45</f>
        <v>45933</v>
      </c>
      <c r="F45" s="196">
        <f>F44+7</f>
        <v>46050</v>
      </c>
      <c r="G45" s="197">
        <f t="shared" si="17"/>
        <v>117</v>
      </c>
      <c r="H45" s="207">
        <f t="shared" si="26"/>
        <v>45933</v>
      </c>
      <c r="I45" s="207">
        <f t="shared" si="27"/>
        <v>46050</v>
      </c>
      <c r="J45" s="200" t="s">
        <v>17</v>
      </c>
      <c r="K45" s="201">
        <v>1360</v>
      </c>
      <c r="L45" s="202"/>
      <c r="M45" s="202"/>
      <c r="N45" s="199" t="str">
        <f t="shared" si="28"/>
        <v/>
      </c>
      <c r="O45" s="203" t="str">
        <f t="shared" si="29"/>
        <v>-</v>
      </c>
      <c r="P45" s="206">
        <f t="shared" si="30"/>
        <v>0</v>
      </c>
      <c r="Q45" s="208">
        <f t="shared" si="31"/>
        <v>0</v>
      </c>
      <c r="R45" s="205">
        <f t="shared" si="32"/>
        <v>1360</v>
      </c>
      <c r="S45" s="65">
        <f t="shared" si="33"/>
        <v>0</v>
      </c>
      <c r="T45" s="158">
        <f t="shared" si="9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</row>
    <row r="46" spans="2:110" x14ac:dyDescent="0.4">
      <c r="B46" s="491"/>
      <c r="C46" s="60">
        <v>71</v>
      </c>
      <c r="D46" s="324" t="s">
        <v>440</v>
      </c>
      <c r="E46" s="196">
        <f>E44+40</f>
        <v>45928</v>
      </c>
      <c r="F46" s="196">
        <v>46051</v>
      </c>
      <c r="G46" s="197">
        <f t="shared" si="17"/>
        <v>123</v>
      </c>
      <c r="H46" s="207">
        <f t="shared" si="26"/>
        <v>45928</v>
      </c>
      <c r="I46" s="207">
        <f t="shared" si="27"/>
        <v>46051</v>
      </c>
      <c r="J46" s="200" t="s">
        <v>17</v>
      </c>
      <c r="K46" s="201">
        <v>1360</v>
      </c>
      <c r="L46" s="202"/>
      <c r="M46" s="202"/>
      <c r="N46" s="199" t="str">
        <f t="shared" si="28"/>
        <v/>
      </c>
      <c r="O46" s="203" t="str">
        <f t="shared" si="29"/>
        <v>-</v>
      </c>
      <c r="P46" s="206">
        <f t="shared" si="30"/>
        <v>0</v>
      </c>
      <c r="Q46" s="208">
        <f t="shared" si="31"/>
        <v>0</v>
      </c>
      <c r="R46" s="205">
        <f t="shared" si="32"/>
        <v>1360</v>
      </c>
      <c r="S46" s="65">
        <f t="shared" si="33"/>
        <v>0</v>
      </c>
      <c r="T46" s="158">
        <f t="shared" si="9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</row>
    <row r="47" spans="2:110" x14ac:dyDescent="0.4">
      <c r="B47" s="491"/>
      <c r="C47" s="60">
        <v>72</v>
      </c>
      <c r="D47" s="324" t="s">
        <v>260</v>
      </c>
      <c r="E47" s="196">
        <v>45856</v>
      </c>
      <c r="F47" s="196">
        <v>46011</v>
      </c>
      <c r="G47" s="197">
        <f t="shared" si="17"/>
        <v>155</v>
      </c>
      <c r="H47" s="207">
        <f t="shared" si="26"/>
        <v>45856</v>
      </c>
      <c r="I47" s="207">
        <f t="shared" si="27"/>
        <v>46011</v>
      </c>
      <c r="J47" s="200" t="s">
        <v>17</v>
      </c>
      <c r="K47" s="201">
        <v>1360</v>
      </c>
      <c r="L47" s="202"/>
      <c r="M47" s="202"/>
      <c r="N47" s="199" t="str">
        <f t="shared" si="28"/>
        <v/>
      </c>
      <c r="O47" s="203" t="str">
        <f t="shared" si="29"/>
        <v>-</v>
      </c>
      <c r="P47" s="206">
        <f t="shared" si="30"/>
        <v>0</v>
      </c>
      <c r="Q47" s="208">
        <f t="shared" si="31"/>
        <v>0</v>
      </c>
      <c r="R47" s="205">
        <f t="shared" si="32"/>
        <v>1360</v>
      </c>
      <c r="S47" s="65">
        <f t="shared" si="33"/>
        <v>0</v>
      </c>
      <c r="T47" s="158">
        <f t="shared" si="9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</row>
    <row r="48" spans="2:110" x14ac:dyDescent="0.4">
      <c r="B48" s="491"/>
      <c r="C48" s="60">
        <v>73</v>
      </c>
      <c r="D48" s="324" t="s">
        <v>261</v>
      </c>
      <c r="E48" s="196">
        <v>45859</v>
      </c>
      <c r="F48" s="196">
        <v>45996</v>
      </c>
      <c r="G48" s="197">
        <f t="shared" si="17"/>
        <v>137</v>
      </c>
      <c r="H48" s="207">
        <f t="shared" si="26"/>
        <v>45859</v>
      </c>
      <c r="I48" s="207">
        <f t="shared" si="27"/>
        <v>45996</v>
      </c>
      <c r="J48" s="200" t="s">
        <v>17</v>
      </c>
      <c r="K48" s="201">
        <v>1360</v>
      </c>
      <c r="L48" s="202"/>
      <c r="M48" s="202"/>
      <c r="N48" s="199" t="str">
        <f t="shared" si="28"/>
        <v/>
      </c>
      <c r="O48" s="203" t="str">
        <f t="shared" si="29"/>
        <v>-</v>
      </c>
      <c r="P48" s="206">
        <f t="shared" si="30"/>
        <v>0</v>
      </c>
      <c r="Q48" s="208">
        <f t="shared" si="31"/>
        <v>0</v>
      </c>
      <c r="R48" s="205">
        <f t="shared" si="32"/>
        <v>1360</v>
      </c>
      <c r="S48" s="65">
        <f t="shared" si="33"/>
        <v>0</v>
      </c>
      <c r="T48" s="158">
        <f t="shared" si="9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</row>
    <row r="49" spans="2:110" x14ac:dyDescent="0.4">
      <c r="B49" s="491"/>
      <c r="C49" s="60">
        <v>74</v>
      </c>
      <c r="D49" s="324" t="s">
        <v>179</v>
      </c>
      <c r="E49" s="196">
        <f>E48+45</f>
        <v>45904</v>
      </c>
      <c r="F49" s="196">
        <v>46001</v>
      </c>
      <c r="G49" s="197">
        <f t="shared" si="17"/>
        <v>97</v>
      </c>
      <c r="H49" s="207">
        <f t="shared" si="26"/>
        <v>45904</v>
      </c>
      <c r="I49" s="207">
        <f t="shared" si="27"/>
        <v>46001</v>
      </c>
      <c r="J49" s="200" t="s">
        <v>17</v>
      </c>
      <c r="K49" s="201">
        <v>1360</v>
      </c>
      <c r="L49" s="202"/>
      <c r="M49" s="202"/>
      <c r="N49" s="199" t="str">
        <f t="shared" si="28"/>
        <v/>
      </c>
      <c r="O49" s="203" t="str">
        <f t="shared" si="29"/>
        <v>-</v>
      </c>
      <c r="P49" s="206">
        <f t="shared" si="30"/>
        <v>0</v>
      </c>
      <c r="Q49" s="208">
        <f t="shared" si="31"/>
        <v>0</v>
      </c>
      <c r="R49" s="205">
        <f t="shared" si="32"/>
        <v>1360</v>
      </c>
      <c r="S49" s="65">
        <f t="shared" si="33"/>
        <v>0</v>
      </c>
      <c r="T49" s="158">
        <f t="shared" si="9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69"/>
      <c r="CC49" s="169"/>
      <c r="CD49" s="169"/>
      <c r="CE49" s="169"/>
      <c r="CF49" s="169"/>
      <c r="CG49" s="169"/>
      <c r="CH49" s="169"/>
      <c r="CI49" s="169"/>
      <c r="CJ49" s="169"/>
      <c r="CK49" s="169"/>
      <c r="CL49" s="169"/>
      <c r="CM49" s="169"/>
      <c r="CN49" s="169"/>
      <c r="CO49" s="169"/>
      <c r="CP49" s="169"/>
      <c r="CQ49" s="169"/>
      <c r="CR49" s="169"/>
      <c r="CS49" s="169"/>
      <c r="CT49" s="169"/>
      <c r="CU49" s="169"/>
      <c r="CV49" s="169"/>
      <c r="CW49" s="169"/>
      <c r="CX49" s="169"/>
      <c r="CY49" s="169"/>
      <c r="CZ49" s="169"/>
      <c r="DA49" s="169"/>
      <c r="DB49" s="169"/>
      <c r="DC49" s="169"/>
      <c r="DD49" s="169"/>
      <c r="DE49" s="169"/>
      <c r="DF49" s="169"/>
    </row>
    <row r="50" spans="2:110" x14ac:dyDescent="0.4">
      <c r="B50" s="491"/>
      <c r="C50" s="60">
        <v>75</v>
      </c>
      <c r="D50" s="324" t="s">
        <v>262</v>
      </c>
      <c r="E50" s="196">
        <v>45889</v>
      </c>
      <c r="F50" s="196">
        <v>46017</v>
      </c>
      <c r="G50" s="197">
        <f t="shared" si="17"/>
        <v>128</v>
      </c>
      <c r="H50" s="207">
        <f t="shared" si="26"/>
        <v>45889</v>
      </c>
      <c r="I50" s="207">
        <f t="shared" si="27"/>
        <v>46017</v>
      </c>
      <c r="J50" s="200" t="s">
        <v>17</v>
      </c>
      <c r="K50" s="201">
        <v>1360</v>
      </c>
      <c r="L50" s="202"/>
      <c r="M50" s="202"/>
      <c r="N50" s="199" t="str">
        <f t="shared" si="28"/>
        <v/>
      </c>
      <c r="O50" s="203" t="str">
        <f t="shared" si="29"/>
        <v>-</v>
      </c>
      <c r="P50" s="206">
        <f t="shared" si="30"/>
        <v>0</v>
      </c>
      <c r="Q50" s="208">
        <f t="shared" si="31"/>
        <v>0</v>
      </c>
      <c r="R50" s="205">
        <f t="shared" si="32"/>
        <v>1360</v>
      </c>
      <c r="S50" s="65">
        <f t="shared" si="33"/>
        <v>0</v>
      </c>
      <c r="T50" s="158">
        <f t="shared" si="9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69"/>
      <c r="CC50" s="169"/>
      <c r="CD50" s="169"/>
      <c r="CE50" s="169"/>
      <c r="CF50" s="169"/>
      <c r="CG50" s="169"/>
      <c r="CH50" s="169"/>
      <c r="CI50" s="169"/>
      <c r="CJ50" s="169"/>
      <c r="CK50" s="169"/>
      <c r="CL50" s="169"/>
      <c r="CM50" s="169"/>
      <c r="CN50" s="169"/>
      <c r="CO50" s="169"/>
      <c r="CP50" s="169"/>
      <c r="CQ50" s="169"/>
      <c r="CR50" s="169"/>
      <c r="CS50" s="169"/>
      <c r="CT50" s="169"/>
      <c r="CU50" s="169"/>
      <c r="CV50" s="169"/>
      <c r="CW50" s="169"/>
      <c r="CX50" s="169"/>
      <c r="CY50" s="169"/>
      <c r="CZ50" s="169"/>
      <c r="DA50" s="169"/>
      <c r="DB50" s="169"/>
      <c r="DC50" s="169"/>
      <c r="DD50" s="169"/>
      <c r="DE50" s="169"/>
      <c r="DF50" s="169"/>
    </row>
    <row r="51" spans="2:110" x14ac:dyDescent="0.4">
      <c r="B51" s="491" t="s">
        <v>180</v>
      </c>
      <c r="C51" s="60">
        <v>76</v>
      </c>
      <c r="D51" s="324" t="s">
        <v>265</v>
      </c>
      <c r="E51" s="196">
        <v>45912</v>
      </c>
      <c r="F51" s="196">
        <v>45982</v>
      </c>
      <c r="G51" s="197">
        <f t="shared" si="17"/>
        <v>70</v>
      </c>
      <c r="H51" s="207">
        <f t="shared" si="26"/>
        <v>45912</v>
      </c>
      <c r="I51" s="207">
        <f t="shared" si="27"/>
        <v>45982</v>
      </c>
      <c r="J51" s="200" t="s">
        <v>107</v>
      </c>
      <c r="K51" s="201">
        <v>74</v>
      </c>
      <c r="L51" s="202"/>
      <c r="M51" s="202"/>
      <c r="N51" s="199" t="str">
        <f t="shared" si="28"/>
        <v/>
      </c>
      <c r="O51" s="203" t="str">
        <f t="shared" si="29"/>
        <v>-</v>
      </c>
      <c r="P51" s="206">
        <f t="shared" si="30"/>
        <v>0</v>
      </c>
      <c r="Q51" s="208">
        <f t="shared" si="31"/>
        <v>0</v>
      </c>
      <c r="R51" s="205">
        <f t="shared" si="32"/>
        <v>74</v>
      </c>
      <c r="S51" s="65">
        <f t="shared" si="33"/>
        <v>0</v>
      </c>
      <c r="T51" s="158">
        <f t="shared" si="9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9"/>
      <c r="BP51" s="169"/>
      <c r="BQ51" s="169"/>
      <c r="BR51" s="169"/>
      <c r="BS51" s="169"/>
      <c r="BT51" s="169"/>
      <c r="BU51" s="169"/>
      <c r="BV51" s="169"/>
      <c r="BW51" s="169"/>
      <c r="BX51" s="169"/>
      <c r="BY51" s="169"/>
      <c r="BZ51" s="169"/>
      <c r="CA51" s="169"/>
      <c r="CB51" s="169"/>
      <c r="CC51" s="169"/>
      <c r="CD51" s="169"/>
      <c r="CE51" s="169"/>
      <c r="CF51" s="169"/>
      <c r="CG51" s="169"/>
      <c r="CH51" s="169"/>
      <c r="CI51" s="169"/>
      <c r="CJ51" s="169"/>
      <c r="CK51" s="169"/>
      <c r="CL51" s="169"/>
      <c r="CM51" s="169"/>
      <c r="CN51" s="169"/>
      <c r="CO51" s="169"/>
      <c r="CP51" s="169"/>
      <c r="CQ51" s="169"/>
      <c r="CR51" s="169"/>
      <c r="CS51" s="169"/>
      <c r="CT51" s="169"/>
      <c r="CU51" s="169"/>
      <c r="CV51" s="169"/>
      <c r="CW51" s="169"/>
      <c r="CX51" s="169"/>
      <c r="CY51" s="169"/>
      <c r="CZ51" s="169"/>
      <c r="DA51" s="169"/>
      <c r="DB51" s="169"/>
      <c r="DC51" s="169"/>
      <c r="DD51" s="169"/>
      <c r="DE51" s="169"/>
      <c r="DF51" s="169"/>
    </row>
    <row r="52" spans="2:110" x14ac:dyDescent="0.4">
      <c r="B52" s="491"/>
      <c r="C52" s="60">
        <v>77</v>
      </c>
      <c r="D52" s="324" t="s">
        <v>181</v>
      </c>
      <c r="E52" s="196">
        <v>45912</v>
      </c>
      <c r="F52" s="196">
        <v>45982</v>
      </c>
      <c r="G52" s="197">
        <f t="shared" si="17"/>
        <v>70</v>
      </c>
      <c r="H52" s="207">
        <f t="shared" si="26"/>
        <v>45912</v>
      </c>
      <c r="I52" s="207">
        <f t="shared" si="27"/>
        <v>45982</v>
      </c>
      <c r="J52" s="200" t="s">
        <v>107</v>
      </c>
      <c r="K52" s="201">
        <v>26</v>
      </c>
      <c r="L52" s="202"/>
      <c r="M52" s="202"/>
      <c r="N52" s="199" t="str">
        <f t="shared" si="28"/>
        <v/>
      </c>
      <c r="O52" s="203" t="str">
        <f t="shared" si="29"/>
        <v>-</v>
      </c>
      <c r="P52" s="206">
        <f t="shared" si="30"/>
        <v>0</v>
      </c>
      <c r="Q52" s="208">
        <f t="shared" si="31"/>
        <v>0</v>
      </c>
      <c r="R52" s="205">
        <f t="shared" si="32"/>
        <v>26</v>
      </c>
      <c r="S52" s="65">
        <f t="shared" si="33"/>
        <v>0</v>
      </c>
      <c r="T52" s="158">
        <f t="shared" si="9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9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169"/>
    </row>
    <row r="53" spans="2:110" x14ac:dyDescent="0.4">
      <c r="B53" s="491"/>
      <c r="C53" s="60">
        <v>78</v>
      </c>
      <c r="D53" s="324" t="s">
        <v>182</v>
      </c>
      <c r="E53" s="196">
        <v>45919</v>
      </c>
      <c r="F53" s="196">
        <v>45994</v>
      </c>
      <c r="G53" s="197">
        <f t="shared" si="17"/>
        <v>75</v>
      </c>
      <c r="H53" s="207">
        <f t="shared" si="26"/>
        <v>45919</v>
      </c>
      <c r="I53" s="207">
        <f t="shared" si="27"/>
        <v>45994</v>
      </c>
      <c r="J53" s="200" t="s">
        <v>107</v>
      </c>
      <c r="K53" s="201">
        <v>26</v>
      </c>
      <c r="L53" s="202"/>
      <c r="M53" s="202"/>
      <c r="N53" s="199" t="str">
        <f t="shared" si="28"/>
        <v/>
      </c>
      <c r="O53" s="203" t="str">
        <f t="shared" si="29"/>
        <v>-</v>
      </c>
      <c r="P53" s="206">
        <f t="shared" si="30"/>
        <v>0</v>
      </c>
      <c r="Q53" s="208">
        <f t="shared" si="31"/>
        <v>0</v>
      </c>
      <c r="R53" s="205">
        <f t="shared" si="32"/>
        <v>26</v>
      </c>
      <c r="S53" s="65">
        <f t="shared" si="33"/>
        <v>0</v>
      </c>
      <c r="T53" s="158">
        <f t="shared" si="9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9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9"/>
      <c r="CA53" s="169"/>
      <c r="CB53" s="169"/>
      <c r="CC53" s="169"/>
      <c r="CD53" s="169"/>
      <c r="CE53" s="169"/>
      <c r="CF53" s="169"/>
      <c r="CG53" s="169"/>
      <c r="CH53" s="169"/>
      <c r="CI53" s="169"/>
      <c r="CJ53" s="169"/>
      <c r="CK53" s="169"/>
      <c r="CL53" s="169"/>
      <c r="CM53" s="169"/>
      <c r="CN53" s="169"/>
      <c r="CO53" s="169"/>
      <c r="CP53" s="169"/>
      <c r="CQ53" s="169"/>
      <c r="CR53" s="169"/>
      <c r="CS53" s="169"/>
      <c r="CT53" s="169"/>
      <c r="CU53" s="169"/>
      <c r="CV53" s="169"/>
      <c r="CW53" s="169"/>
      <c r="CX53" s="169"/>
      <c r="CY53" s="169"/>
      <c r="CZ53" s="169"/>
      <c r="DA53" s="169"/>
      <c r="DB53" s="169"/>
      <c r="DC53" s="169"/>
      <c r="DD53" s="169"/>
      <c r="DE53" s="169"/>
      <c r="DF53" s="169"/>
    </row>
    <row r="54" spans="2:110" x14ac:dyDescent="0.4">
      <c r="B54" s="491"/>
      <c r="C54" s="60">
        <v>79</v>
      </c>
      <c r="D54" s="324" t="s">
        <v>183</v>
      </c>
      <c r="E54" s="196">
        <v>45919</v>
      </c>
      <c r="F54" s="196">
        <v>45959</v>
      </c>
      <c r="G54" s="197">
        <f t="shared" si="17"/>
        <v>40</v>
      </c>
      <c r="H54" s="207">
        <f t="shared" si="26"/>
        <v>45919</v>
      </c>
      <c r="I54" s="207">
        <f t="shared" si="27"/>
        <v>45959</v>
      </c>
      <c r="J54" s="200" t="s">
        <v>107</v>
      </c>
      <c r="K54" s="201">
        <v>26</v>
      </c>
      <c r="L54" s="202"/>
      <c r="M54" s="202"/>
      <c r="N54" s="199" t="str">
        <f t="shared" si="28"/>
        <v/>
      </c>
      <c r="O54" s="203" t="str">
        <f t="shared" si="29"/>
        <v>-</v>
      </c>
      <c r="P54" s="206">
        <f t="shared" si="30"/>
        <v>0</v>
      </c>
      <c r="Q54" s="208">
        <f t="shared" si="31"/>
        <v>0</v>
      </c>
      <c r="R54" s="205">
        <f t="shared" si="32"/>
        <v>26</v>
      </c>
      <c r="S54" s="65">
        <f t="shared" si="33"/>
        <v>0</v>
      </c>
      <c r="T54" s="158">
        <f t="shared" si="9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9"/>
      <c r="BP54" s="169"/>
      <c r="BQ54" s="169"/>
      <c r="BR54" s="169"/>
      <c r="BS54" s="169"/>
      <c r="BT54" s="169"/>
      <c r="BU54" s="169"/>
      <c r="BV54" s="169"/>
      <c r="BW54" s="169"/>
      <c r="BX54" s="169"/>
      <c r="BY54" s="169"/>
      <c r="BZ54" s="169"/>
      <c r="CA54" s="169"/>
      <c r="CB54" s="169"/>
      <c r="CC54" s="169"/>
      <c r="CD54" s="169"/>
      <c r="CE54" s="169"/>
      <c r="CF54" s="169"/>
      <c r="CG54" s="169"/>
      <c r="CH54" s="169"/>
      <c r="CI54" s="169"/>
      <c r="CJ54" s="169"/>
      <c r="CK54" s="169"/>
      <c r="CL54" s="169"/>
      <c r="CM54" s="169"/>
      <c r="CN54" s="169"/>
      <c r="CO54" s="169"/>
      <c r="CP54" s="169"/>
      <c r="CQ54" s="169"/>
      <c r="CR54" s="169"/>
      <c r="CS54" s="169"/>
      <c r="CT54" s="169"/>
      <c r="CU54" s="169"/>
      <c r="CV54" s="169"/>
      <c r="CW54" s="169"/>
      <c r="CX54" s="169"/>
      <c r="CY54" s="169"/>
      <c r="CZ54" s="169"/>
      <c r="DA54" s="169"/>
      <c r="DB54" s="169"/>
      <c r="DC54" s="169"/>
      <c r="DD54" s="169"/>
      <c r="DE54" s="169"/>
      <c r="DF54" s="169"/>
    </row>
    <row r="55" spans="2:110" x14ac:dyDescent="0.4">
      <c r="B55" s="491"/>
      <c r="C55" s="60">
        <v>80</v>
      </c>
      <c r="D55" s="324" t="s">
        <v>184</v>
      </c>
      <c r="E55" s="196">
        <v>45913</v>
      </c>
      <c r="F55" s="196">
        <v>45943</v>
      </c>
      <c r="G55" s="197">
        <f t="shared" si="17"/>
        <v>30</v>
      </c>
      <c r="H55" s="207">
        <f t="shared" si="26"/>
        <v>45913</v>
      </c>
      <c r="I55" s="207">
        <f t="shared" si="27"/>
        <v>45943</v>
      </c>
      <c r="J55" s="200" t="s">
        <v>107</v>
      </c>
      <c r="K55" s="201">
        <v>26</v>
      </c>
      <c r="L55" s="202"/>
      <c r="M55" s="202"/>
      <c r="N55" s="199" t="str">
        <f t="shared" si="28"/>
        <v/>
      </c>
      <c r="O55" s="203" t="str">
        <f t="shared" si="29"/>
        <v>-</v>
      </c>
      <c r="P55" s="206">
        <f t="shared" si="30"/>
        <v>0</v>
      </c>
      <c r="Q55" s="208">
        <f t="shared" si="31"/>
        <v>0</v>
      </c>
      <c r="R55" s="205">
        <f t="shared" si="32"/>
        <v>26</v>
      </c>
      <c r="S55" s="65">
        <f t="shared" si="33"/>
        <v>0</v>
      </c>
      <c r="T55" s="158">
        <f t="shared" ref="T55:T118" si="34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69"/>
      <c r="CC55" s="169"/>
      <c r="CD55" s="169"/>
      <c r="CE55" s="169"/>
      <c r="CF55" s="169"/>
      <c r="CG55" s="169"/>
      <c r="CH55" s="169"/>
      <c r="CI55" s="169"/>
      <c r="CJ55" s="169"/>
      <c r="CK55" s="169"/>
      <c r="CL55" s="169"/>
      <c r="CM55" s="169"/>
      <c r="CN55" s="169"/>
      <c r="CO55" s="169"/>
      <c r="CP55" s="169"/>
      <c r="CQ55" s="169"/>
      <c r="CR55" s="169"/>
      <c r="CS55" s="169"/>
      <c r="CT55" s="169"/>
      <c r="CU55" s="169"/>
      <c r="CV55" s="169"/>
      <c r="CW55" s="169"/>
      <c r="CX55" s="169"/>
      <c r="CY55" s="169"/>
      <c r="CZ55" s="169"/>
      <c r="DA55" s="169"/>
      <c r="DB55" s="169"/>
      <c r="DC55" s="169"/>
      <c r="DD55" s="169"/>
      <c r="DE55" s="169"/>
      <c r="DF55" s="169"/>
    </row>
    <row r="56" spans="2:110" x14ac:dyDescent="0.4">
      <c r="B56" s="491"/>
      <c r="C56" s="60">
        <v>82</v>
      </c>
      <c r="D56" s="324" t="s">
        <v>266</v>
      </c>
      <c r="E56" s="196">
        <v>45912</v>
      </c>
      <c r="F56" s="196">
        <v>45942</v>
      </c>
      <c r="G56" s="197">
        <f t="shared" si="17"/>
        <v>30</v>
      </c>
      <c r="H56" s="207">
        <f t="shared" si="26"/>
        <v>45912</v>
      </c>
      <c r="I56" s="207">
        <f t="shared" si="27"/>
        <v>45942</v>
      </c>
      <c r="J56" s="200" t="s">
        <v>107</v>
      </c>
      <c r="K56" s="201">
        <v>26</v>
      </c>
      <c r="L56" s="202"/>
      <c r="M56" s="202"/>
      <c r="N56" s="199" t="str">
        <f t="shared" si="28"/>
        <v/>
      </c>
      <c r="O56" s="203" t="str">
        <f t="shared" si="29"/>
        <v>-</v>
      </c>
      <c r="P56" s="206">
        <f t="shared" si="30"/>
        <v>0</v>
      </c>
      <c r="Q56" s="208">
        <f t="shared" si="31"/>
        <v>0</v>
      </c>
      <c r="R56" s="205">
        <f t="shared" si="32"/>
        <v>26</v>
      </c>
      <c r="S56" s="65">
        <f t="shared" ref="S56:S73" si="35">SUM(U56:XFD56)</f>
        <v>0</v>
      </c>
      <c r="T56" s="158">
        <f t="shared" si="34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9"/>
      <c r="BP56" s="169"/>
      <c r="BQ56" s="169"/>
      <c r="BR56" s="169"/>
      <c r="BS56" s="169"/>
      <c r="BT56" s="169"/>
      <c r="BU56" s="169"/>
      <c r="BV56" s="169"/>
      <c r="BW56" s="169"/>
      <c r="BX56" s="169"/>
      <c r="BY56" s="169"/>
      <c r="BZ56" s="169"/>
      <c r="CA56" s="169"/>
      <c r="CB56" s="169"/>
      <c r="CC56" s="169"/>
      <c r="CD56" s="169"/>
      <c r="CE56" s="169"/>
      <c r="CF56" s="169"/>
      <c r="CG56" s="169"/>
      <c r="CH56" s="169"/>
      <c r="CI56" s="169"/>
      <c r="CJ56" s="169"/>
      <c r="CK56" s="169"/>
      <c r="CL56" s="169"/>
      <c r="CM56" s="169"/>
      <c r="CN56" s="169"/>
      <c r="CO56" s="169"/>
      <c r="CP56" s="169"/>
      <c r="CQ56" s="169"/>
      <c r="CR56" s="169"/>
      <c r="CS56" s="169"/>
      <c r="CT56" s="169"/>
      <c r="CU56" s="169"/>
      <c r="CV56" s="169"/>
      <c r="CW56" s="169"/>
      <c r="CX56" s="169"/>
      <c r="CY56" s="169"/>
      <c r="CZ56" s="169"/>
      <c r="DA56" s="169"/>
      <c r="DB56" s="169"/>
      <c r="DC56" s="169"/>
      <c r="DD56" s="169"/>
      <c r="DE56" s="169"/>
      <c r="DF56" s="169"/>
    </row>
    <row r="57" spans="2:110" x14ac:dyDescent="0.4">
      <c r="B57" s="491"/>
      <c r="C57" s="60">
        <v>83</v>
      </c>
      <c r="D57" s="324" t="s">
        <v>186</v>
      </c>
      <c r="E57" s="196">
        <v>45940</v>
      </c>
      <c r="F57" s="196">
        <v>45991</v>
      </c>
      <c r="G57" s="197">
        <f t="shared" si="17"/>
        <v>51</v>
      </c>
      <c r="H57" s="207">
        <f t="shared" si="26"/>
        <v>45940</v>
      </c>
      <c r="I57" s="207">
        <f t="shared" si="27"/>
        <v>45991</v>
      </c>
      <c r="J57" s="200" t="s">
        <v>2</v>
      </c>
      <c r="K57" s="201">
        <v>26</v>
      </c>
      <c r="L57" s="202"/>
      <c r="M57" s="202"/>
      <c r="N57" s="199" t="str">
        <f t="shared" si="28"/>
        <v/>
      </c>
      <c r="O57" s="203" t="str">
        <f t="shared" si="29"/>
        <v>-</v>
      </c>
      <c r="P57" s="206">
        <f t="shared" si="30"/>
        <v>0</v>
      </c>
      <c r="Q57" s="208">
        <f t="shared" si="31"/>
        <v>0</v>
      </c>
      <c r="R57" s="205">
        <f t="shared" si="32"/>
        <v>26</v>
      </c>
      <c r="S57" s="65">
        <f t="shared" si="35"/>
        <v>0</v>
      </c>
      <c r="T57" s="158">
        <f t="shared" si="34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  <c r="CJ57" s="169"/>
      <c r="CK57" s="169"/>
      <c r="CL57" s="169"/>
      <c r="CM57" s="169"/>
      <c r="CN57" s="169"/>
      <c r="CO57" s="169"/>
      <c r="CP57" s="169"/>
      <c r="CQ57" s="169"/>
      <c r="CR57" s="169"/>
      <c r="CS57" s="169"/>
      <c r="CT57" s="169"/>
      <c r="CU57" s="169"/>
      <c r="CV57" s="169"/>
      <c r="CW57" s="169"/>
      <c r="CX57" s="169"/>
      <c r="CY57" s="169"/>
      <c r="CZ57" s="169"/>
      <c r="DA57" s="169"/>
      <c r="DB57" s="169"/>
      <c r="DC57" s="169"/>
      <c r="DD57" s="169"/>
      <c r="DE57" s="169"/>
      <c r="DF57" s="169"/>
    </row>
    <row r="58" spans="2:110" x14ac:dyDescent="0.4">
      <c r="B58" s="491"/>
      <c r="C58" s="60">
        <v>84</v>
      </c>
      <c r="D58" s="324" t="s">
        <v>187</v>
      </c>
      <c r="E58" s="196">
        <v>45945</v>
      </c>
      <c r="F58" s="196">
        <v>45996</v>
      </c>
      <c r="G58" s="197">
        <f t="shared" si="17"/>
        <v>51</v>
      </c>
      <c r="H58" s="207">
        <f t="shared" si="26"/>
        <v>45945</v>
      </c>
      <c r="I58" s="207">
        <f t="shared" si="27"/>
        <v>45996</v>
      </c>
      <c r="J58" s="200" t="s">
        <v>2</v>
      </c>
      <c r="K58" s="201">
        <v>26</v>
      </c>
      <c r="L58" s="202"/>
      <c r="M58" s="202"/>
      <c r="N58" s="199" t="str">
        <f t="shared" si="28"/>
        <v/>
      </c>
      <c r="O58" s="203" t="str">
        <f t="shared" si="29"/>
        <v>-</v>
      </c>
      <c r="P58" s="206">
        <f t="shared" si="30"/>
        <v>0</v>
      </c>
      <c r="Q58" s="208">
        <f t="shared" si="31"/>
        <v>0</v>
      </c>
      <c r="R58" s="205">
        <f t="shared" si="32"/>
        <v>26</v>
      </c>
      <c r="S58" s="65">
        <f t="shared" si="35"/>
        <v>0</v>
      </c>
      <c r="T58" s="158">
        <f t="shared" si="34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9"/>
      <c r="BP58" s="169"/>
      <c r="BQ58" s="169"/>
      <c r="BR58" s="169"/>
      <c r="BS58" s="169"/>
      <c r="BT58" s="169"/>
      <c r="BU58" s="169"/>
      <c r="BV58" s="169"/>
      <c r="BW58" s="169"/>
      <c r="BX58" s="169"/>
      <c r="BY58" s="169"/>
      <c r="BZ58" s="169"/>
      <c r="CA58" s="169"/>
      <c r="CB58" s="169"/>
      <c r="CC58" s="169"/>
      <c r="CD58" s="169"/>
      <c r="CE58" s="169"/>
      <c r="CF58" s="169"/>
      <c r="CG58" s="169"/>
      <c r="CH58" s="169"/>
      <c r="CI58" s="169"/>
      <c r="CJ58" s="169"/>
      <c r="CK58" s="169"/>
      <c r="CL58" s="169"/>
      <c r="CM58" s="169"/>
      <c r="CN58" s="169"/>
      <c r="CO58" s="169"/>
      <c r="CP58" s="169"/>
      <c r="CQ58" s="169"/>
      <c r="CR58" s="169"/>
      <c r="CS58" s="169"/>
      <c r="CT58" s="169"/>
      <c r="CU58" s="169"/>
      <c r="CV58" s="169"/>
      <c r="CW58" s="169"/>
      <c r="CX58" s="169"/>
      <c r="CY58" s="169"/>
      <c r="CZ58" s="169"/>
      <c r="DA58" s="169"/>
      <c r="DB58" s="169"/>
      <c r="DC58" s="169"/>
      <c r="DD58" s="169"/>
      <c r="DE58" s="169"/>
      <c r="DF58" s="169"/>
    </row>
    <row r="59" spans="2:110" x14ac:dyDescent="0.4">
      <c r="B59" s="491"/>
      <c r="C59" s="60">
        <v>85</v>
      </c>
      <c r="D59" s="324" t="s">
        <v>188</v>
      </c>
      <c r="E59" s="196">
        <v>45931</v>
      </c>
      <c r="F59" s="196">
        <v>45979</v>
      </c>
      <c r="G59" s="197">
        <f t="shared" si="17"/>
        <v>48</v>
      </c>
      <c r="H59" s="196">
        <f t="shared" si="26"/>
        <v>45931</v>
      </c>
      <c r="I59" s="196">
        <f t="shared" si="27"/>
        <v>45979</v>
      </c>
      <c r="J59" s="200" t="s">
        <v>2</v>
      </c>
      <c r="K59" s="201">
        <v>26</v>
      </c>
      <c r="L59" s="202"/>
      <c r="M59" s="202"/>
      <c r="N59" s="199" t="str">
        <f t="shared" si="28"/>
        <v/>
      </c>
      <c r="O59" s="203" t="str">
        <f t="shared" si="29"/>
        <v>-</v>
      </c>
      <c r="P59" s="206">
        <f t="shared" si="30"/>
        <v>0</v>
      </c>
      <c r="Q59" s="208">
        <f t="shared" si="31"/>
        <v>0</v>
      </c>
      <c r="R59" s="205">
        <f t="shared" si="32"/>
        <v>26</v>
      </c>
      <c r="S59" s="65">
        <f t="shared" si="35"/>
        <v>0</v>
      </c>
      <c r="T59" s="158">
        <f t="shared" si="34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</row>
    <row r="60" spans="2:110" x14ac:dyDescent="0.4">
      <c r="B60" s="491"/>
      <c r="C60" s="60">
        <v>86</v>
      </c>
      <c r="D60" s="324" t="s">
        <v>16</v>
      </c>
      <c r="E60" s="196">
        <v>45935</v>
      </c>
      <c r="F60" s="196">
        <v>46021</v>
      </c>
      <c r="G60" s="197">
        <f t="shared" si="17"/>
        <v>86</v>
      </c>
      <c r="H60" s="196">
        <f t="shared" si="26"/>
        <v>45935</v>
      </c>
      <c r="I60" s="196">
        <f t="shared" si="27"/>
        <v>46021</v>
      </c>
      <c r="J60" s="200" t="s">
        <v>2</v>
      </c>
      <c r="K60" s="201">
        <v>26</v>
      </c>
      <c r="L60" s="202"/>
      <c r="M60" s="202"/>
      <c r="N60" s="199" t="str">
        <f t="shared" si="28"/>
        <v/>
      </c>
      <c r="O60" s="203" t="str">
        <f t="shared" si="29"/>
        <v>-</v>
      </c>
      <c r="P60" s="206">
        <f t="shared" si="30"/>
        <v>0</v>
      </c>
      <c r="Q60" s="208">
        <f t="shared" si="31"/>
        <v>0</v>
      </c>
      <c r="R60" s="205">
        <f t="shared" si="32"/>
        <v>26</v>
      </c>
      <c r="S60" s="65">
        <f t="shared" si="35"/>
        <v>0</v>
      </c>
      <c r="T60" s="158">
        <f t="shared" si="34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9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69"/>
      <c r="CC60" s="169"/>
      <c r="CD60" s="169"/>
      <c r="CE60" s="169"/>
      <c r="CF60" s="169"/>
      <c r="CG60" s="169"/>
      <c r="CH60" s="169"/>
      <c r="CI60" s="169"/>
      <c r="CJ60" s="169"/>
      <c r="CK60" s="169"/>
      <c r="CL60" s="169"/>
      <c r="CM60" s="169"/>
      <c r="CN60" s="169"/>
      <c r="CO60" s="169"/>
      <c r="CP60" s="169"/>
      <c r="CQ60" s="169"/>
      <c r="CR60" s="169"/>
      <c r="CS60" s="169"/>
      <c r="CT60" s="169"/>
      <c r="CU60" s="169"/>
      <c r="CV60" s="169"/>
      <c r="CW60" s="169"/>
      <c r="CX60" s="169"/>
      <c r="CY60" s="169"/>
      <c r="CZ60" s="169"/>
      <c r="DA60" s="169"/>
      <c r="DB60" s="169"/>
      <c r="DC60" s="169"/>
      <c r="DD60" s="169"/>
      <c r="DE60" s="169"/>
      <c r="DF60" s="169"/>
    </row>
    <row r="61" spans="2:110" x14ac:dyDescent="0.4">
      <c r="B61" s="491"/>
      <c r="C61" s="60">
        <v>87</v>
      </c>
      <c r="D61" s="324" t="s">
        <v>189</v>
      </c>
      <c r="E61" s="196">
        <v>45940</v>
      </c>
      <c r="F61" s="196">
        <v>46021</v>
      </c>
      <c r="G61" s="197">
        <f t="shared" si="17"/>
        <v>81</v>
      </c>
      <c r="H61" s="196">
        <f t="shared" si="26"/>
        <v>45940</v>
      </c>
      <c r="I61" s="196">
        <f t="shared" si="27"/>
        <v>46021</v>
      </c>
      <c r="J61" s="200" t="s">
        <v>2</v>
      </c>
      <c r="K61" s="201">
        <v>26</v>
      </c>
      <c r="L61" s="202"/>
      <c r="M61" s="202"/>
      <c r="N61" s="199" t="str">
        <f t="shared" si="28"/>
        <v/>
      </c>
      <c r="O61" s="203" t="str">
        <f t="shared" si="29"/>
        <v>-</v>
      </c>
      <c r="P61" s="206">
        <f t="shared" si="30"/>
        <v>0</v>
      </c>
      <c r="Q61" s="208">
        <f t="shared" si="31"/>
        <v>0</v>
      </c>
      <c r="R61" s="205">
        <f t="shared" si="32"/>
        <v>26</v>
      </c>
      <c r="S61" s="65">
        <f t="shared" si="35"/>
        <v>0</v>
      </c>
      <c r="T61" s="158">
        <f t="shared" si="34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9"/>
      <c r="BP61" s="169"/>
      <c r="BQ61" s="169"/>
      <c r="BR61" s="169"/>
      <c r="BS61" s="169"/>
      <c r="BT61" s="169"/>
      <c r="BU61" s="169"/>
      <c r="BV61" s="169"/>
      <c r="BW61" s="169"/>
      <c r="BX61" s="169"/>
      <c r="BY61" s="169"/>
      <c r="BZ61" s="169"/>
      <c r="CA61" s="169"/>
      <c r="CB61" s="169"/>
      <c r="CC61" s="169"/>
      <c r="CD61" s="169"/>
      <c r="CE61" s="169"/>
      <c r="CF61" s="169"/>
      <c r="CG61" s="169"/>
      <c r="CH61" s="169"/>
      <c r="CI61" s="169"/>
      <c r="CJ61" s="169"/>
      <c r="CK61" s="169"/>
      <c r="CL61" s="169"/>
      <c r="CM61" s="169"/>
      <c r="CN61" s="169"/>
      <c r="CO61" s="169"/>
      <c r="CP61" s="169"/>
      <c r="CQ61" s="169"/>
      <c r="CR61" s="169"/>
      <c r="CS61" s="169"/>
      <c r="CT61" s="169"/>
      <c r="CU61" s="169"/>
      <c r="CV61" s="169"/>
      <c r="CW61" s="169"/>
      <c r="CX61" s="169"/>
      <c r="CY61" s="169"/>
      <c r="CZ61" s="169"/>
      <c r="DA61" s="169"/>
      <c r="DB61" s="169"/>
      <c r="DC61" s="169"/>
      <c r="DD61" s="169"/>
      <c r="DE61" s="169"/>
      <c r="DF61" s="169"/>
    </row>
    <row r="62" spans="2:110" x14ac:dyDescent="0.4">
      <c r="B62" s="491"/>
      <c r="C62" s="60">
        <v>88</v>
      </c>
      <c r="D62" s="324" t="s">
        <v>179</v>
      </c>
      <c r="E62" s="196">
        <v>45986</v>
      </c>
      <c r="F62" s="196">
        <v>46027</v>
      </c>
      <c r="G62" s="197">
        <f t="shared" si="17"/>
        <v>41</v>
      </c>
      <c r="H62" s="196">
        <f t="shared" ref="H62:H91" si="36">E62</f>
        <v>45986</v>
      </c>
      <c r="I62" s="196">
        <f t="shared" ref="I62:I91" si="37">F62</f>
        <v>46027</v>
      </c>
      <c r="J62" s="200" t="s">
        <v>2</v>
      </c>
      <c r="K62" s="201">
        <v>26</v>
      </c>
      <c r="L62" s="202"/>
      <c r="M62" s="202"/>
      <c r="N62" s="199" t="str">
        <f t="shared" si="28"/>
        <v/>
      </c>
      <c r="O62" s="203" t="str">
        <f t="shared" si="29"/>
        <v>-</v>
      </c>
      <c r="P62" s="206">
        <f t="shared" si="30"/>
        <v>0</v>
      </c>
      <c r="Q62" s="208">
        <f t="shared" si="31"/>
        <v>0</v>
      </c>
      <c r="R62" s="205">
        <f t="shared" si="32"/>
        <v>26</v>
      </c>
      <c r="S62" s="65">
        <f t="shared" si="35"/>
        <v>0</v>
      </c>
      <c r="T62" s="158">
        <f t="shared" si="34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  <c r="CJ62" s="169"/>
      <c r="CK62" s="169"/>
      <c r="CL62" s="169"/>
      <c r="CM62" s="169"/>
      <c r="CN62" s="169"/>
      <c r="CO62" s="169"/>
      <c r="CP62" s="169"/>
      <c r="CQ62" s="169"/>
      <c r="CR62" s="169"/>
      <c r="CS62" s="169"/>
      <c r="CT62" s="169"/>
      <c r="CU62" s="169"/>
      <c r="CV62" s="169"/>
      <c r="CW62" s="169"/>
      <c r="CX62" s="169"/>
      <c r="CY62" s="169"/>
      <c r="CZ62" s="169"/>
      <c r="DA62" s="169"/>
      <c r="DB62" s="169"/>
      <c r="DC62" s="169"/>
      <c r="DD62" s="169"/>
      <c r="DE62" s="169"/>
      <c r="DF62" s="169"/>
    </row>
    <row r="63" spans="2:110" x14ac:dyDescent="0.4">
      <c r="B63" s="491" t="s">
        <v>190</v>
      </c>
      <c r="C63" s="60">
        <v>89</v>
      </c>
      <c r="D63" s="324" t="s">
        <v>191</v>
      </c>
      <c r="E63" s="196">
        <v>45950</v>
      </c>
      <c r="F63" s="196">
        <v>45976</v>
      </c>
      <c r="G63" s="197">
        <f t="shared" si="17"/>
        <v>26</v>
      </c>
      <c r="H63" s="196">
        <f t="shared" si="36"/>
        <v>45950</v>
      </c>
      <c r="I63" s="196">
        <f t="shared" si="37"/>
        <v>45976</v>
      </c>
      <c r="J63" s="200" t="s">
        <v>11</v>
      </c>
      <c r="K63" s="201">
        <v>1</v>
      </c>
      <c r="L63" s="202"/>
      <c r="M63" s="202"/>
      <c r="N63" s="199" t="str">
        <f t="shared" si="28"/>
        <v/>
      </c>
      <c r="O63" s="203" t="str">
        <f t="shared" si="29"/>
        <v>-</v>
      </c>
      <c r="P63" s="206">
        <f t="shared" si="30"/>
        <v>0</v>
      </c>
      <c r="Q63" s="208">
        <f t="shared" si="31"/>
        <v>0</v>
      </c>
      <c r="R63" s="205">
        <f t="shared" si="32"/>
        <v>1</v>
      </c>
      <c r="S63" s="65">
        <f t="shared" si="35"/>
        <v>0</v>
      </c>
      <c r="T63" s="158">
        <f t="shared" si="34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9"/>
      <c r="BP63" s="169"/>
      <c r="BQ63" s="169"/>
      <c r="BR63" s="169"/>
      <c r="BS63" s="169"/>
      <c r="BT63" s="169"/>
      <c r="BU63" s="169"/>
      <c r="BV63" s="169"/>
      <c r="BW63" s="169"/>
      <c r="BX63" s="169"/>
      <c r="BY63" s="169"/>
      <c r="BZ63" s="169"/>
      <c r="CA63" s="169"/>
      <c r="CB63" s="169"/>
      <c r="CC63" s="169"/>
      <c r="CD63" s="169"/>
      <c r="CE63" s="169"/>
      <c r="CF63" s="169"/>
      <c r="CG63" s="169"/>
      <c r="CH63" s="169"/>
      <c r="CI63" s="169"/>
      <c r="CJ63" s="169"/>
      <c r="CK63" s="169"/>
      <c r="CL63" s="169"/>
      <c r="CM63" s="169"/>
      <c r="CN63" s="169"/>
      <c r="CO63" s="169"/>
      <c r="CP63" s="169"/>
      <c r="CQ63" s="169"/>
      <c r="CR63" s="169"/>
      <c r="CS63" s="169"/>
      <c r="CT63" s="169"/>
      <c r="CU63" s="169"/>
      <c r="CV63" s="169"/>
      <c r="CW63" s="169"/>
      <c r="CX63" s="169"/>
      <c r="CY63" s="169"/>
      <c r="CZ63" s="169"/>
      <c r="DA63" s="169"/>
      <c r="DB63" s="169"/>
      <c r="DC63" s="169"/>
      <c r="DD63" s="169"/>
      <c r="DE63" s="169"/>
      <c r="DF63" s="169"/>
    </row>
    <row r="64" spans="2:110" x14ac:dyDescent="0.4">
      <c r="B64" s="491"/>
      <c r="C64" s="60">
        <v>90</v>
      </c>
      <c r="D64" s="324" t="s">
        <v>192</v>
      </c>
      <c r="E64" s="196">
        <v>45919</v>
      </c>
      <c r="F64" s="196">
        <v>45959</v>
      </c>
      <c r="G64" s="197">
        <f t="shared" si="17"/>
        <v>40</v>
      </c>
      <c r="H64" s="196">
        <f t="shared" si="36"/>
        <v>45919</v>
      </c>
      <c r="I64" s="196">
        <f t="shared" si="37"/>
        <v>45959</v>
      </c>
      <c r="J64" s="200" t="s">
        <v>11</v>
      </c>
      <c r="K64" s="201">
        <v>1</v>
      </c>
      <c r="L64" s="202"/>
      <c r="M64" s="202"/>
      <c r="N64" s="199" t="str">
        <f t="shared" si="28"/>
        <v/>
      </c>
      <c r="O64" s="203" t="str">
        <f t="shared" si="29"/>
        <v>-</v>
      </c>
      <c r="P64" s="206">
        <f t="shared" si="30"/>
        <v>0</v>
      </c>
      <c r="Q64" s="208">
        <f t="shared" si="31"/>
        <v>0</v>
      </c>
      <c r="R64" s="205">
        <f t="shared" si="32"/>
        <v>1</v>
      </c>
      <c r="S64" s="65">
        <f t="shared" si="35"/>
        <v>0</v>
      </c>
      <c r="T64" s="158">
        <f t="shared" si="34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9"/>
      <c r="BP64" s="169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69"/>
      <c r="CB64" s="169"/>
      <c r="CC64" s="169"/>
      <c r="CD64" s="169"/>
      <c r="CE64" s="169"/>
      <c r="CF64" s="169"/>
      <c r="CG64" s="169"/>
      <c r="CH64" s="169"/>
      <c r="CI64" s="169"/>
      <c r="CJ64" s="169"/>
      <c r="CK64" s="169"/>
      <c r="CL64" s="169"/>
      <c r="CM64" s="169"/>
      <c r="CN64" s="169"/>
      <c r="CO64" s="169"/>
      <c r="CP64" s="169"/>
      <c r="CQ64" s="169"/>
      <c r="CR64" s="169"/>
      <c r="CS64" s="169"/>
      <c r="CT64" s="169"/>
      <c r="CU64" s="169"/>
      <c r="CV64" s="169"/>
      <c r="CW64" s="169"/>
      <c r="CX64" s="169"/>
      <c r="CY64" s="169"/>
      <c r="CZ64" s="169"/>
      <c r="DA64" s="169"/>
      <c r="DB64" s="169"/>
      <c r="DC64" s="169"/>
      <c r="DD64" s="169"/>
      <c r="DE64" s="169"/>
      <c r="DF64" s="169"/>
    </row>
    <row r="65" spans="2:110" x14ac:dyDescent="0.4">
      <c r="B65" s="491"/>
      <c r="C65" s="60">
        <v>91</v>
      </c>
      <c r="D65" s="324" t="s">
        <v>193</v>
      </c>
      <c r="E65" s="196">
        <v>45935</v>
      </c>
      <c r="F65" s="196">
        <v>45971</v>
      </c>
      <c r="G65" s="197">
        <f t="shared" si="17"/>
        <v>36</v>
      </c>
      <c r="H65" s="196">
        <f t="shared" si="36"/>
        <v>45935</v>
      </c>
      <c r="I65" s="196">
        <f t="shared" si="37"/>
        <v>45971</v>
      </c>
      <c r="J65" s="200" t="s">
        <v>11</v>
      </c>
      <c r="K65" s="201">
        <v>1</v>
      </c>
      <c r="L65" s="202"/>
      <c r="M65" s="202"/>
      <c r="N65" s="199" t="str">
        <f t="shared" si="28"/>
        <v/>
      </c>
      <c r="O65" s="203" t="str">
        <f t="shared" si="29"/>
        <v>-</v>
      </c>
      <c r="P65" s="206">
        <f t="shared" si="30"/>
        <v>0</v>
      </c>
      <c r="Q65" s="208">
        <f t="shared" si="31"/>
        <v>0</v>
      </c>
      <c r="R65" s="205">
        <f t="shared" si="32"/>
        <v>1</v>
      </c>
      <c r="S65" s="65">
        <f t="shared" si="35"/>
        <v>0</v>
      </c>
      <c r="T65" s="158">
        <f t="shared" si="34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9"/>
      <c r="BP65" s="169"/>
      <c r="BQ65" s="169"/>
      <c r="BR65" s="169"/>
      <c r="BS65" s="169"/>
      <c r="BT65" s="169"/>
      <c r="BU65" s="169"/>
      <c r="BV65" s="169"/>
      <c r="BW65" s="169"/>
      <c r="BX65" s="169"/>
      <c r="BY65" s="169"/>
      <c r="BZ65" s="169"/>
      <c r="CA65" s="169"/>
      <c r="CB65" s="169"/>
      <c r="CC65" s="169"/>
      <c r="CD65" s="169"/>
      <c r="CE65" s="169"/>
      <c r="CF65" s="169"/>
      <c r="CG65" s="169"/>
      <c r="CH65" s="169"/>
      <c r="CI65" s="169"/>
      <c r="CJ65" s="169"/>
      <c r="CK65" s="169"/>
      <c r="CL65" s="169"/>
      <c r="CM65" s="169"/>
      <c r="CN65" s="169"/>
      <c r="CO65" s="169"/>
      <c r="CP65" s="169"/>
      <c r="CQ65" s="169"/>
      <c r="CR65" s="169"/>
      <c r="CS65" s="169"/>
      <c r="CT65" s="169"/>
      <c r="CU65" s="169"/>
      <c r="CV65" s="169"/>
      <c r="CW65" s="169"/>
      <c r="CX65" s="169"/>
      <c r="CY65" s="169"/>
      <c r="CZ65" s="169"/>
      <c r="DA65" s="169"/>
      <c r="DB65" s="169"/>
      <c r="DC65" s="169"/>
      <c r="DD65" s="169"/>
      <c r="DE65" s="169"/>
      <c r="DF65" s="169"/>
    </row>
    <row r="66" spans="2:110" ht="29" x14ac:dyDescent="0.4">
      <c r="B66" s="491"/>
      <c r="C66" s="60">
        <v>92</v>
      </c>
      <c r="D66" s="324" t="s">
        <v>194</v>
      </c>
      <c r="E66" s="196">
        <v>45996</v>
      </c>
      <c r="F66" s="196">
        <v>46027</v>
      </c>
      <c r="G66" s="197">
        <f t="shared" si="17"/>
        <v>31</v>
      </c>
      <c r="H66" s="196">
        <f t="shared" si="36"/>
        <v>45996</v>
      </c>
      <c r="I66" s="196">
        <f t="shared" si="37"/>
        <v>46027</v>
      </c>
      <c r="J66" s="200" t="s">
        <v>11</v>
      </c>
      <c r="K66" s="201">
        <v>1</v>
      </c>
      <c r="L66" s="202"/>
      <c r="M66" s="202"/>
      <c r="N66" s="199" t="str">
        <f t="shared" si="28"/>
        <v/>
      </c>
      <c r="O66" s="203" t="str">
        <f t="shared" si="29"/>
        <v>-</v>
      </c>
      <c r="P66" s="206">
        <f t="shared" si="30"/>
        <v>0</v>
      </c>
      <c r="Q66" s="208">
        <f t="shared" si="31"/>
        <v>0</v>
      </c>
      <c r="R66" s="205">
        <f t="shared" si="32"/>
        <v>1</v>
      </c>
      <c r="S66" s="65">
        <f t="shared" si="35"/>
        <v>0</v>
      </c>
      <c r="T66" s="158">
        <f t="shared" si="34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9"/>
      <c r="BP66" s="169"/>
      <c r="BQ66" s="169"/>
      <c r="BR66" s="169"/>
      <c r="BS66" s="169"/>
      <c r="BT66" s="169"/>
      <c r="BU66" s="169"/>
      <c r="BV66" s="169"/>
      <c r="BW66" s="169"/>
      <c r="BX66" s="169"/>
      <c r="BY66" s="169"/>
      <c r="BZ66" s="169"/>
      <c r="CA66" s="169"/>
      <c r="CB66" s="169"/>
      <c r="CC66" s="169"/>
      <c r="CD66" s="169"/>
      <c r="CE66" s="169"/>
      <c r="CF66" s="169"/>
      <c r="CG66" s="169"/>
      <c r="CH66" s="169"/>
      <c r="CI66" s="169"/>
      <c r="CJ66" s="169"/>
      <c r="CK66" s="169"/>
      <c r="CL66" s="169"/>
      <c r="CM66" s="169"/>
      <c r="CN66" s="169"/>
      <c r="CO66" s="169"/>
      <c r="CP66" s="169"/>
      <c r="CQ66" s="169"/>
      <c r="CR66" s="169"/>
      <c r="CS66" s="169"/>
      <c r="CT66" s="169"/>
      <c r="CU66" s="169"/>
      <c r="CV66" s="169"/>
      <c r="CW66" s="169"/>
      <c r="CX66" s="169"/>
      <c r="CY66" s="169"/>
      <c r="CZ66" s="169"/>
      <c r="DA66" s="169"/>
      <c r="DB66" s="169"/>
      <c r="DC66" s="169"/>
      <c r="DD66" s="169"/>
      <c r="DE66" s="169"/>
      <c r="DF66" s="169"/>
    </row>
    <row r="67" spans="2:110" x14ac:dyDescent="0.4">
      <c r="B67" s="491"/>
      <c r="C67" s="60">
        <v>93</v>
      </c>
      <c r="D67" s="324" t="s">
        <v>431</v>
      </c>
      <c r="E67" s="196">
        <v>46024</v>
      </c>
      <c r="F67" s="196">
        <v>46042</v>
      </c>
      <c r="G67" s="197">
        <f t="shared" si="17"/>
        <v>18</v>
      </c>
      <c r="H67" s="196">
        <f t="shared" si="36"/>
        <v>46024</v>
      </c>
      <c r="I67" s="196">
        <f t="shared" si="37"/>
        <v>46042</v>
      </c>
      <c r="J67" s="200" t="s">
        <v>11</v>
      </c>
      <c r="K67" s="201">
        <v>1</v>
      </c>
      <c r="L67" s="202"/>
      <c r="M67" s="202"/>
      <c r="N67" s="199" t="str">
        <f t="shared" si="28"/>
        <v/>
      </c>
      <c r="O67" s="203" t="str">
        <f t="shared" si="29"/>
        <v>-</v>
      </c>
      <c r="P67" s="206">
        <f t="shared" si="30"/>
        <v>0</v>
      </c>
      <c r="Q67" s="208">
        <f t="shared" si="31"/>
        <v>0</v>
      </c>
      <c r="R67" s="205">
        <f t="shared" si="32"/>
        <v>1</v>
      </c>
      <c r="S67" s="65">
        <f t="shared" si="35"/>
        <v>0</v>
      </c>
      <c r="T67" s="158">
        <f t="shared" si="34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9"/>
      <c r="BP67" s="169"/>
      <c r="BQ67" s="169"/>
      <c r="BR67" s="169"/>
      <c r="BS67" s="169"/>
      <c r="BT67" s="169"/>
      <c r="BU67" s="169"/>
      <c r="BV67" s="169"/>
      <c r="BW67" s="169"/>
      <c r="BX67" s="169"/>
      <c r="BY67" s="169"/>
      <c r="BZ67" s="169"/>
      <c r="CA67" s="169"/>
      <c r="CB67" s="169"/>
      <c r="CC67" s="169"/>
      <c r="CD67" s="169"/>
      <c r="CE67" s="169"/>
      <c r="CF67" s="169"/>
      <c r="CG67" s="169"/>
      <c r="CH67" s="169"/>
      <c r="CI67" s="169"/>
      <c r="CJ67" s="169"/>
      <c r="CK67" s="169"/>
      <c r="CL67" s="169"/>
      <c r="CM67" s="169"/>
      <c r="CN67" s="169"/>
      <c r="CO67" s="169"/>
      <c r="CP67" s="169"/>
      <c r="CQ67" s="169"/>
      <c r="CR67" s="169"/>
      <c r="CS67" s="169"/>
      <c r="CT67" s="169"/>
      <c r="CU67" s="169"/>
      <c r="CV67" s="169"/>
      <c r="CW67" s="169"/>
      <c r="CX67" s="169"/>
      <c r="CY67" s="169"/>
      <c r="CZ67" s="169"/>
      <c r="DA67" s="169"/>
      <c r="DB67" s="169"/>
      <c r="DC67" s="169"/>
      <c r="DD67" s="169"/>
      <c r="DE67" s="169"/>
      <c r="DF67" s="169"/>
    </row>
    <row r="68" spans="2:110" ht="29" x14ac:dyDescent="0.4">
      <c r="B68" s="491"/>
      <c r="C68" s="60">
        <v>94</v>
      </c>
      <c r="D68" s="324" t="s">
        <v>196</v>
      </c>
      <c r="E68" s="196">
        <v>46016</v>
      </c>
      <c r="F68" s="196">
        <f>E68+8</f>
        <v>46024</v>
      </c>
      <c r="G68" s="197">
        <f t="shared" si="17"/>
        <v>8</v>
      </c>
      <c r="H68" s="196">
        <f t="shared" si="36"/>
        <v>46016</v>
      </c>
      <c r="I68" s="196">
        <f t="shared" si="37"/>
        <v>46024</v>
      </c>
      <c r="J68" s="200" t="s">
        <v>11</v>
      </c>
      <c r="K68" s="201">
        <v>1</v>
      </c>
      <c r="L68" s="202"/>
      <c r="M68" s="202"/>
      <c r="N68" s="199" t="str">
        <f t="shared" si="28"/>
        <v/>
      </c>
      <c r="O68" s="203" t="str">
        <f t="shared" si="29"/>
        <v>-</v>
      </c>
      <c r="P68" s="206">
        <f t="shared" si="30"/>
        <v>0</v>
      </c>
      <c r="Q68" s="208">
        <f t="shared" si="31"/>
        <v>0</v>
      </c>
      <c r="R68" s="205">
        <f t="shared" si="32"/>
        <v>1</v>
      </c>
      <c r="S68" s="65">
        <f t="shared" si="35"/>
        <v>0</v>
      </c>
      <c r="T68" s="158">
        <f t="shared" si="34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69"/>
      <c r="CC68" s="169"/>
      <c r="CD68" s="169"/>
      <c r="CE68" s="169"/>
      <c r="CF68" s="169"/>
      <c r="CG68" s="169"/>
      <c r="CH68" s="169"/>
      <c r="CI68" s="169"/>
      <c r="CJ68" s="169"/>
      <c r="CK68" s="169"/>
      <c r="CL68" s="169"/>
      <c r="CM68" s="169"/>
      <c r="CN68" s="169"/>
      <c r="CO68" s="169"/>
      <c r="CP68" s="169"/>
      <c r="CQ68" s="169"/>
      <c r="CR68" s="169"/>
      <c r="CS68" s="169"/>
      <c r="CT68" s="169"/>
      <c r="CU68" s="169"/>
      <c r="CV68" s="169"/>
      <c r="CW68" s="169"/>
      <c r="CX68" s="169"/>
      <c r="CY68" s="169"/>
      <c r="CZ68" s="169"/>
      <c r="DA68" s="169"/>
      <c r="DB68" s="169"/>
      <c r="DC68" s="169"/>
      <c r="DD68" s="169"/>
      <c r="DE68" s="169"/>
      <c r="DF68" s="169"/>
    </row>
    <row r="69" spans="2:110" ht="29" x14ac:dyDescent="0.4">
      <c r="B69" s="491"/>
      <c r="C69" s="60">
        <v>95</v>
      </c>
      <c r="D69" s="324" t="s">
        <v>197</v>
      </c>
      <c r="E69" s="196">
        <v>46011</v>
      </c>
      <c r="F69" s="196">
        <f>E69+8</f>
        <v>46019</v>
      </c>
      <c r="G69" s="197">
        <f t="shared" si="17"/>
        <v>8</v>
      </c>
      <c r="H69" s="196">
        <f t="shared" si="36"/>
        <v>46011</v>
      </c>
      <c r="I69" s="196">
        <f t="shared" si="37"/>
        <v>46019</v>
      </c>
      <c r="J69" s="200" t="s">
        <v>11</v>
      </c>
      <c r="K69" s="201">
        <v>1</v>
      </c>
      <c r="L69" s="202"/>
      <c r="M69" s="202"/>
      <c r="N69" s="199" t="str">
        <f t="shared" si="28"/>
        <v/>
      </c>
      <c r="O69" s="203" t="str">
        <f t="shared" si="29"/>
        <v>-</v>
      </c>
      <c r="P69" s="206">
        <f t="shared" si="30"/>
        <v>0</v>
      </c>
      <c r="Q69" s="208">
        <f t="shared" si="31"/>
        <v>0</v>
      </c>
      <c r="R69" s="205">
        <f t="shared" si="32"/>
        <v>1</v>
      </c>
      <c r="S69" s="65">
        <f t="shared" si="35"/>
        <v>0</v>
      </c>
      <c r="T69" s="158">
        <f t="shared" si="34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</row>
    <row r="70" spans="2:110" x14ac:dyDescent="0.4">
      <c r="B70" s="491"/>
      <c r="C70" s="60">
        <v>96</v>
      </c>
      <c r="D70" s="324" t="s">
        <v>198</v>
      </c>
      <c r="E70" s="196">
        <f>F69</f>
        <v>46019</v>
      </c>
      <c r="F70" s="196">
        <f>E70+8</f>
        <v>46027</v>
      </c>
      <c r="G70" s="197">
        <f t="shared" si="17"/>
        <v>8</v>
      </c>
      <c r="H70" s="196">
        <f t="shared" si="36"/>
        <v>46019</v>
      </c>
      <c r="I70" s="196">
        <f t="shared" si="37"/>
        <v>46027</v>
      </c>
      <c r="J70" s="200" t="s">
        <v>11</v>
      </c>
      <c r="K70" s="201">
        <v>1</v>
      </c>
      <c r="L70" s="202"/>
      <c r="M70" s="202"/>
      <c r="N70" s="199" t="str">
        <f t="shared" si="28"/>
        <v/>
      </c>
      <c r="O70" s="203" t="str">
        <f t="shared" si="29"/>
        <v>-</v>
      </c>
      <c r="P70" s="206">
        <f t="shared" si="30"/>
        <v>0</v>
      </c>
      <c r="Q70" s="208">
        <f t="shared" si="31"/>
        <v>0</v>
      </c>
      <c r="R70" s="205">
        <f t="shared" si="32"/>
        <v>1</v>
      </c>
      <c r="S70" s="65">
        <f t="shared" si="35"/>
        <v>0</v>
      </c>
      <c r="T70" s="158">
        <f t="shared" si="34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69"/>
      <c r="CB70" s="169"/>
      <c r="CC70" s="169"/>
      <c r="CD70" s="169"/>
      <c r="CE70" s="169"/>
      <c r="CF70" s="169"/>
      <c r="CG70" s="169"/>
      <c r="CH70" s="169"/>
      <c r="CI70" s="169"/>
      <c r="CJ70" s="169"/>
      <c r="CK70" s="169"/>
      <c r="CL70" s="169"/>
      <c r="CM70" s="169"/>
      <c r="CN70" s="169"/>
      <c r="CO70" s="169"/>
      <c r="CP70" s="169"/>
      <c r="CQ70" s="169"/>
      <c r="CR70" s="169"/>
      <c r="CS70" s="169"/>
      <c r="CT70" s="169"/>
      <c r="CU70" s="169"/>
      <c r="CV70" s="169"/>
      <c r="CW70" s="169"/>
      <c r="CX70" s="169"/>
      <c r="CY70" s="169"/>
      <c r="CZ70" s="169"/>
      <c r="DA70" s="169"/>
      <c r="DB70" s="169"/>
      <c r="DC70" s="169"/>
      <c r="DD70" s="169"/>
      <c r="DE70" s="169"/>
      <c r="DF70" s="169"/>
    </row>
    <row r="71" spans="2:110" x14ac:dyDescent="0.4">
      <c r="B71" s="491"/>
      <c r="C71" s="60">
        <v>97</v>
      </c>
      <c r="D71" s="324" t="s">
        <v>199</v>
      </c>
      <c r="E71" s="196">
        <v>46016</v>
      </c>
      <c r="F71" s="196">
        <v>46027</v>
      </c>
      <c r="G71" s="197">
        <f t="shared" si="17"/>
        <v>11</v>
      </c>
      <c r="H71" s="196">
        <f t="shared" si="36"/>
        <v>46016</v>
      </c>
      <c r="I71" s="196">
        <f t="shared" si="37"/>
        <v>46027</v>
      </c>
      <c r="J71" s="200" t="s">
        <v>11</v>
      </c>
      <c r="K71" s="201">
        <v>1</v>
      </c>
      <c r="L71" s="202"/>
      <c r="M71" s="202"/>
      <c r="N71" s="199" t="str">
        <f t="shared" si="28"/>
        <v/>
      </c>
      <c r="O71" s="203" t="str">
        <f t="shared" si="29"/>
        <v>-</v>
      </c>
      <c r="P71" s="206">
        <f t="shared" si="30"/>
        <v>0</v>
      </c>
      <c r="Q71" s="208">
        <f t="shared" si="31"/>
        <v>0</v>
      </c>
      <c r="R71" s="205">
        <f t="shared" si="32"/>
        <v>1</v>
      </c>
      <c r="S71" s="65">
        <f t="shared" si="35"/>
        <v>0</v>
      </c>
      <c r="T71" s="158">
        <f t="shared" si="34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69"/>
      <c r="BZ71" s="169"/>
      <c r="CA71" s="169"/>
      <c r="CB71" s="169"/>
      <c r="CC71" s="169"/>
      <c r="CD71" s="169"/>
      <c r="CE71" s="169"/>
      <c r="CF71" s="169"/>
      <c r="CG71" s="169"/>
      <c r="CH71" s="169"/>
      <c r="CI71" s="169"/>
      <c r="CJ71" s="169"/>
      <c r="CK71" s="169"/>
      <c r="CL71" s="169"/>
      <c r="CM71" s="169"/>
      <c r="CN71" s="169"/>
      <c r="CO71" s="169"/>
      <c r="CP71" s="169"/>
      <c r="CQ71" s="169"/>
      <c r="CR71" s="169"/>
      <c r="CS71" s="169"/>
      <c r="CT71" s="169"/>
      <c r="CU71" s="169"/>
      <c r="CV71" s="169"/>
      <c r="CW71" s="169"/>
      <c r="CX71" s="169"/>
      <c r="CY71" s="169"/>
      <c r="CZ71" s="169"/>
      <c r="DA71" s="169"/>
      <c r="DB71" s="169"/>
      <c r="DC71" s="169"/>
      <c r="DD71" s="169"/>
      <c r="DE71" s="169"/>
      <c r="DF71" s="169"/>
    </row>
    <row r="72" spans="2:110" x14ac:dyDescent="0.4">
      <c r="B72" s="491"/>
      <c r="C72" s="60">
        <v>98</v>
      </c>
      <c r="D72" s="324" t="s">
        <v>200</v>
      </c>
      <c r="E72" s="196">
        <f>F75</f>
        <v>46029</v>
      </c>
      <c r="F72" s="196">
        <f>E72+2</f>
        <v>46031</v>
      </c>
      <c r="G72" s="197">
        <f t="shared" si="17"/>
        <v>2</v>
      </c>
      <c r="H72" s="196">
        <f t="shared" si="36"/>
        <v>46029</v>
      </c>
      <c r="I72" s="196">
        <f t="shared" si="37"/>
        <v>46031</v>
      </c>
      <c r="J72" s="200" t="s">
        <v>11</v>
      </c>
      <c r="K72" s="201">
        <v>1</v>
      </c>
      <c r="L72" s="202"/>
      <c r="M72" s="202"/>
      <c r="N72" s="199" t="str">
        <f t="shared" si="28"/>
        <v/>
      </c>
      <c r="O72" s="203" t="str">
        <f t="shared" si="29"/>
        <v>-</v>
      </c>
      <c r="P72" s="206">
        <f t="shared" si="30"/>
        <v>0</v>
      </c>
      <c r="Q72" s="208">
        <f t="shared" si="31"/>
        <v>0</v>
      </c>
      <c r="R72" s="205">
        <f t="shared" si="32"/>
        <v>1</v>
      </c>
      <c r="S72" s="65">
        <f t="shared" si="35"/>
        <v>0</v>
      </c>
      <c r="T72" s="158">
        <f t="shared" si="34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9"/>
      <c r="BP72" s="169"/>
      <c r="BQ72" s="169"/>
      <c r="BR72" s="169"/>
      <c r="BS72" s="169"/>
      <c r="BT72" s="169"/>
      <c r="BU72" s="169"/>
      <c r="BV72" s="169"/>
      <c r="BW72" s="169"/>
      <c r="BX72" s="169"/>
      <c r="BY72" s="169"/>
      <c r="BZ72" s="169"/>
      <c r="CA72" s="169"/>
      <c r="CB72" s="169"/>
      <c r="CC72" s="169"/>
      <c r="CD72" s="169"/>
      <c r="CE72" s="169"/>
      <c r="CF72" s="169"/>
      <c r="CG72" s="169"/>
      <c r="CH72" s="169"/>
      <c r="CI72" s="169"/>
      <c r="CJ72" s="169"/>
      <c r="CK72" s="169"/>
      <c r="CL72" s="169"/>
      <c r="CM72" s="169"/>
      <c r="CN72" s="169"/>
      <c r="CO72" s="169"/>
      <c r="CP72" s="169"/>
      <c r="CQ72" s="169"/>
      <c r="CR72" s="169"/>
      <c r="CS72" s="169"/>
      <c r="CT72" s="169"/>
      <c r="CU72" s="169"/>
      <c r="CV72" s="169"/>
      <c r="CW72" s="169"/>
      <c r="CX72" s="169"/>
      <c r="CY72" s="169"/>
      <c r="CZ72" s="169"/>
      <c r="DA72" s="169"/>
      <c r="DB72" s="169"/>
      <c r="DC72" s="169"/>
      <c r="DD72" s="169"/>
      <c r="DE72" s="169"/>
      <c r="DF72" s="169"/>
    </row>
    <row r="73" spans="2:110" x14ac:dyDescent="0.4">
      <c r="B73" s="491"/>
      <c r="C73" s="60">
        <v>99</v>
      </c>
      <c r="D73" s="324" t="s">
        <v>186</v>
      </c>
      <c r="E73" s="196">
        <v>45966</v>
      </c>
      <c r="F73" s="196">
        <v>45996</v>
      </c>
      <c r="G73" s="197">
        <f t="shared" si="17"/>
        <v>30</v>
      </c>
      <c r="H73" s="196">
        <f t="shared" si="36"/>
        <v>45966</v>
      </c>
      <c r="I73" s="196">
        <f t="shared" si="37"/>
        <v>45996</v>
      </c>
      <c r="J73" s="200" t="s">
        <v>11</v>
      </c>
      <c r="K73" s="201">
        <v>1</v>
      </c>
      <c r="L73" s="202"/>
      <c r="M73" s="202"/>
      <c r="N73" s="199" t="str">
        <f t="shared" si="28"/>
        <v/>
      </c>
      <c r="O73" s="203" t="str">
        <f t="shared" si="29"/>
        <v>-</v>
      </c>
      <c r="P73" s="206">
        <f t="shared" si="30"/>
        <v>0</v>
      </c>
      <c r="Q73" s="208">
        <f t="shared" si="31"/>
        <v>0</v>
      </c>
      <c r="R73" s="205">
        <f t="shared" si="32"/>
        <v>1</v>
      </c>
      <c r="S73" s="65">
        <f t="shared" si="35"/>
        <v>0</v>
      </c>
      <c r="T73" s="158">
        <f t="shared" si="34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9"/>
      <c r="BP73" s="169"/>
      <c r="BQ73" s="169"/>
      <c r="BR73" s="169"/>
      <c r="BS73" s="169"/>
      <c r="BT73" s="169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  <c r="CF73" s="169"/>
      <c r="CG73" s="169"/>
      <c r="CH73" s="169"/>
      <c r="CI73" s="169"/>
      <c r="CJ73" s="169"/>
      <c r="CK73" s="169"/>
      <c r="CL73" s="169"/>
      <c r="CM73" s="169"/>
      <c r="CN73" s="169"/>
      <c r="CO73" s="169"/>
      <c r="CP73" s="169"/>
      <c r="CQ73" s="169"/>
      <c r="CR73" s="169"/>
      <c r="CS73" s="169"/>
      <c r="CT73" s="169"/>
      <c r="CU73" s="169"/>
      <c r="CV73" s="169"/>
      <c r="CW73" s="169"/>
      <c r="CX73" s="169"/>
      <c r="CY73" s="169"/>
      <c r="CZ73" s="169"/>
      <c r="DA73" s="169"/>
      <c r="DB73" s="169"/>
      <c r="DC73" s="169"/>
      <c r="DD73" s="169"/>
      <c r="DE73" s="169"/>
      <c r="DF73" s="169"/>
    </row>
    <row r="74" spans="2:110" x14ac:dyDescent="0.4">
      <c r="B74" s="491"/>
      <c r="C74" s="60">
        <v>100</v>
      </c>
      <c r="D74" s="324" t="s">
        <v>179</v>
      </c>
      <c r="E74" s="196">
        <v>46016</v>
      </c>
      <c r="F74" s="196">
        <f>E74+12</f>
        <v>46028</v>
      </c>
      <c r="G74" s="197">
        <f t="shared" si="17"/>
        <v>12</v>
      </c>
      <c r="H74" s="196">
        <f t="shared" si="36"/>
        <v>46016</v>
      </c>
      <c r="I74" s="196">
        <f t="shared" si="37"/>
        <v>46028</v>
      </c>
      <c r="J74" s="200" t="s">
        <v>11</v>
      </c>
      <c r="K74" s="201">
        <v>1</v>
      </c>
      <c r="L74" s="202"/>
      <c r="M74" s="202"/>
      <c r="N74" s="199" t="str">
        <f t="shared" ref="N74:N104" si="38">IF(OR(M74="",L74=""),"",INT(M74-L74+1))</f>
        <v/>
      </c>
      <c r="O74" s="203" t="str">
        <f t="shared" ref="O74:O104" si="39">IFERROR(K74/N74,"-")</f>
        <v>-</v>
      </c>
      <c r="P74" s="206">
        <f t="shared" ref="P74:P104" si="40">IFERROR(SUMIF($U$2:$AT$2,"&lt;="&amp;$D$1,U74:BN74)/K74,"-")</f>
        <v>0</v>
      </c>
      <c r="Q74" s="208">
        <f t="shared" ref="Q74:Q104" si="41">SUMIF($U$2:$AT$2,"&lt;="&amp;$D$1,U74:AT74)</f>
        <v>0</v>
      </c>
      <c r="R74" s="205">
        <f t="shared" ref="R74:R104" si="42">K74-Q74</f>
        <v>1</v>
      </c>
      <c r="S74" s="65">
        <f t="shared" ref="S74:S99" si="43">SUM(U74:XFD74)</f>
        <v>0</v>
      </c>
      <c r="T74" s="158">
        <f t="shared" si="34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9"/>
      <c r="BP74" s="169"/>
      <c r="BQ74" s="169"/>
      <c r="BR74" s="169"/>
      <c r="BS74" s="169"/>
      <c r="BT74" s="169"/>
      <c r="BU74" s="169"/>
      <c r="BV74" s="169"/>
      <c r="BW74" s="169"/>
      <c r="BX74" s="169"/>
      <c r="BY74" s="169"/>
      <c r="BZ74" s="169"/>
      <c r="CA74" s="169"/>
      <c r="CB74" s="169"/>
      <c r="CC74" s="169"/>
      <c r="CD74" s="169"/>
      <c r="CE74" s="169"/>
      <c r="CF74" s="169"/>
      <c r="CG74" s="169"/>
      <c r="CH74" s="169"/>
      <c r="CI74" s="169"/>
      <c r="CJ74" s="169"/>
      <c r="CK74" s="169"/>
      <c r="CL74" s="169"/>
      <c r="CM74" s="169"/>
      <c r="CN74" s="169"/>
      <c r="CO74" s="169"/>
      <c r="CP74" s="169"/>
      <c r="CQ74" s="169"/>
      <c r="CR74" s="169"/>
      <c r="CS74" s="169"/>
      <c r="CT74" s="169"/>
      <c r="CU74" s="169"/>
      <c r="CV74" s="169"/>
      <c r="CW74" s="169"/>
      <c r="CX74" s="169"/>
      <c r="CY74" s="169"/>
      <c r="CZ74" s="169"/>
      <c r="DA74" s="169"/>
      <c r="DB74" s="169"/>
      <c r="DC74" s="169"/>
      <c r="DD74" s="169"/>
      <c r="DE74" s="169"/>
      <c r="DF74" s="169"/>
    </row>
    <row r="75" spans="2:110" x14ac:dyDescent="0.4">
      <c r="B75" s="491"/>
      <c r="C75" s="60">
        <v>101</v>
      </c>
      <c r="D75" s="324" t="s">
        <v>201</v>
      </c>
      <c r="E75" s="196">
        <f>E74+1</f>
        <v>46017</v>
      </c>
      <c r="F75" s="196">
        <f>F74+1</f>
        <v>46029</v>
      </c>
      <c r="G75" s="197">
        <f t="shared" si="17"/>
        <v>12</v>
      </c>
      <c r="H75" s="196">
        <f t="shared" si="36"/>
        <v>46017</v>
      </c>
      <c r="I75" s="196">
        <f t="shared" si="37"/>
        <v>46029</v>
      </c>
      <c r="J75" s="200" t="s">
        <v>11</v>
      </c>
      <c r="K75" s="201">
        <v>1</v>
      </c>
      <c r="L75" s="202"/>
      <c r="M75" s="202"/>
      <c r="N75" s="199" t="str">
        <f t="shared" si="38"/>
        <v/>
      </c>
      <c r="O75" s="203" t="str">
        <f t="shared" si="39"/>
        <v>-</v>
      </c>
      <c r="P75" s="206">
        <f t="shared" si="40"/>
        <v>0</v>
      </c>
      <c r="Q75" s="208">
        <f t="shared" si="41"/>
        <v>0</v>
      </c>
      <c r="R75" s="205">
        <f t="shared" si="42"/>
        <v>1</v>
      </c>
      <c r="S75" s="65">
        <f t="shared" si="43"/>
        <v>0</v>
      </c>
      <c r="T75" s="158">
        <f t="shared" si="34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9"/>
      <c r="BP75" s="169"/>
      <c r="BQ75" s="169"/>
      <c r="BR75" s="169"/>
      <c r="BS75" s="169"/>
      <c r="BT75" s="169"/>
      <c r="BU75" s="169"/>
      <c r="BV75" s="169"/>
      <c r="BW75" s="169"/>
      <c r="BX75" s="169"/>
      <c r="BY75" s="169"/>
      <c r="BZ75" s="169"/>
      <c r="CA75" s="169"/>
      <c r="CB75" s="169"/>
      <c r="CC75" s="169"/>
      <c r="CD75" s="169"/>
      <c r="CE75" s="169"/>
      <c r="CF75" s="169"/>
      <c r="CG75" s="169"/>
      <c r="CH75" s="169"/>
      <c r="CI75" s="169"/>
      <c r="CJ75" s="169"/>
      <c r="CK75" s="169"/>
      <c r="CL75" s="169"/>
      <c r="CM75" s="169"/>
      <c r="CN75" s="169"/>
      <c r="CO75" s="169"/>
      <c r="CP75" s="169"/>
      <c r="CQ75" s="169"/>
      <c r="CR75" s="169"/>
      <c r="CS75" s="169"/>
      <c r="CT75" s="169"/>
      <c r="CU75" s="169"/>
      <c r="CV75" s="169"/>
      <c r="CW75" s="169"/>
      <c r="CX75" s="169"/>
      <c r="CY75" s="169"/>
      <c r="CZ75" s="169"/>
      <c r="DA75" s="169"/>
      <c r="DB75" s="169"/>
      <c r="DC75" s="169"/>
      <c r="DD75" s="169"/>
      <c r="DE75" s="169"/>
      <c r="DF75" s="169"/>
    </row>
    <row r="76" spans="2:110" x14ac:dyDescent="0.4">
      <c r="B76" s="491" t="s">
        <v>202</v>
      </c>
      <c r="C76" s="60">
        <v>102</v>
      </c>
      <c r="D76" s="324" t="s">
        <v>203</v>
      </c>
      <c r="E76" s="196">
        <v>45924</v>
      </c>
      <c r="F76" s="196">
        <v>45950</v>
      </c>
      <c r="G76" s="197">
        <f t="shared" si="17"/>
        <v>26</v>
      </c>
      <c r="H76" s="196">
        <f t="shared" si="36"/>
        <v>45924</v>
      </c>
      <c r="I76" s="196">
        <f t="shared" si="37"/>
        <v>45950</v>
      </c>
      <c r="J76" s="200" t="s">
        <v>2</v>
      </c>
      <c r="K76" s="201">
        <v>26</v>
      </c>
      <c r="L76" s="202"/>
      <c r="M76" s="202"/>
      <c r="N76" s="199" t="str">
        <f t="shared" si="38"/>
        <v/>
      </c>
      <c r="O76" s="203" t="str">
        <f t="shared" si="39"/>
        <v>-</v>
      </c>
      <c r="P76" s="206">
        <f t="shared" si="40"/>
        <v>0</v>
      </c>
      <c r="Q76" s="208">
        <f t="shared" si="41"/>
        <v>0</v>
      </c>
      <c r="R76" s="205">
        <f t="shared" si="42"/>
        <v>26</v>
      </c>
      <c r="S76" s="65">
        <f t="shared" si="43"/>
        <v>0</v>
      </c>
      <c r="T76" s="158">
        <f t="shared" si="34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9"/>
      <c r="BP76" s="169"/>
      <c r="BQ76" s="169"/>
      <c r="BR76" s="169"/>
      <c r="BS76" s="169"/>
      <c r="BT76" s="169"/>
      <c r="BU76" s="169"/>
      <c r="BV76" s="169"/>
      <c r="BW76" s="169"/>
      <c r="BX76" s="169"/>
      <c r="BY76" s="169"/>
      <c r="BZ76" s="169"/>
      <c r="CA76" s="169"/>
      <c r="CB76" s="169"/>
      <c r="CC76" s="169"/>
      <c r="CD76" s="169"/>
      <c r="CE76" s="169"/>
      <c r="CF76" s="169"/>
      <c r="CG76" s="169"/>
      <c r="CH76" s="169"/>
      <c r="CI76" s="169"/>
      <c r="CJ76" s="169"/>
      <c r="CK76" s="169"/>
      <c r="CL76" s="169"/>
      <c r="CM76" s="169"/>
      <c r="CN76" s="169"/>
      <c r="CO76" s="169"/>
      <c r="CP76" s="169"/>
      <c r="CQ76" s="169"/>
      <c r="CR76" s="169"/>
      <c r="CS76" s="169"/>
      <c r="CT76" s="169"/>
      <c r="CU76" s="169"/>
      <c r="CV76" s="169"/>
      <c r="CW76" s="169"/>
      <c r="CX76" s="169"/>
      <c r="CY76" s="169"/>
      <c r="CZ76" s="169"/>
      <c r="DA76" s="169"/>
      <c r="DB76" s="169"/>
      <c r="DC76" s="169"/>
      <c r="DD76" s="169"/>
      <c r="DE76" s="169"/>
      <c r="DF76" s="169"/>
    </row>
    <row r="77" spans="2:110" x14ac:dyDescent="0.4">
      <c r="B77" s="491"/>
      <c r="C77" s="60">
        <v>103</v>
      </c>
      <c r="D77" s="324" t="s">
        <v>205</v>
      </c>
      <c r="E77" s="196">
        <f>E76+5</f>
        <v>45929</v>
      </c>
      <c r="F77" s="196">
        <v>45981</v>
      </c>
      <c r="G77" s="197">
        <f t="shared" si="17"/>
        <v>52</v>
      </c>
      <c r="H77" s="196">
        <f t="shared" si="36"/>
        <v>45929</v>
      </c>
      <c r="I77" s="196">
        <f t="shared" si="37"/>
        <v>45981</v>
      </c>
      <c r="J77" s="200" t="s">
        <v>2</v>
      </c>
      <c r="K77" s="201">
        <v>26</v>
      </c>
      <c r="L77" s="202"/>
      <c r="M77" s="202"/>
      <c r="N77" s="199" t="str">
        <f t="shared" si="38"/>
        <v/>
      </c>
      <c r="O77" s="203" t="str">
        <f t="shared" si="39"/>
        <v>-</v>
      </c>
      <c r="P77" s="206">
        <f t="shared" si="40"/>
        <v>0</v>
      </c>
      <c r="Q77" s="208">
        <f t="shared" si="41"/>
        <v>0</v>
      </c>
      <c r="R77" s="205">
        <f t="shared" si="42"/>
        <v>26</v>
      </c>
      <c r="S77" s="65">
        <f t="shared" si="43"/>
        <v>0</v>
      </c>
      <c r="T77" s="158">
        <f t="shared" si="34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9"/>
      <c r="BP77" s="169"/>
      <c r="BQ77" s="169"/>
      <c r="BR77" s="169"/>
      <c r="BS77" s="169"/>
      <c r="BT77" s="169"/>
      <c r="BU77" s="169"/>
      <c r="BV77" s="169"/>
      <c r="BW77" s="169"/>
      <c r="BX77" s="169"/>
      <c r="BY77" s="169"/>
      <c r="BZ77" s="169"/>
      <c r="CA77" s="169"/>
      <c r="CB77" s="169"/>
      <c r="CC77" s="169"/>
      <c r="CD77" s="169"/>
      <c r="CE77" s="169"/>
      <c r="CF77" s="169"/>
      <c r="CG77" s="169"/>
      <c r="CH77" s="169"/>
      <c r="CI77" s="169"/>
      <c r="CJ77" s="169"/>
      <c r="CK77" s="169"/>
      <c r="CL77" s="169"/>
      <c r="CM77" s="169"/>
      <c r="CN77" s="169"/>
      <c r="CO77" s="169"/>
      <c r="CP77" s="169"/>
      <c r="CQ77" s="169"/>
      <c r="CR77" s="169"/>
      <c r="CS77" s="169"/>
      <c r="CT77" s="169"/>
      <c r="CU77" s="169"/>
      <c r="CV77" s="169"/>
      <c r="CW77" s="169"/>
      <c r="CX77" s="169"/>
      <c r="CY77" s="169"/>
      <c r="CZ77" s="169"/>
      <c r="DA77" s="169"/>
      <c r="DB77" s="169"/>
      <c r="DC77" s="169"/>
      <c r="DD77" s="169"/>
      <c r="DE77" s="169"/>
      <c r="DF77" s="169"/>
    </row>
    <row r="78" spans="2:110" x14ac:dyDescent="0.4">
      <c r="B78" s="491"/>
      <c r="C78" s="60">
        <v>104</v>
      </c>
      <c r="D78" s="324" t="s">
        <v>206</v>
      </c>
      <c r="E78" s="196">
        <f>E77+2</f>
        <v>45931</v>
      </c>
      <c r="F78" s="196">
        <f>F77+2</f>
        <v>45983</v>
      </c>
      <c r="G78" s="197">
        <f t="shared" si="17"/>
        <v>52</v>
      </c>
      <c r="H78" s="196">
        <f t="shared" si="36"/>
        <v>45931</v>
      </c>
      <c r="I78" s="196">
        <f t="shared" si="37"/>
        <v>45983</v>
      </c>
      <c r="J78" s="200" t="s">
        <v>2</v>
      </c>
      <c r="K78" s="201">
        <v>26</v>
      </c>
      <c r="L78" s="202"/>
      <c r="M78" s="202"/>
      <c r="N78" s="199" t="str">
        <f t="shared" si="38"/>
        <v/>
      </c>
      <c r="O78" s="203" t="str">
        <f t="shared" si="39"/>
        <v>-</v>
      </c>
      <c r="P78" s="206">
        <f t="shared" si="40"/>
        <v>0</v>
      </c>
      <c r="Q78" s="208">
        <f t="shared" si="41"/>
        <v>0</v>
      </c>
      <c r="R78" s="205">
        <f t="shared" si="42"/>
        <v>26</v>
      </c>
      <c r="S78" s="65">
        <f t="shared" si="43"/>
        <v>0</v>
      </c>
      <c r="T78" s="158">
        <f t="shared" si="34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9"/>
      <c r="BP78" s="169"/>
      <c r="BQ78" s="169"/>
      <c r="BR78" s="169"/>
      <c r="BS78" s="169"/>
      <c r="BT78" s="169"/>
      <c r="BU78" s="169"/>
      <c r="BV78" s="169"/>
      <c r="BW78" s="169"/>
      <c r="BX78" s="169"/>
      <c r="BY78" s="169"/>
      <c r="BZ78" s="169"/>
      <c r="CA78" s="169"/>
      <c r="CB78" s="169"/>
      <c r="CC78" s="169"/>
      <c r="CD78" s="169"/>
      <c r="CE78" s="169"/>
      <c r="CF78" s="169"/>
      <c r="CG78" s="169"/>
      <c r="CH78" s="169"/>
      <c r="CI78" s="169"/>
      <c r="CJ78" s="169"/>
      <c r="CK78" s="169"/>
      <c r="CL78" s="169"/>
      <c r="CM78" s="169"/>
      <c r="CN78" s="169"/>
      <c r="CO78" s="169"/>
      <c r="CP78" s="169"/>
      <c r="CQ78" s="169"/>
      <c r="CR78" s="169"/>
      <c r="CS78" s="169"/>
      <c r="CT78" s="169"/>
      <c r="CU78" s="169"/>
      <c r="CV78" s="169"/>
      <c r="CW78" s="169"/>
      <c r="CX78" s="169"/>
      <c r="CY78" s="169"/>
      <c r="CZ78" s="169"/>
      <c r="DA78" s="169"/>
      <c r="DB78" s="169"/>
      <c r="DC78" s="169"/>
      <c r="DD78" s="169"/>
      <c r="DE78" s="169"/>
      <c r="DF78" s="169"/>
    </row>
    <row r="79" spans="2:110" x14ac:dyDescent="0.4">
      <c r="B79" s="491" t="s">
        <v>207</v>
      </c>
      <c r="C79" s="60">
        <v>105</v>
      </c>
      <c r="D79" s="324" t="s">
        <v>208</v>
      </c>
      <c r="E79" s="196">
        <v>45889</v>
      </c>
      <c r="F79" s="196">
        <v>46047</v>
      </c>
      <c r="G79" s="197">
        <f t="shared" si="17"/>
        <v>158</v>
      </c>
      <c r="H79" s="196">
        <f t="shared" si="36"/>
        <v>45889</v>
      </c>
      <c r="I79" s="196">
        <f t="shared" si="37"/>
        <v>46047</v>
      </c>
      <c r="J79" s="200" t="s">
        <v>2</v>
      </c>
      <c r="K79" s="201">
        <v>26</v>
      </c>
      <c r="L79" s="202"/>
      <c r="M79" s="202"/>
      <c r="N79" s="199" t="str">
        <f t="shared" si="38"/>
        <v/>
      </c>
      <c r="O79" s="203" t="str">
        <f t="shared" si="39"/>
        <v>-</v>
      </c>
      <c r="P79" s="206">
        <f t="shared" si="40"/>
        <v>0</v>
      </c>
      <c r="Q79" s="208">
        <f t="shared" si="41"/>
        <v>0</v>
      </c>
      <c r="R79" s="205">
        <f t="shared" si="42"/>
        <v>26</v>
      </c>
      <c r="S79" s="65">
        <f t="shared" si="43"/>
        <v>0</v>
      </c>
      <c r="T79" s="158">
        <f t="shared" si="34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9"/>
      <c r="BP79" s="169"/>
      <c r="BQ79" s="169"/>
      <c r="BR79" s="169"/>
      <c r="BS79" s="169"/>
      <c r="BT79" s="169"/>
      <c r="BU79" s="169"/>
      <c r="BV79" s="169"/>
      <c r="BW79" s="169"/>
      <c r="BX79" s="169"/>
      <c r="BY79" s="169"/>
      <c r="BZ79" s="169"/>
      <c r="CA79" s="169"/>
      <c r="CB79" s="169"/>
      <c r="CC79" s="169"/>
      <c r="CD79" s="169"/>
      <c r="CE79" s="169"/>
      <c r="CF79" s="169"/>
      <c r="CG79" s="169"/>
      <c r="CH79" s="169"/>
      <c r="CI79" s="169"/>
      <c r="CJ79" s="169"/>
      <c r="CK79" s="169"/>
      <c r="CL79" s="169"/>
      <c r="CM79" s="169"/>
      <c r="CN79" s="169"/>
      <c r="CO79" s="169"/>
      <c r="CP79" s="169"/>
      <c r="CQ79" s="169"/>
      <c r="CR79" s="169"/>
      <c r="CS79" s="169"/>
      <c r="CT79" s="169"/>
      <c r="CU79" s="169"/>
      <c r="CV79" s="169"/>
      <c r="CW79" s="169"/>
      <c r="CX79" s="169"/>
      <c r="CY79" s="169"/>
      <c r="CZ79" s="169"/>
      <c r="DA79" s="169"/>
      <c r="DB79" s="169"/>
      <c r="DC79" s="169"/>
      <c r="DD79" s="169"/>
      <c r="DE79" s="169"/>
      <c r="DF79" s="169"/>
    </row>
    <row r="80" spans="2:110" x14ac:dyDescent="0.4">
      <c r="B80" s="491"/>
      <c r="C80" s="60">
        <v>106</v>
      </c>
      <c r="D80" s="324" t="s">
        <v>209</v>
      </c>
      <c r="E80" s="196">
        <f>E79</f>
        <v>45889</v>
      </c>
      <c r="F80" s="196">
        <f>F79</f>
        <v>46047</v>
      </c>
      <c r="G80" s="197">
        <f t="shared" si="17"/>
        <v>158</v>
      </c>
      <c r="H80" s="196">
        <f t="shared" si="36"/>
        <v>45889</v>
      </c>
      <c r="I80" s="196">
        <f t="shared" si="37"/>
        <v>46047</v>
      </c>
      <c r="J80" s="200" t="s">
        <v>2</v>
      </c>
      <c r="K80" s="201">
        <v>26</v>
      </c>
      <c r="L80" s="202"/>
      <c r="M80" s="202"/>
      <c r="N80" s="199" t="str">
        <f t="shared" si="38"/>
        <v/>
      </c>
      <c r="O80" s="203" t="str">
        <f t="shared" si="39"/>
        <v>-</v>
      </c>
      <c r="P80" s="206">
        <f t="shared" si="40"/>
        <v>0</v>
      </c>
      <c r="Q80" s="208">
        <f t="shared" si="41"/>
        <v>0</v>
      </c>
      <c r="R80" s="205">
        <f t="shared" si="42"/>
        <v>26</v>
      </c>
      <c r="S80" s="65">
        <f t="shared" si="43"/>
        <v>0</v>
      </c>
      <c r="T80" s="158">
        <f t="shared" si="34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9"/>
      <c r="BP80" s="169"/>
      <c r="BQ80" s="169"/>
      <c r="BR80" s="169"/>
      <c r="BS80" s="169"/>
      <c r="BT80" s="169"/>
      <c r="BU80" s="169"/>
      <c r="BV80" s="169"/>
      <c r="BW80" s="169"/>
      <c r="BX80" s="169"/>
      <c r="BY80" s="169"/>
      <c r="BZ80" s="169"/>
      <c r="CA80" s="169"/>
      <c r="CB80" s="169"/>
      <c r="CC80" s="169"/>
      <c r="CD80" s="169"/>
      <c r="CE80" s="169"/>
      <c r="CF80" s="169"/>
      <c r="CG80" s="169"/>
      <c r="CH80" s="169"/>
      <c r="CI80" s="169"/>
      <c r="CJ80" s="169"/>
      <c r="CK80" s="169"/>
      <c r="CL80" s="169"/>
      <c r="CM80" s="169"/>
      <c r="CN80" s="169"/>
      <c r="CO80" s="169"/>
      <c r="CP80" s="169"/>
      <c r="CQ80" s="169"/>
      <c r="CR80" s="169"/>
      <c r="CS80" s="169"/>
      <c r="CT80" s="169"/>
      <c r="CU80" s="169"/>
      <c r="CV80" s="169"/>
      <c r="CW80" s="169"/>
      <c r="CX80" s="169"/>
      <c r="CY80" s="169"/>
      <c r="CZ80" s="169"/>
      <c r="DA80" s="169"/>
      <c r="DB80" s="169"/>
      <c r="DC80" s="169"/>
      <c r="DD80" s="169"/>
      <c r="DE80" s="169"/>
      <c r="DF80" s="169"/>
    </row>
    <row r="81" spans="2:110" ht="29" x14ac:dyDescent="0.4">
      <c r="B81" s="491"/>
      <c r="C81" s="60">
        <v>107</v>
      </c>
      <c r="D81" s="324" t="s">
        <v>210</v>
      </c>
      <c r="E81" s="196">
        <f>E80</f>
        <v>45889</v>
      </c>
      <c r="F81" s="196">
        <f>F80</f>
        <v>46047</v>
      </c>
      <c r="G81" s="197">
        <f t="shared" si="17"/>
        <v>158</v>
      </c>
      <c r="H81" s="196">
        <f t="shared" si="36"/>
        <v>45889</v>
      </c>
      <c r="I81" s="196">
        <f t="shared" si="37"/>
        <v>46047</v>
      </c>
      <c r="J81" s="200" t="s">
        <v>2</v>
      </c>
      <c r="K81" s="201">
        <v>26</v>
      </c>
      <c r="L81" s="202"/>
      <c r="M81" s="202"/>
      <c r="N81" s="199" t="str">
        <f t="shared" si="38"/>
        <v/>
      </c>
      <c r="O81" s="203" t="str">
        <f t="shared" si="39"/>
        <v>-</v>
      </c>
      <c r="P81" s="206">
        <f t="shared" si="40"/>
        <v>0</v>
      </c>
      <c r="Q81" s="208">
        <f t="shared" si="41"/>
        <v>0</v>
      </c>
      <c r="R81" s="205">
        <f t="shared" si="42"/>
        <v>26</v>
      </c>
      <c r="S81" s="65">
        <f t="shared" si="43"/>
        <v>0</v>
      </c>
      <c r="T81" s="158">
        <f t="shared" si="34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</row>
    <row r="82" spans="2:110" ht="29" x14ac:dyDescent="0.4">
      <c r="B82" s="491" t="s">
        <v>211</v>
      </c>
      <c r="C82" s="60">
        <v>108</v>
      </c>
      <c r="D82" s="324" t="s">
        <v>212</v>
      </c>
      <c r="E82" s="196">
        <v>45950</v>
      </c>
      <c r="F82" s="196">
        <f>F81</f>
        <v>46047</v>
      </c>
      <c r="G82" s="197">
        <f t="shared" si="17"/>
        <v>97</v>
      </c>
      <c r="H82" s="196">
        <f t="shared" si="36"/>
        <v>45950</v>
      </c>
      <c r="I82" s="196">
        <f t="shared" si="37"/>
        <v>46047</v>
      </c>
      <c r="J82" s="200" t="s">
        <v>2</v>
      </c>
      <c r="K82" s="201">
        <v>26</v>
      </c>
      <c r="L82" s="202"/>
      <c r="M82" s="202"/>
      <c r="N82" s="199" t="str">
        <f t="shared" si="38"/>
        <v/>
      </c>
      <c r="O82" s="203" t="str">
        <f t="shared" si="39"/>
        <v>-</v>
      </c>
      <c r="P82" s="206">
        <f t="shared" si="40"/>
        <v>0</v>
      </c>
      <c r="Q82" s="208">
        <f t="shared" si="41"/>
        <v>0</v>
      </c>
      <c r="R82" s="205">
        <f t="shared" si="42"/>
        <v>26</v>
      </c>
      <c r="S82" s="65">
        <f t="shared" si="43"/>
        <v>0</v>
      </c>
      <c r="T82" s="158">
        <f t="shared" si="34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</row>
    <row r="83" spans="2:110" x14ac:dyDescent="0.4">
      <c r="B83" s="491"/>
      <c r="C83" s="60">
        <v>109</v>
      </c>
      <c r="D83" s="324" t="s">
        <v>213</v>
      </c>
      <c r="E83" s="196">
        <v>45971</v>
      </c>
      <c r="F83" s="196">
        <v>46011</v>
      </c>
      <c r="G83" s="197">
        <f t="shared" si="17"/>
        <v>40</v>
      </c>
      <c r="H83" s="196">
        <f t="shared" si="36"/>
        <v>45971</v>
      </c>
      <c r="I83" s="196">
        <f t="shared" si="37"/>
        <v>46011</v>
      </c>
      <c r="J83" s="200" t="s">
        <v>2</v>
      </c>
      <c r="K83" s="201">
        <v>26</v>
      </c>
      <c r="L83" s="202"/>
      <c r="M83" s="202"/>
      <c r="N83" s="199" t="str">
        <f t="shared" si="38"/>
        <v/>
      </c>
      <c r="O83" s="203" t="str">
        <f t="shared" si="39"/>
        <v>-</v>
      </c>
      <c r="P83" s="206">
        <f t="shared" si="40"/>
        <v>0</v>
      </c>
      <c r="Q83" s="208">
        <f t="shared" si="41"/>
        <v>0</v>
      </c>
      <c r="R83" s="205">
        <f t="shared" si="42"/>
        <v>26</v>
      </c>
      <c r="S83" s="65">
        <f t="shared" si="43"/>
        <v>0</v>
      </c>
      <c r="T83" s="158">
        <f t="shared" si="34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9"/>
      <c r="BP83" s="169"/>
      <c r="BQ83" s="169"/>
      <c r="BR83" s="169"/>
      <c r="BS83" s="169"/>
      <c r="BT83" s="169"/>
      <c r="BU83" s="169"/>
      <c r="BV83" s="169"/>
      <c r="BW83" s="169"/>
      <c r="BX83" s="169"/>
      <c r="BY83" s="169"/>
      <c r="BZ83" s="169"/>
      <c r="CA83" s="169"/>
      <c r="CB83" s="169"/>
      <c r="CC83" s="169"/>
      <c r="CD83" s="169"/>
      <c r="CE83" s="169"/>
      <c r="CF83" s="169"/>
      <c r="CG83" s="169"/>
      <c r="CH83" s="169"/>
      <c r="CI83" s="169"/>
      <c r="CJ83" s="169"/>
      <c r="CK83" s="169"/>
      <c r="CL83" s="169"/>
      <c r="CM83" s="169"/>
      <c r="CN83" s="169"/>
      <c r="CO83" s="169"/>
      <c r="CP83" s="169"/>
      <c r="CQ83" s="169"/>
      <c r="CR83" s="169"/>
      <c r="CS83" s="169"/>
      <c r="CT83" s="169"/>
      <c r="CU83" s="169"/>
      <c r="CV83" s="169"/>
      <c r="CW83" s="169"/>
      <c r="CX83" s="169"/>
      <c r="CY83" s="169"/>
      <c r="CZ83" s="169"/>
      <c r="DA83" s="169"/>
      <c r="DB83" s="169"/>
      <c r="DC83" s="169"/>
      <c r="DD83" s="169"/>
      <c r="DE83" s="169"/>
      <c r="DF83" s="169"/>
    </row>
    <row r="84" spans="2:110" x14ac:dyDescent="0.4">
      <c r="B84" s="491"/>
      <c r="C84" s="60">
        <v>110</v>
      </c>
      <c r="D84" s="324" t="s">
        <v>214</v>
      </c>
      <c r="E84" s="196">
        <v>45971</v>
      </c>
      <c r="F84" s="196">
        <v>46011</v>
      </c>
      <c r="G84" s="197">
        <f t="shared" si="17"/>
        <v>40</v>
      </c>
      <c r="H84" s="196">
        <f t="shared" si="36"/>
        <v>45971</v>
      </c>
      <c r="I84" s="196">
        <f t="shared" si="37"/>
        <v>46011</v>
      </c>
      <c r="J84" s="200" t="s">
        <v>2</v>
      </c>
      <c r="K84" s="201">
        <v>26</v>
      </c>
      <c r="L84" s="202"/>
      <c r="M84" s="202"/>
      <c r="N84" s="199" t="str">
        <f t="shared" si="38"/>
        <v/>
      </c>
      <c r="O84" s="203" t="str">
        <f t="shared" si="39"/>
        <v>-</v>
      </c>
      <c r="P84" s="206">
        <f t="shared" si="40"/>
        <v>0</v>
      </c>
      <c r="Q84" s="208">
        <f t="shared" si="41"/>
        <v>0</v>
      </c>
      <c r="R84" s="205">
        <f t="shared" si="42"/>
        <v>26</v>
      </c>
      <c r="S84" s="65">
        <f t="shared" si="43"/>
        <v>0</v>
      </c>
      <c r="T84" s="158">
        <f t="shared" si="34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9"/>
      <c r="BP84" s="169"/>
      <c r="BQ84" s="169"/>
      <c r="BR84" s="169"/>
      <c r="BS84" s="169"/>
      <c r="BT84" s="169"/>
      <c r="BU84" s="169"/>
      <c r="BV84" s="169"/>
      <c r="BW84" s="169"/>
      <c r="BX84" s="169"/>
      <c r="BY84" s="169"/>
      <c r="BZ84" s="169"/>
      <c r="CA84" s="169"/>
      <c r="CB84" s="169"/>
      <c r="CC84" s="169"/>
      <c r="CD84" s="169"/>
      <c r="CE84" s="169"/>
      <c r="CF84" s="169"/>
      <c r="CG84" s="169"/>
      <c r="CH84" s="169"/>
      <c r="CI84" s="169"/>
      <c r="CJ84" s="169"/>
      <c r="CK84" s="169"/>
      <c r="CL84" s="169"/>
      <c r="CM84" s="169"/>
      <c r="CN84" s="169"/>
      <c r="CO84" s="169"/>
      <c r="CP84" s="169"/>
      <c r="CQ84" s="169"/>
      <c r="CR84" s="169"/>
      <c r="CS84" s="169"/>
      <c r="CT84" s="169"/>
      <c r="CU84" s="169"/>
      <c r="CV84" s="169"/>
      <c r="CW84" s="169"/>
      <c r="CX84" s="169"/>
      <c r="CY84" s="169"/>
      <c r="CZ84" s="169"/>
      <c r="DA84" s="169"/>
      <c r="DB84" s="169"/>
      <c r="DC84" s="169"/>
      <c r="DD84" s="169"/>
      <c r="DE84" s="169"/>
      <c r="DF84" s="169"/>
    </row>
    <row r="85" spans="2:110" x14ac:dyDescent="0.4">
      <c r="B85" s="491"/>
      <c r="C85" s="60">
        <v>111</v>
      </c>
      <c r="D85" s="324" t="s">
        <v>215</v>
      </c>
      <c r="E85" s="196">
        <v>45971</v>
      </c>
      <c r="F85" s="196">
        <v>46011</v>
      </c>
      <c r="G85" s="197">
        <f t="shared" si="17"/>
        <v>40</v>
      </c>
      <c r="H85" s="196">
        <f t="shared" si="36"/>
        <v>45971</v>
      </c>
      <c r="I85" s="196">
        <f t="shared" si="37"/>
        <v>46011</v>
      </c>
      <c r="J85" s="200" t="s">
        <v>2</v>
      </c>
      <c r="K85" s="201">
        <v>26</v>
      </c>
      <c r="L85" s="202"/>
      <c r="M85" s="202"/>
      <c r="N85" s="199" t="str">
        <f t="shared" si="38"/>
        <v/>
      </c>
      <c r="O85" s="203" t="str">
        <f t="shared" si="39"/>
        <v>-</v>
      </c>
      <c r="P85" s="206">
        <f t="shared" si="40"/>
        <v>0</v>
      </c>
      <c r="Q85" s="208">
        <f t="shared" si="41"/>
        <v>0</v>
      </c>
      <c r="R85" s="205">
        <f t="shared" si="42"/>
        <v>26</v>
      </c>
      <c r="S85" s="65">
        <f t="shared" si="43"/>
        <v>0</v>
      </c>
      <c r="T85" s="158">
        <f t="shared" si="34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9"/>
      <c r="BP85" s="169"/>
      <c r="BQ85" s="169"/>
      <c r="BR85" s="169"/>
      <c r="BS85" s="169"/>
      <c r="BT85" s="169"/>
      <c r="BU85" s="169"/>
      <c r="BV85" s="169"/>
      <c r="BW85" s="169"/>
      <c r="BX85" s="169"/>
      <c r="BY85" s="169"/>
      <c r="BZ85" s="169"/>
      <c r="CA85" s="169"/>
      <c r="CB85" s="169"/>
      <c r="CC85" s="169"/>
      <c r="CD85" s="169"/>
      <c r="CE85" s="169"/>
      <c r="CF85" s="169"/>
      <c r="CG85" s="169"/>
      <c r="CH85" s="169"/>
      <c r="CI85" s="169"/>
      <c r="CJ85" s="169"/>
      <c r="CK85" s="169"/>
      <c r="CL85" s="169"/>
      <c r="CM85" s="169"/>
      <c r="CN85" s="169"/>
      <c r="CO85" s="169"/>
      <c r="CP85" s="169"/>
      <c r="CQ85" s="169"/>
      <c r="CR85" s="169"/>
      <c r="CS85" s="169"/>
      <c r="CT85" s="169"/>
      <c r="CU85" s="169"/>
      <c r="CV85" s="169"/>
      <c r="CW85" s="169"/>
      <c r="CX85" s="169"/>
      <c r="CY85" s="169"/>
      <c r="CZ85" s="169"/>
      <c r="DA85" s="169"/>
      <c r="DB85" s="169"/>
      <c r="DC85" s="169"/>
      <c r="DD85" s="169"/>
      <c r="DE85" s="169"/>
      <c r="DF85" s="169"/>
    </row>
    <row r="86" spans="2:110" x14ac:dyDescent="0.4">
      <c r="B86" s="491"/>
      <c r="C86" s="60">
        <v>112</v>
      </c>
      <c r="D86" s="324" t="s">
        <v>216</v>
      </c>
      <c r="E86" s="196">
        <v>45971</v>
      </c>
      <c r="F86" s="196">
        <v>46011</v>
      </c>
      <c r="G86" s="197">
        <f t="shared" si="17"/>
        <v>40</v>
      </c>
      <c r="H86" s="196">
        <f t="shared" si="36"/>
        <v>45971</v>
      </c>
      <c r="I86" s="196">
        <f t="shared" si="37"/>
        <v>46011</v>
      </c>
      <c r="J86" s="200" t="s">
        <v>2</v>
      </c>
      <c r="K86" s="201">
        <v>26</v>
      </c>
      <c r="L86" s="202"/>
      <c r="M86" s="202"/>
      <c r="N86" s="199" t="str">
        <f t="shared" si="38"/>
        <v/>
      </c>
      <c r="O86" s="203" t="str">
        <f t="shared" si="39"/>
        <v>-</v>
      </c>
      <c r="P86" s="206">
        <f t="shared" si="40"/>
        <v>0</v>
      </c>
      <c r="Q86" s="208">
        <f t="shared" si="41"/>
        <v>0</v>
      </c>
      <c r="R86" s="205">
        <f t="shared" si="42"/>
        <v>26</v>
      </c>
      <c r="S86" s="65">
        <f t="shared" si="43"/>
        <v>0</v>
      </c>
      <c r="T86" s="158">
        <f t="shared" si="34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9"/>
      <c r="BP86" s="169"/>
      <c r="BQ86" s="169"/>
      <c r="BR86" s="169"/>
      <c r="BS86" s="169"/>
      <c r="BT86" s="169"/>
      <c r="BU86" s="169"/>
      <c r="BV86" s="169"/>
      <c r="BW86" s="169"/>
      <c r="BX86" s="169"/>
      <c r="BY86" s="169"/>
      <c r="BZ86" s="169"/>
      <c r="CA86" s="169"/>
      <c r="CB86" s="169"/>
      <c r="CC86" s="169"/>
      <c r="CD86" s="169"/>
      <c r="CE86" s="169"/>
      <c r="CF86" s="169"/>
      <c r="CG86" s="169"/>
      <c r="CH86" s="169"/>
      <c r="CI86" s="169"/>
      <c r="CJ86" s="169"/>
      <c r="CK86" s="169"/>
      <c r="CL86" s="169"/>
      <c r="CM86" s="169"/>
      <c r="CN86" s="169"/>
      <c r="CO86" s="169"/>
      <c r="CP86" s="169"/>
      <c r="CQ86" s="169"/>
      <c r="CR86" s="169"/>
      <c r="CS86" s="169"/>
      <c r="CT86" s="169"/>
      <c r="CU86" s="169"/>
      <c r="CV86" s="169"/>
      <c r="CW86" s="169"/>
      <c r="CX86" s="169"/>
      <c r="CY86" s="169"/>
      <c r="CZ86" s="169"/>
      <c r="DA86" s="169"/>
      <c r="DB86" s="169"/>
      <c r="DC86" s="169"/>
      <c r="DD86" s="169"/>
      <c r="DE86" s="169"/>
      <c r="DF86" s="169"/>
    </row>
    <row r="87" spans="2:110" x14ac:dyDescent="0.4">
      <c r="B87" s="491"/>
      <c r="C87" s="60">
        <v>113</v>
      </c>
      <c r="D87" s="324" t="s">
        <v>217</v>
      </c>
      <c r="E87" s="196">
        <v>45971</v>
      </c>
      <c r="F87" s="196">
        <v>46011</v>
      </c>
      <c r="G87" s="197">
        <f t="shared" si="17"/>
        <v>40</v>
      </c>
      <c r="H87" s="196">
        <f t="shared" si="36"/>
        <v>45971</v>
      </c>
      <c r="I87" s="196">
        <f t="shared" si="37"/>
        <v>46011</v>
      </c>
      <c r="J87" s="200" t="s">
        <v>2</v>
      </c>
      <c r="K87" s="201">
        <v>26</v>
      </c>
      <c r="L87" s="202"/>
      <c r="M87" s="202"/>
      <c r="N87" s="199" t="str">
        <f t="shared" si="38"/>
        <v/>
      </c>
      <c r="O87" s="203" t="str">
        <f t="shared" si="39"/>
        <v>-</v>
      </c>
      <c r="P87" s="206">
        <f t="shared" si="40"/>
        <v>0</v>
      </c>
      <c r="Q87" s="208">
        <f t="shared" si="41"/>
        <v>0</v>
      </c>
      <c r="R87" s="205">
        <f t="shared" si="42"/>
        <v>26</v>
      </c>
      <c r="S87" s="65">
        <f t="shared" si="43"/>
        <v>0</v>
      </c>
      <c r="T87" s="158">
        <f t="shared" si="34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9"/>
      <c r="BP87" s="169"/>
      <c r="BQ87" s="169"/>
      <c r="BR87" s="169"/>
      <c r="BS87" s="169"/>
      <c r="BT87" s="169"/>
      <c r="BU87" s="169"/>
      <c r="BV87" s="169"/>
      <c r="BW87" s="169"/>
      <c r="BX87" s="169"/>
      <c r="BY87" s="169"/>
      <c r="BZ87" s="169"/>
      <c r="CA87" s="169"/>
      <c r="CB87" s="169"/>
      <c r="CC87" s="169"/>
      <c r="CD87" s="169"/>
      <c r="CE87" s="169"/>
      <c r="CF87" s="169"/>
      <c r="CG87" s="169"/>
      <c r="CH87" s="169"/>
      <c r="CI87" s="169"/>
      <c r="CJ87" s="169"/>
      <c r="CK87" s="169"/>
      <c r="CL87" s="169"/>
      <c r="CM87" s="169"/>
      <c r="CN87" s="169"/>
      <c r="CO87" s="169"/>
      <c r="CP87" s="169"/>
      <c r="CQ87" s="169"/>
      <c r="CR87" s="169"/>
      <c r="CS87" s="169"/>
      <c r="CT87" s="169"/>
      <c r="CU87" s="169"/>
      <c r="CV87" s="169"/>
      <c r="CW87" s="169"/>
      <c r="CX87" s="169"/>
      <c r="CY87" s="169"/>
      <c r="CZ87" s="169"/>
      <c r="DA87" s="169"/>
      <c r="DB87" s="169"/>
      <c r="DC87" s="169"/>
      <c r="DD87" s="169"/>
      <c r="DE87" s="169"/>
      <c r="DF87" s="169"/>
    </row>
    <row r="88" spans="2:110" x14ac:dyDescent="0.4">
      <c r="B88" s="491"/>
      <c r="C88" s="60">
        <v>114</v>
      </c>
      <c r="D88" s="324" t="s">
        <v>218</v>
      </c>
      <c r="E88" s="196">
        <v>45971</v>
      </c>
      <c r="F88" s="196">
        <v>46011</v>
      </c>
      <c r="G88" s="197">
        <f t="shared" si="17"/>
        <v>40</v>
      </c>
      <c r="H88" s="196">
        <f t="shared" si="36"/>
        <v>45971</v>
      </c>
      <c r="I88" s="196">
        <f t="shared" si="37"/>
        <v>46011</v>
      </c>
      <c r="J88" s="200" t="s">
        <v>2</v>
      </c>
      <c r="K88" s="201">
        <v>26</v>
      </c>
      <c r="L88" s="202"/>
      <c r="M88" s="202"/>
      <c r="N88" s="199" t="str">
        <f t="shared" si="38"/>
        <v/>
      </c>
      <c r="O88" s="203" t="str">
        <f t="shared" si="39"/>
        <v>-</v>
      </c>
      <c r="P88" s="206">
        <f t="shared" si="40"/>
        <v>0</v>
      </c>
      <c r="Q88" s="208">
        <f t="shared" si="41"/>
        <v>0</v>
      </c>
      <c r="R88" s="205">
        <f t="shared" si="42"/>
        <v>26</v>
      </c>
      <c r="S88" s="65">
        <f t="shared" si="43"/>
        <v>0</v>
      </c>
      <c r="T88" s="158">
        <f t="shared" si="34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9"/>
      <c r="BP88" s="169"/>
      <c r="BQ88" s="169"/>
      <c r="BR88" s="169"/>
      <c r="BS88" s="169"/>
      <c r="BT88" s="169"/>
      <c r="BU88" s="169"/>
      <c r="BV88" s="169"/>
      <c r="BW88" s="169"/>
      <c r="BX88" s="169"/>
      <c r="BY88" s="169"/>
      <c r="BZ88" s="169"/>
      <c r="CA88" s="169"/>
      <c r="CB88" s="169"/>
      <c r="CC88" s="169"/>
      <c r="CD88" s="169"/>
      <c r="CE88" s="169"/>
      <c r="CF88" s="169"/>
      <c r="CG88" s="169"/>
      <c r="CH88" s="169"/>
      <c r="CI88" s="169"/>
      <c r="CJ88" s="169"/>
      <c r="CK88" s="169"/>
      <c r="CL88" s="169"/>
      <c r="CM88" s="169"/>
      <c r="CN88" s="169"/>
      <c r="CO88" s="169"/>
      <c r="CP88" s="169"/>
      <c r="CQ88" s="169"/>
      <c r="CR88" s="169"/>
      <c r="CS88" s="169"/>
      <c r="CT88" s="169"/>
      <c r="CU88" s="169"/>
      <c r="CV88" s="169"/>
      <c r="CW88" s="169"/>
      <c r="CX88" s="169"/>
      <c r="CY88" s="169"/>
      <c r="CZ88" s="169"/>
      <c r="DA88" s="169"/>
      <c r="DB88" s="169"/>
      <c r="DC88" s="169"/>
      <c r="DD88" s="169"/>
      <c r="DE88" s="169"/>
      <c r="DF88" s="169"/>
    </row>
    <row r="89" spans="2:110" x14ac:dyDescent="0.4">
      <c r="B89" s="491" t="s">
        <v>219</v>
      </c>
      <c r="C89" s="60">
        <v>115</v>
      </c>
      <c r="D89" s="324" t="s">
        <v>220</v>
      </c>
      <c r="E89" s="196">
        <f>E68+2</f>
        <v>46018</v>
      </c>
      <c r="F89" s="196">
        <f>F68+2</f>
        <v>46026</v>
      </c>
      <c r="G89" s="197">
        <f t="shared" si="17"/>
        <v>8</v>
      </c>
      <c r="H89" s="196">
        <f t="shared" si="36"/>
        <v>46018</v>
      </c>
      <c r="I89" s="196">
        <f t="shared" si="37"/>
        <v>46026</v>
      </c>
      <c r="J89" s="200" t="s">
        <v>11</v>
      </c>
      <c r="K89" s="201">
        <v>1</v>
      </c>
      <c r="L89" s="202"/>
      <c r="M89" s="202"/>
      <c r="N89" s="199" t="str">
        <f t="shared" si="38"/>
        <v/>
      </c>
      <c r="O89" s="203" t="str">
        <f t="shared" si="39"/>
        <v>-</v>
      </c>
      <c r="P89" s="206">
        <f t="shared" si="40"/>
        <v>0</v>
      </c>
      <c r="Q89" s="208">
        <f t="shared" si="41"/>
        <v>0</v>
      </c>
      <c r="R89" s="205">
        <f t="shared" si="42"/>
        <v>1</v>
      </c>
      <c r="S89" s="65">
        <f t="shared" si="43"/>
        <v>0</v>
      </c>
      <c r="T89" s="158">
        <f t="shared" si="34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</row>
    <row r="90" spans="2:110" ht="29" x14ac:dyDescent="0.4">
      <c r="B90" s="491"/>
      <c r="C90" s="60">
        <v>116</v>
      </c>
      <c r="D90" s="324" t="s">
        <v>221</v>
      </c>
      <c r="E90" s="196">
        <f>E89</f>
        <v>46018</v>
      </c>
      <c r="F90" s="196">
        <f>F89</f>
        <v>46026</v>
      </c>
      <c r="G90" s="197">
        <f t="shared" si="17"/>
        <v>8</v>
      </c>
      <c r="H90" s="196">
        <f t="shared" si="36"/>
        <v>46018</v>
      </c>
      <c r="I90" s="196">
        <f t="shared" si="37"/>
        <v>46026</v>
      </c>
      <c r="J90" s="200" t="s">
        <v>11</v>
      </c>
      <c r="K90" s="201">
        <v>1</v>
      </c>
      <c r="L90" s="202"/>
      <c r="M90" s="202"/>
      <c r="N90" s="199" t="str">
        <f t="shared" si="38"/>
        <v/>
      </c>
      <c r="O90" s="203" t="str">
        <f t="shared" si="39"/>
        <v>-</v>
      </c>
      <c r="P90" s="206">
        <f t="shared" si="40"/>
        <v>0</v>
      </c>
      <c r="Q90" s="208">
        <f t="shared" si="41"/>
        <v>0</v>
      </c>
      <c r="R90" s="205">
        <f t="shared" si="42"/>
        <v>1</v>
      </c>
      <c r="S90" s="65">
        <f t="shared" si="43"/>
        <v>0</v>
      </c>
      <c r="T90" s="158">
        <f t="shared" si="34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9"/>
      <c r="BP90" s="169"/>
      <c r="BQ90" s="169"/>
      <c r="BR90" s="169"/>
      <c r="BS90" s="169"/>
      <c r="BT90" s="169"/>
      <c r="BU90" s="169"/>
      <c r="BV90" s="169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169"/>
      <c r="DE90" s="169"/>
      <c r="DF90" s="169"/>
    </row>
    <row r="91" spans="2:110" x14ac:dyDescent="0.4">
      <c r="B91" s="491"/>
      <c r="C91" s="60">
        <v>117</v>
      </c>
      <c r="D91" s="324" t="s">
        <v>222</v>
      </c>
      <c r="E91" s="196">
        <f>E90</f>
        <v>46018</v>
      </c>
      <c r="F91" s="196">
        <f>F90</f>
        <v>46026</v>
      </c>
      <c r="G91" s="197">
        <f t="shared" si="17"/>
        <v>8</v>
      </c>
      <c r="H91" s="196">
        <f t="shared" si="36"/>
        <v>46018</v>
      </c>
      <c r="I91" s="196">
        <f t="shared" si="37"/>
        <v>46026</v>
      </c>
      <c r="J91" s="200" t="s">
        <v>11</v>
      </c>
      <c r="K91" s="201">
        <v>1</v>
      </c>
      <c r="L91" s="202"/>
      <c r="M91" s="202"/>
      <c r="N91" s="199" t="str">
        <f t="shared" si="38"/>
        <v/>
      </c>
      <c r="O91" s="203" t="str">
        <f t="shared" si="39"/>
        <v>-</v>
      </c>
      <c r="P91" s="206">
        <f t="shared" si="40"/>
        <v>0</v>
      </c>
      <c r="Q91" s="208">
        <f t="shared" si="41"/>
        <v>0</v>
      </c>
      <c r="R91" s="205">
        <f t="shared" si="42"/>
        <v>1</v>
      </c>
      <c r="S91" s="65">
        <f t="shared" si="43"/>
        <v>0</v>
      </c>
      <c r="T91" s="158">
        <f t="shared" si="34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9"/>
      <c r="BP91" s="169"/>
      <c r="BQ91" s="169"/>
      <c r="BR91" s="169"/>
      <c r="BS91" s="169"/>
      <c r="BT91" s="169"/>
      <c r="BU91" s="169"/>
      <c r="BV91" s="169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169"/>
      <c r="DE91" s="169"/>
      <c r="DF91" s="169"/>
    </row>
    <row r="92" spans="2:110" x14ac:dyDescent="0.4">
      <c r="B92" s="491"/>
      <c r="C92" s="60">
        <v>118</v>
      </c>
      <c r="D92" s="324" t="s">
        <v>217</v>
      </c>
      <c r="E92" s="196">
        <v>45919</v>
      </c>
      <c r="F92" s="196">
        <v>46009</v>
      </c>
      <c r="G92" s="197">
        <f t="shared" ref="G92:G120" si="44">F92-E92</f>
        <v>90</v>
      </c>
      <c r="H92" s="196">
        <f>E92</f>
        <v>45919</v>
      </c>
      <c r="I92" s="196">
        <f>F92</f>
        <v>46009</v>
      </c>
      <c r="J92" s="200" t="s">
        <v>11</v>
      </c>
      <c r="K92" s="201">
        <v>1</v>
      </c>
      <c r="L92" s="202"/>
      <c r="M92" s="202"/>
      <c r="N92" s="199" t="str">
        <f t="shared" si="38"/>
        <v/>
      </c>
      <c r="O92" s="203" t="str">
        <f t="shared" si="39"/>
        <v>-</v>
      </c>
      <c r="P92" s="206">
        <f t="shared" si="40"/>
        <v>0</v>
      </c>
      <c r="Q92" s="208">
        <f t="shared" si="41"/>
        <v>0</v>
      </c>
      <c r="R92" s="205">
        <f t="shared" si="42"/>
        <v>1</v>
      </c>
      <c r="S92" s="65">
        <f t="shared" si="43"/>
        <v>0</v>
      </c>
      <c r="T92" s="158">
        <f t="shared" si="34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9"/>
      <c r="BP92" s="169"/>
      <c r="BQ92" s="169"/>
      <c r="BR92" s="169"/>
      <c r="BS92" s="169"/>
      <c r="BT92" s="169"/>
      <c r="BU92" s="169"/>
      <c r="BV92" s="169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169"/>
      <c r="DE92" s="169"/>
      <c r="DF92" s="169"/>
    </row>
    <row r="93" spans="2:110" x14ac:dyDescent="0.4">
      <c r="B93" s="491"/>
      <c r="C93" s="60">
        <v>119</v>
      </c>
      <c r="D93" s="324" t="s">
        <v>218</v>
      </c>
      <c r="E93" s="196">
        <v>45919</v>
      </c>
      <c r="F93" s="196">
        <v>46011</v>
      </c>
      <c r="G93" s="197">
        <f t="shared" si="44"/>
        <v>92</v>
      </c>
      <c r="H93" s="196">
        <f t="shared" ref="H93:H120" si="45">E93</f>
        <v>45919</v>
      </c>
      <c r="I93" s="196">
        <f t="shared" ref="I93:I120" si="46">F93</f>
        <v>46011</v>
      </c>
      <c r="J93" s="200" t="s">
        <v>11</v>
      </c>
      <c r="K93" s="201">
        <v>1</v>
      </c>
      <c r="L93" s="202"/>
      <c r="M93" s="202"/>
      <c r="N93" s="199" t="str">
        <f t="shared" si="38"/>
        <v/>
      </c>
      <c r="O93" s="203" t="str">
        <f t="shared" si="39"/>
        <v>-</v>
      </c>
      <c r="P93" s="206">
        <f t="shared" si="40"/>
        <v>0</v>
      </c>
      <c r="Q93" s="208">
        <f t="shared" si="41"/>
        <v>0</v>
      </c>
      <c r="R93" s="205">
        <f t="shared" si="42"/>
        <v>1</v>
      </c>
      <c r="S93" s="65">
        <f t="shared" si="43"/>
        <v>0</v>
      </c>
      <c r="T93" s="158">
        <f t="shared" si="34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9"/>
      <c r="BP93" s="169"/>
      <c r="BQ93" s="169"/>
      <c r="BR93" s="169"/>
      <c r="BS93" s="169"/>
      <c r="BT93" s="169"/>
      <c r="BU93" s="169"/>
      <c r="BV93" s="169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169"/>
      <c r="DE93" s="169"/>
      <c r="DF93" s="169"/>
    </row>
    <row r="94" spans="2:110" x14ac:dyDescent="0.4">
      <c r="B94" s="491" t="s">
        <v>223</v>
      </c>
      <c r="C94" s="60">
        <v>120</v>
      </c>
      <c r="D94" s="324" t="s">
        <v>224</v>
      </c>
      <c r="E94" s="196">
        <v>45940</v>
      </c>
      <c r="F94" s="196">
        <v>46006</v>
      </c>
      <c r="G94" s="197">
        <f t="shared" si="44"/>
        <v>66</v>
      </c>
      <c r="H94" s="196">
        <f t="shared" si="45"/>
        <v>45940</v>
      </c>
      <c r="I94" s="196">
        <f t="shared" si="46"/>
        <v>46006</v>
      </c>
      <c r="J94" s="200" t="s">
        <v>2</v>
      </c>
      <c r="K94" s="201">
        <v>26</v>
      </c>
      <c r="L94" s="202"/>
      <c r="M94" s="202"/>
      <c r="N94" s="199" t="str">
        <f t="shared" si="38"/>
        <v/>
      </c>
      <c r="O94" s="203" t="str">
        <f t="shared" si="39"/>
        <v>-</v>
      </c>
      <c r="P94" s="206">
        <f t="shared" si="40"/>
        <v>0</v>
      </c>
      <c r="Q94" s="208">
        <f t="shared" si="41"/>
        <v>0</v>
      </c>
      <c r="R94" s="205">
        <f t="shared" si="42"/>
        <v>26</v>
      </c>
      <c r="S94" s="65">
        <f t="shared" si="43"/>
        <v>0</v>
      </c>
      <c r="T94" s="158">
        <f t="shared" si="34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9"/>
      <c r="BP94" s="169"/>
      <c r="BQ94" s="169"/>
      <c r="BR94" s="169"/>
      <c r="BS94" s="169"/>
      <c r="BT94" s="169"/>
      <c r="BU94" s="169"/>
      <c r="BV94" s="169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169"/>
      <c r="DE94" s="169"/>
      <c r="DF94" s="169"/>
    </row>
    <row r="95" spans="2:110" x14ac:dyDescent="0.4">
      <c r="B95" s="491"/>
      <c r="C95" s="60">
        <v>121</v>
      </c>
      <c r="D95" s="324" t="s">
        <v>225</v>
      </c>
      <c r="E95" s="196">
        <v>45992</v>
      </c>
      <c r="F95" s="196">
        <v>46011</v>
      </c>
      <c r="G95" s="197">
        <f t="shared" si="44"/>
        <v>19</v>
      </c>
      <c r="H95" s="196">
        <f t="shared" si="45"/>
        <v>45992</v>
      </c>
      <c r="I95" s="196">
        <f t="shared" si="46"/>
        <v>46011</v>
      </c>
      <c r="J95" s="200" t="s">
        <v>2</v>
      </c>
      <c r="K95" s="201">
        <v>26</v>
      </c>
      <c r="L95" s="202"/>
      <c r="M95" s="202"/>
      <c r="N95" s="199" t="str">
        <f t="shared" si="38"/>
        <v/>
      </c>
      <c r="O95" s="203" t="str">
        <f t="shared" si="39"/>
        <v>-</v>
      </c>
      <c r="P95" s="206">
        <f t="shared" si="40"/>
        <v>0</v>
      </c>
      <c r="Q95" s="208">
        <f t="shared" si="41"/>
        <v>0</v>
      </c>
      <c r="R95" s="205">
        <f t="shared" si="42"/>
        <v>26</v>
      </c>
      <c r="S95" s="65">
        <f t="shared" si="43"/>
        <v>0</v>
      </c>
      <c r="T95" s="158">
        <f t="shared" si="34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9"/>
      <c r="BP95" s="169"/>
      <c r="BQ95" s="169"/>
      <c r="BR95" s="169"/>
      <c r="BS95" s="169"/>
      <c r="BT95" s="169"/>
      <c r="BU95" s="169"/>
      <c r="BV95" s="169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169"/>
      <c r="DE95" s="169"/>
      <c r="DF95" s="169"/>
    </row>
    <row r="96" spans="2:110" x14ac:dyDescent="0.4">
      <c r="B96" s="491"/>
      <c r="C96" s="60">
        <v>122</v>
      </c>
      <c r="D96" s="324" t="s">
        <v>431</v>
      </c>
      <c r="E96" s="196">
        <v>45962</v>
      </c>
      <c r="F96" s="196">
        <v>45996</v>
      </c>
      <c r="G96" s="197">
        <f t="shared" si="44"/>
        <v>34</v>
      </c>
      <c r="H96" s="196">
        <f t="shared" si="45"/>
        <v>45962</v>
      </c>
      <c r="I96" s="196">
        <f t="shared" si="46"/>
        <v>45996</v>
      </c>
      <c r="J96" s="200" t="s">
        <v>2</v>
      </c>
      <c r="K96" s="201">
        <v>26</v>
      </c>
      <c r="L96" s="202"/>
      <c r="M96" s="202"/>
      <c r="N96" s="199" t="str">
        <f t="shared" si="38"/>
        <v/>
      </c>
      <c r="O96" s="203" t="str">
        <f t="shared" si="39"/>
        <v>-</v>
      </c>
      <c r="P96" s="206">
        <f t="shared" si="40"/>
        <v>0</v>
      </c>
      <c r="Q96" s="208">
        <f t="shared" si="41"/>
        <v>0</v>
      </c>
      <c r="R96" s="205">
        <f t="shared" si="42"/>
        <v>26</v>
      </c>
      <c r="S96" s="65">
        <f t="shared" si="43"/>
        <v>0</v>
      </c>
      <c r="T96" s="158">
        <f t="shared" si="34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9"/>
      <c r="BP96" s="169"/>
      <c r="BQ96" s="169"/>
      <c r="BR96" s="169"/>
      <c r="BS96" s="169"/>
      <c r="BT96" s="169"/>
      <c r="BU96" s="169"/>
      <c r="BV96" s="169"/>
      <c r="BW96" s="169"/>
      <c r="BX96" s="169"/>
      <c r="BY96" s="169"/>
      <c r="BZ96" s="169"/>
      <c r="CA96" s="169"/>
      <c r="CB96" s="169"/>
      <c r="CC96" s="169"/>
      <c r="CD96" s="169"/>
      <c r="CE96" s="169"/>
      <c r="CF96" s="169"/>
      <c r="CG96" s="169"/>
      <c r="CH96" s="169"/>
      <c r="CI96" s="169"/>
      <c r="CJ96" s="169"/>
      <c r="CK96" s="169"/>
      <c r="CL96" s="169"/>
      <c r="CM96" s="169"/>
      <c r="CN96" s="169"/>
      <c r="CO96" s="169"/>
      <c r="CP96" s="169"/>
      <c r="CQ96" s="169"/>
      <c r="CR96" s="169"/>
      <c r="CS96" s="169"/>
      <c r="CT96" s="169"/>
      <c r="CU96" s="169"/>
      <c r="CV96" s="169"/>
      <c r="CW96" s="169"/>
      <c r="CX96" s="169"/>
      <c r="CY96" s="169"/>
      <c r="CZ96" s="169"/>
      <c r="DA96" s="169"/>
      <c r="DB96" s="169"/>
      <c r="DC96" s="169"/>
      <c r="DD96" s="169"/>
      <c r="DE96" s="169"/>
      <c r="DF96" s="169"/>
    </row>
    <row r="97" spans="2:110" x14ac:dyDescent="0.4">
      <c r="B97" s="505" t="s">
        <v>226</v>
      </c>
      <c r="C97" s="60">
        <v>123</v>
      </c>
      <c r="D97" s="324" t="s">
        <v>227</v>
      </c>
      <c r="E97" s="196">
        <v>45986</v>
      </c>
      <c r="F97" s="196">
        <v>46016</v>
      </c>
      <c r="G97" s="197">
        <f t="shared" si="44"/>
        <v>30</v>
      </c>
      <c r="H97" s="196">
        <f t="shared" si="45"/>
        <v>45986</v>
      </c>
      <c r="I97" s="196">
        <f t="shared" si="46"/>
        <v>46016</v>
      </c>
      <c r="J97" s="200" t="s">
        <v>2</v>
      </c>
      <c r="K97" s="201">
        <v>26</v>
      </c>
      <c r="L97" s="202"/>
      <c r="M97" s="202"/>
      <c r="N97" s="199" t="str">
        <f t="shared" si="38"/>
        <v/>
      </c>
      <c r="O97" s="203" t="str">
        <f t="shared" si="39"/>
        <v>-</v>
      </c>
      <c r="P97" s="206">
        <f t="shared" si="40"/>
        <v>0</v>
      </c>
      <c r="Q97" s="208">
        <f t="shared" si="41"/>
        <v>0</v>
      </c>
      <c r="R97" s="205">
        <f t="shared" si="42"/>
        <v>26</v>
      </c>
      <c r="S97" s="65">
        <f t="shared" si="43"/>
        <v>0</v>
      </c>
      <c r="T97" s="158">
        <f t="shared" si="34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9"/>
      <c r="BP97" s="169"/>
      <c r="BQ97" s="169"/>
      <c r="BR97" s="169"/>
      <c r="BS97" s="169"/>
      <c r="BT97" s="169"/>
      <c r="BU97" s="169"/>
      <c r="BV97" s="169"/>
      <c r="BW97" s="169"/>
      <c r="BX97" s="169"/>
      <c r="BY97" s="169"/>
      <c r="BZ97" s="169"/>
      <c r="CA97" s="169"/>
      <c r="CB97" s="169"/>
      <c r="CC97" s="169"/>
      <c r="CD97" s="169"/>
      <c r="CE97" s="169"/>
      <c r="CF97" s="169"/>
      <c r="CG97" s="169"/>
      <c r="CH97" s="169"/>
      <c r="CI97" s="169"/>
      <c r="CJ97" s="169"/>
      <c r="CK97" s="169"/>
      <c r="CL97" s="169"/>
      <c r="CM97" s="169"/>
      <c r="CN97" s="169"/>
      <c r="CO97" s="169"/>
      <c r="CP97" s="169"/>
      <c r="CQ97" s="169"/>
      <c r="CR97" s="169"/>
      <c r="CS97" s="169"/>
      <c r="CT97" s="169"/>
      <c r="CU97" s="169"/>
      <c r="CV97" s="169"/>
      <c r="CW97" s="169"/>
      <c r="CX97" s="169"/>
      <c r="CY97" s="169"/>
      <c r="CZ97" s="169"/>
      <c r="DA97" s="169"/>
      <c r="DB97" s="169"/>
      <c r="DC97" s="169"/>
      <c r="DD97" s="169"/>
      <c r="DE97" s="169"/>
      <c r="DF97" s="169"/>
    </row>
    <row r="98" spans="2:110" x14ac:dyDescent="0.4">
      <c r="B98" s="505"/>
      <c r="C98" s="60">
        <v>124</v>
      </c>
      <c r="D98" s="324" t="s">
        <v>228</v>
      </c>
      <c r="E98" s="196">
        <v>45984</v>
      </c>
      <c r="F98" s="196">
        <v>46008</v>
      </c>
      <c r="G98" s="197">
        <f t="shared" si="44"/>
        <v>24</v>
      </c>
      <c r="H98" s="196">
        <f t="shared" si="45"/>
        <v>45984</v>
      </c>
      <c r="I98" s="196">
        <f t="shared" si="46"/>
        <v>46008</v>
      </c>
      <c r="J98" s="200" t="s">
        <v>2</v>
      </c>
      <c r="K98" s="201">
        <v>26</v>
      </c>
      <c r="L98" s="202"/>
      <c r="M98" s="202"/>
      <c r="N98" s="199" t="str">
        <f t="shared" si="38"/>
        <v/>
      </c>
      <c r="O98" s="203" t="str">
        <f t="shared" si="39"/>
        <v>-</v>
      </c>
      <c r="P98" s="206">
        <f t="shared" si="40"/>
        <v>0</v>
      </c>
      <c r="Q98" s="208">
        <f t="shared" si="41"/>
        <v>0</v>
      </c>
      <c r="R98" s="205">
        <f t="shared" si="42"/>
        <v>26</v>
      </c>
      <c r="S98" s="65">
        <f t="shared" si="43"/>
        <v>0</v>
      </c>
      <c r="T98" s="158">
        <f t="shared" si="34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9"/>
      <c r="BP98" s="169"/>
      <c r="BQ98" s="169"/>
      <c r="BR98" s="169"/>
      <c r="BS98" s="169"/>
      <c r="BT98" s="169"/>
      <c r="BU98" s="169"/>
      <c r="BV98" s="169"/>
      <c r="BW98" s="169"/>
      <c r="BX98" s="169"/>
      <c r="BY98" s="169"/>
      <c r="BZ98" s="169"/>
      <c r="CA98" s="169"/>
      <c r="CB98" s="169"/>
      <c r="CC98" s="169"/>
      <c r="CD98" s="169"/>
      <c r="CE98" s="169"/>
      <c r="CF98" s="169"/>
      <c r="CG98" s="169"/>
      <c r="CH98" s="169"/>
      <c r="CI98" s="169"/>
      <c r="CJ98" s="169"/>
      <c r="CK98" s="169"/>
      <c r="CL98" s="169"/>
      <c r="CM98" s="169"/>
      <c r="CN98" s="169"/>
      <c r="CO98" s="169"/>
      <c r="CP98" s="169"/>
      <c r="CQ98" s="169"/>
      <c r="CR98" s="169"/>
      <c r="CS98" s="169"/>
      <c r="CT98" s="169"/>
      <c r="CU98" s="169"/>
      <c r="CV98" s="169"/>
      <c r="CW98" s="169"/>
      <c r="CX98" s="169"/>
      <c r="CY98" s="169"/>
      <c r="CZ98" s="169"/>
      <c r="DA98" s="169"/>
      <c r="DB98" s="169"/>
      <c r="DC98" s="169"/>
      <c r="DD98" s="169"/>
      <c r="DE98" s="169"/>
      <c r="DF98" s="169"/>
    </row>
    <row r="99" spans="2:110" x14ac:dyDescent="0.4">
      <c r="B99" s="505"/>
      <c r="C99" s="60">
        <v>125</v>
      </c>
      <c r="D99" s="324" t="s">
        <v>436</v>
      </c>
      <c r="E99" s="196">
        <v>45988</v>
      </c>
      <c r="F99" s="196">
        <v>46007</v>
      </c>
      <c r="G99" s="197">
        <f t="shared" si="44"/>
        <v>19</v>
      </c>
      <c r="H99" s="196">
        <f t="shared" si="45"/>
        <v>45988</v>
      </c>
      <c r="I99" s="196">
        <f t="shared" si="46"/>
        <v>46007</v>
      </c>
      <c r="J99" s="200" t="s">
        <v>2</v>
      </c>
      <c r="K99" s="201">
        <v>26</v>
      </c>
      <c r="L99" s="202"/>
      <c r="M99" s="202"/>
      <c r="N99" s="199" t="str">
        <f t="shared" si="38"/>
        <v/>
      </c>
      <c r="O99" s="203" t="str">
        <f t="shared" si="39"/>
        <v>-</v>
      </c>
      <c r="P99" s="206">
        <f t="shared" si="40"/>
        <v>0</v>
      </c>
      <c r="Q99" s="208">
        <f t="shared" si="41"/>
        <v>0</v>
      </c>
      <c r="R99" s="205">
        <f t="shared" si="42"/>
        <v>26</v>
      </c>
      <c r="S99" s="65">
        <f t="shared" si="43"/>
        <v>0</v>
      </c>
      <c r="T99" s="158">
        <f t="shared" si="34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9"/>
      <c r="BP99" s="169"/>
      <c r="BQ99" s="169"/>
      <c r="BR99" s="169"/>
      <c r="BS99" s="169"/>
      <c r="BT99" s="169"/>
      <c r="BU99" s="169"/>
      <c r="BV99" s="169"/>
      <c r="BW99" s="169"/>
      <c r="BX99" s="169"/>
      <c r="BY99" s="169"/>
      <c r="BZ99" s="169"/>
      <c r="CA99" s="169"/>
      <c r="CB99" s="169"/>
      <c r="CC99" s="169"/>
      <c r="CD99" s="169"/>
      <c r="CE99" s="169"/>
      <c r="CF99" s="169"/>
      <c r="CG99" s="169"/>
      <c r="CH99" s="169"/>
      <c r="CI99" s="169"/>
      <c r="CJ99" s="169"/>
      <c r="CK99" s="169"/>
      <c r="CL99" s="169"/>
      <c r="CM99" s="169"/>
      <c r="CN99" s="169"/>
      <c r="CO99" s="169"/>
      <c r="CP99" s="169"/>
      <c r="CQ99" s="169"/>
      <c r="CR99" s="169"/>
      <c r="CS99" s="169"/>
      <c r="CT99" s="169"/>
      <c r="CU99" s="169"/>
      <c r="CV99" s="169"/>
      <c r="CW99" s="169"/>
      <c r="CX99" s="169"/>
      <c r="CY99" s="169"/>
      <c r="CZ99" s="169"/>
      <c r="DA99" s="169"/>
      <c r="DB99" s="169"/>
      <c r="DC99" s="169"/>
      <c r="DD99" s="169"/>
      <c r="DE99" s="169"/>
      <c r="DF99" s="169"/>
    </row>
    <row r="100" spans="2:110" x14ac:dyDescent="0.4">
      <c r="B100" s="505"/>
      <c r="C100" s="60">
        <v>127</v>
      </c>
      <c r="D100" s="324" t="s">
        <v>231</v>
      </c>
      <c r="E100" s="196">
        <v>45978</v>
      </c>
      <c r="F100" s="196">
        <v>45984</v>
      </c>
      <c r="G100" s="197">
        <f t="shared" si="44"/>
        <v>6</v>
      </c>
      <c r="H100" s="196">
        <f t="shared" si="45"/>
        <v>45978</v>
      </c>
      <c r="I100" s="196">
        <f t="shared" si="46"/>
        <v>45984</v>
      </c>
      <c r="J100" s="200" t="s">
        <v>2</v>
      </c>
      <c r="K100" s="201">
        <v>26</v>
      </c>
      <c r="L100" s="202"/>
      <c r="M100" s="202"/>
      <c r="N100" s="199" t="str">
        <f t="shared" si="38"/>
        <v/>
      </c>
      <c r="O100" s="203" t="str">
        <f t="shared" si="39"/>
        <v>-</v>
      </c>
      <c r="P100" s="206">
        <f t="shared" si="40"/>
        <v>0</v>
      </c>
      <c r="Q100" s="208">
        <f t="shared" si="41"/>
        <v>0</v>
      </c>
      <c r="R100" s="205">
        <f t="shared" si="42"/>
        <v>26</v>
      </c>
      <c r="S100" s="65">
        <f t="shared" ref="S100:S120" si="47">SUM(U100:XFD100)</f>
        <v>0</v>
      </c>
      <c r="T100" s="158">
        <f t="shared" si="34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9"/>
      <c r="BP100" s="169"/>
      <c r="BQ100" s="169"/>
      <c r="BR100" s="169"/>
      <c r="BS100" s="169"/>
      <c r="BT100" s="169"/>
      <c r="BU100" s="169"/>
      <c r="BV100" s="169"/>
      <c r="BW100" s="169"/>
      <c r="BX100" s="169"/>
      <c r="BY100" s="169"/>
      <c r="BZ100" s="169"/>
      <c r="CA100" s="169"/>
      <c r="CB100" s="169"/>
      <c r="CC100" s="169"/>
      <c r="CD100" s="169"/>
      <c r="CE100" s="169"/>
      <c r="CF100" s="169"/>
      <c r="CG100" s="169"/>
      <c r="CH100" s="169"/>
      <c r="CI100" s="169"/>
      <c r="CJ100" s="169"/>
      <c r="CK100" s="169"/>
      <c r="CL100" s="169"/>
      <c r="CM100" s="169"/>
      <c r="CN100" s="169"/>
      <c r="CO100" s="169"/>
      <c r="CP100" s="169"/>
      <c r="CQ100" s="169"/>
      <c r="CR100" s="169"/>
      <c r="CS100" s="169"/>
      <c r="CT100" s="169"/>
      <c r="CU100" s="169"/>
      <c r="CV100" s="169"/>
      <c r="CW100" s="169"/>
      <c r="CX100" s="169"/>
      <c r="CY100" s="169"/>
      <c r="CZ100" s="169"/>
      <c r="DA100" s="169"/>
      <c r="DB100" s="169"/>
      <c r="DC100" s="169"/>
      <c r="DD100" s="169"/>
      <c r="DE100" s="169"/>
      <c r="DF100" s="169"/>
    </row>
    <row r="101" spans="2:110" x14ac:dyDescent="0.4">
      <c r="B101" s="505"/>
      <c r="C101" s="60">
        <v>128</v>
      </c>
      <c r="D101" s="324" t="s">
        <v>437</v>
      </c>
      <c r="E101" s="196">
        <v>45985</v>
      </c>
      <c r="F101" s="196">
        <v>45989</v>
      </c>
      <c r="G101" s="197">
        <f t="shared" si="44"/>
        <v>4</v>
      </c>
      <c r="H101" s="196">
        <f t="shared" si="45"/>
        <v>45985</v>
      </c>
      <c r="I101" s="196">
        <f t="shared" si="46"/>
        <v>45989</v>
      </c>
      <c r="J101" s="200" t="s">
        <v>2</v>
      </c>
      <c r="K101" s="201">
        <v>26</v>
      </c>
      <c r="L101" s="202"/>
      <c r="M101" s="202"/>
      <c r="N101" s="199" t="str">
        <f t="shared" si="38"/>
        <v/>
      </c>
      <c r="O101" s="203" t="str">
        <f t="shared" si="39"/>
        <v>-</v>
      </c>
      <c r="P101" s="206">
        <f t="shared" si="40"/>
        <v>0</v>
      </c>
      <c r="Q101" s="208">
        <f t="shared" si="41"/>
        <v>0</v>
      </c>
      <c r="R101" s="205">
        <f t="shared" si="42"/>
        <v>26</v>
      </c>
      <c r="S101" s="65">
        <f t="shared" si="47"/>
        <v>0</v>
      </c>
      <c r="T101" s="158">
        <f t="shared" si="34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9"/>
      <c r="BP101" s="169"/>
      <c r="BQ101" s="169"/>
      <c r="BR101" s="169"/>
      <c r="BS101" s="169"/>
      <c r="BT101" s="169"/>
      <c r="BU101" s="169"/>
      <c r="BV101" s="169"/>
      <c r="BW101" s="169"/>
      <c r="BX101" s="169"/>
      <c r="BY101" s="169"/>
      <c r="BZ101" s="169"/>
      <c r="CA101" s="169"/>
      <c r="CB101" s="169"/>
      <c r="CC101" s="169"/>
      <c r="CD101" s="169"/>
      <c r="CE101" s="169"/>
      <c r="CF101" s="169"/>
      <c r="CG101" s="169"/>
      <c r="CH101" s="169"/>
      <c r="CI101" s="169"/>
      <c r="CJ101" s="169"/>
      <c r="CK101" s="169"/>
      <c r="CL101" s="169"/>
      <c r="CM101" s="169"/>
      <c r="CN101" s="169"/>
      <c r="CO101" s="169"/>
      <c r="CP101" s="169"/>
      <c r="CQ101" s="169"/>
      <c r="CR101" s="169"/>
      <c r="CS101" s="169"/>
      <c r="CT101" s="169"/>
      <c r="CU101" s="169"/>
      <c r="CV101" s="169"/>
      <c r="CW101" s="169"/>
      <c r="CX101" s="169"/>
      <c r="CY101" s="169"/>
      <c r="CZ101" s="169"/>
      <c r="DA101" s="169"/>
      <c r="DB101" s="169"/>
      <c r="DC101" s="169"/>
      <c r="DD101" s="169"/>
      <c r="DE101" s="169"/>
      <c r="DF101" s="169"/>
    </row>
    <row r="102" spans="2:110" x14ac:dyDescent="0.4">
      <c r="B102" s="505"/>
      <c r="C102" s="60">
        <v>129</v>
      </c>
      <c r="D102" s="324" t="s">
        <v>438</v>
      </c>
      <c r="E102" s="196">
        <v>45985</v>
      </c>
      <c r="F102" s="196">
        <v>45992</v>
      </c>
      <c r="G102" s="197">
        <f t="shared" si="44"/>
        <v>7</v>
      </c>
      <c r="H102" s="196">
        <f t="shared" si="45"/>
        <v>45985</v>
      </c>
      <c r="I102" s="196">
        <f t="shared" si="46"/>
        <v>45992</v>
      </c>
      <c r="J102" s="200" t="s">
        <v>2</v>
      </c>
      <c r="K102" s="201">
        <v>26</v>
      </c>
      <c r="L102" s="202"/>
      <c r="M102" s="202"/>
      <c r="N102" s="199" t="str">
        <f t="shared" si="38"/>
        <v/>
      </c>
      <c r="O102" s="203" t="str">
        <f t="shared" si="39"/>
        <v>-</v>
      </c>
      <c r="P102" s="206">
        <f t="shared" si="40"/>
        <v>0</v>
      </c>
      <c r="Q102" s="208">
        <f t="shared" si="41"/>
        <v>0</v>
      </c>
      <c r="R102" s="205">
        <f t="shared" si="42"/>
        <v>26</v>
      </c>
      <c r="S102" s="65">
        <f t="shared" si="47"/>
        <v>0</v>
      </c>
      <c r="T102" s="158">
        <f t="shared" si="34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9"/>
      <c r="BP102" s="169"/>
      <c r="BQ102" s="169"/>
      <c r="BR102" s="169"/>
      <c r="BS102" s="169"/>
      <c r="BT102" s="169"/>
      <c r="BU102" s="169"/>
      <c r="BV102" s="169"/>
      <c r="BW102" s="169"/>
      <c r="BX102" s="169"/>
      <c r="BY102" s="169"/>
      <c r="BZ102" s="169"/>
      <c r="CA102" s="169"/>
      <c r="CB102" s="169"/>
      <c r="CC102" s="169"/>
      <c r="CD102" s="169"/>
      <c r="CE102" s="169"/>
      <c r="CF102" s="169"/>
      <c r="CG102" s="169"/>
      <c r="CH102" s="169"/>
      <c r="CI102" s="169"/>
      <c r="CJ102" s="169"/>
      <c r="CK102" s="169"/>
      <c r="CL102" s="169"/>
      <c r="CM102" s="169"/>
      <c r="CN102" s="169"/>
      <c r="CO102" s="169"/>
      <c r="CP102" s="169"/>
      <c r="CQ102" s="169"/>
      <c r="CR102" s="169"/>
      <c r="CS102" s="169"/>
      <c r="CT102" s="169"/>
      <c r="CU102" s="169"/>
      <c r="CV102" s="169"/>
      <c r="CW102" s="169"/>
      <c r="CX102" s="169"/>
      <c r="CY102" s="169"/>
      <c r="CZ102" s="169"/>
      <c r="DA102" s="169"/>
      <c r="DB102" s="169"/>
      <c r="DC102" s="169"/>
      <c r="DD102" s="169"/>
      <c r="DE102" s="169"/>
      <c r="DF102" s="169"/>
    </row>
    <row r="103" spans="2:110" x14ac:dyDescent="0.4">
      <c r="B103" s="505"/>
      <c r="C103" s="60">
        <v>130</v>
      </c>
      <c r="D103" s="324" t="s">
        <v>234</v>
      </c>
      <c r="E103" s="196">
        <v>45988</v>
      </c>
      <c r="F103" s="196">
        <v>46017</v>
      </c>
      <c r="G103" s="197">
        <f t="shared" si="44"/>
        <v>29</v>
      </c>
      <c r="H103" s="196">
        <f t="shared" si="45"/>
        <v>45988</v>
      </c>
      <c r="I103" s="196">
        <f t="shared" si="46"/>
        <v>46017</v>
      </c>
      <c r="J103" s="200" t="s">
        <v>2</v>
      </c>
      <c r="K103" s="201">
        <v>26</v>
      </c>
      <c r="L103" s="202"/>
      <c r="M103" s="202"/>
      <c r="N103" s="199" t="str">
        <f t="shared" si="38"/>
        <v/>
      </c>
      <c r="O103" s="203" t="str">
        <f t="shared" si="39"/>
        <v>-</v>
      </c>
      <c r="P103" s="206">
        <f t="shared" si="40"/>
        <v>0</v>
      </c>
      <c r="Q103" s="208">
        <f t="shared" si="41"/>
        <v>0</v>
      </c>
      <c r="R103" s="205">
        <f t="shared" si="42"/>
        <v>26</v>
      </c>
      <c r="S103" s="65">
        <f t="shared" si="47"/>
        <v>0</v>
      </c>
      <c r="T103" s="158">
        <f t="shared" si="34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9"/>
      <c r="BP103" s="169"/>
      <c r="BQ103" s="169"/>
      <c r="BR103" s="169"/>
      <c r="BS103" s="169"/>
      <c r="BT103" s="169"/>
      <c r="BU103" s="169"/>
      <c r="BV103" s="169"/>
      <c r="BW103" s="169"/>
      <c r="BX103" s="169"/>
      <c r="BY103" s="169"/>
      <c r="BZ103" s="169"/>
      <c r="CA103" s="169"/>
      <c r="CB103" s="169"/>
      <c r="CC103" s="169"/>
      <c r="CD103" s="169"/>
      <c r="CE103" s="169"/>
      <c r="CF103" s="169"/>
      <c r="CG103" s="169"/>
      <c r="CH103" s="169"/>
      <c r="CI103" s="169"/>
      <c r="CJ103" s="169"/>
      <c r="CK103" s="169"/>
      <c r="CL103" s="169"/>
      <c r="CM103" s="169"/>
      <c r="CN103" s="169"/>
      <c r="CO103" s="169"/>
      <c r="CP103" s="169"/>
      <c r="CQ103" s="169"/>
      <c r="CR103" s="169"/>
      <c r="CS103" s="169"/>
      <c r="CT103" s="169"/>
      <c r="CU103" s="169"/>
      <c r="CV103" s="169"/>
      <c r="CW103" s="169"/>
      <c r="CX103" s="169"/>
      <c r="CY103" s="169"/>
      <c r="CZ103" s="169"/>
      <c r="DA103" s="169"/>
      <c r="DB103" s="169"/>
      <c r="DC103" s="169"/>
      <c r="DD103" s="169"/>
      <c r="DE103" s="169"/>
      <c r="DF103" s="169"/>
    </row>
    <row r="104" spans="2:110" x14ac:dyDescent="0.4">
      <c r="B104" s="505"/>
      <c r="C104" s="60">
        <v>131</v>
      </c>
      <c r="D104" s="324" t="s">
        <v>432</v>
      </c>
      <c r="E104" s="196">
        <v>45997</v>
      </c>
      <c r="F104" s="196">
        <v>46028</v>
      </c>
      <c r="G104" s="197">
        <f t="shared" si="44"/>
        <v>31</v>
      </c>
      <c r="H104" s="196">
        <f t="shared" si="45"/>
        <v>45997</v>
      </c>
      <c r="I104" s="196">
        <f t="shared" si="46"/>
        <v>46028</v>
      </c>
      <c r="J104" s="200" t="s">
        <v>2</v>
      </c>
      <c r="K104" s="201">
        <v>26</v>
      </c>
      <c r="L104" s="202"/>
      <c r="M104" s="202"/>
      <c r="N104" s="199" t="str">
        <f t="shared" si="38"/>
        <v/>
      </c>
      <c r="O104" s="203" t="str">
        <f t="shared" si="39"/>
        <v>-</v>
      </c>
      <c r="P104" s="206">
        <f t="shared" si="40"/>
        <v>0</v>
      </c>
      <c r="Q104" s="208">
        <f t="shared" si="41"/>
        <v>0</v>
      </c>
      <c r="R104" s="205">
        <f t="shared" si="42"/>
        <v>26</v>
      </c>
      <c r="S104" s="65">
        <f t="shared" si="47"/>
        <v>0</v>
      </c>
      <c r="T104" s="158">
        <f t="shared" si="34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9"/>
      <c r="BP104" s="169"/>
      <c r="BQ104" s="169"/>
      <c r="BR104" s="169"/>
      <c r="BS104" s="169"/>
      <c r="BT104" s="169"/>
      <c r="BU104" s="169"/>
      <c r="BV104" s="169"/>
      <c r="BW104" s="169"/>
      <c r="BX104" s="169"/>
      <c r="BY104" s="169"/>
      <c r="BZ104" s="169"/>
      <c r="CA104" s="169"/>
      <c r="CB104" s="169"/>
      <c r="CC104" s="169"/>
      <c r="CD104" s="169"/>
      <c r="CE104" s="169"/>
      <c r="CF104" s="169"/>
      <c r="CG104" s="169"/>
      <c r="CH104" s="169"/>
      <c r="CI104" s="169"/>
      <c r="CJ104" s="169"/>
      <c r="CK104" s="169"/>
      <c r="CL104" s="169"/>
      <c r="CM104" s="169"/>
      <c r="CN104" s="169"/>
      <c r="CO104" s="169"/>
      <c r="CP104" s="169"/>
      <c r="CQ104" s="169"/>
      <c r="CR104" s="169"/>
      <c r="CS104" s="169"/>
      <c r="CT104" s="169"/>
      <c r="CU104" s="169"/>
      <c r="CV104" s="169"/>
      <c r="CW104" s="169"/>
      <c r="CX104" s="169"/>
      <c r="CY104" s="169"/>
      <c r="CZ104" s="169"/>
      <c r="DA104" s="169"/>
      <c r="DB104" s="169"/>
      <c r="DC104" s="169"/>
      <c r="DD104" s="169"/>
      <c r="DE104" s="169"/>
      <c r="DF104" s="169"/>
    </row>
    <row r="105" spans="2:110" x14ac:dyDescent="0.4">
      <c r="B105" s="505"/>
      <c r="C105" s="60">
        <v>132</v>
      </c>
      <c r="D105" s="324" t="s">
        <v>236</v>
      </c>
      <c r="E105" s="196">
        <v>46006</v>
      </c>
      <c r="F105" s="196">
        <v>46004</v>
      </c>
      <c r="G105" s="197">
        <f t="shared" si="44"/>
        <v>-2</v>
      </c>
      <c r="H105" s="196">
        <f t="shared" si="45"/>
        <v>46006</v>
      </c>
      <c r="I105" s="196">
        <f t="shared" si="46"/>
        <v>46004</v>
      </c>
      <c r="J105" s="200" t="s">
        <v>2</v>
      </c>
      <c r="K105" s="201">
        <v>26</v>
      </c>
      <c r="L105" s="202"/>
      <c r="M105" s="202"/>
      <c r="N105" s="199" t="str">
        <f t="shared" ref="N105:N120" si="48">IF(OR(M105="",L105=""),"",INT(M105-L105+1))</f>
        <v/>
      </c>
      <c r="O105" s="203" t="str">
        <f t="shared" ref="O105:O120" si="49">IFERROR(K105/N105,"-")</f>
        <v>-</v>
      </c>
      <c r="P105" s="206">
        <f t="shared" ref="P105:P120" si="50">IFERROR(SUMIF($U$2:$AT$2,"&lt;="&amp;$D$1,U105:BN105)/K105,"-")</f>
        <v>0</v>
      </c>
      <c r="Q105" s="208">
        <f t="shared" ref="Q105:Q120" si="51">SUMIF($U$2:$AT$2,"&lt;="&amp;$D$1,U105:AT105)</f>
        <v>0</v>
      </c>
      <c r="R105" s="205">
        <f t="shared" ref="R105:R115" si="52">K105-Q105</f>
        <v>26</v>
      </c>
      <c r="S105" s="65">
        <f t="shared" si="47"/>
        <v>0</v>
      </c>
      <c r="T105" s="158">
        <f t="shared" si="34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9"/>
      <c r="BP105" s="169"/>
      <c r="BQ105" s="169"/>
      <c r="BR105" s="169"/>
      <c r="BS105" s="169"/>
      <c r="BT105" s="169"/>
      <c r="BU105" s="169"/>
      <c r="BV105" s="169"/>
      <c r="BW105" s="169"/>
      <c r="BX105" s="169"/>
      <c r="BY105" s="169"/>
      <c r="BZ105" s="169"/>
      <c r="CA105" s="169"/>
      <c r="CB105" s="169"/>
      <c r="CC105" s="169"/>
      <c r="CD105" s="169"/>
      <c r="CE105" s="169"/>
      <c r="CF105" s="169"/>
      <c r="CG105" s="169"/>
      <c r="CH105" s="169"/>
      <c r="CI105" s="169"/>
      <c r="CJ105" s="169"/>
      <c r="CK105" s="169"/>
      <c r="CL105" s="169"/>
      <c r="CM105" s="169"/>
      <c r="CN105" s="169"/>
      <c r="CO105" s="169"/>
      <c r="CP105" s="169"/>
      <c r="CQ105" s="169"/>
      <c r="CR105" s="169"/>
      <c r="CS105" s="169"/>
      <c r="CT105" s="169"/>
      <c r="CU105" s="169"/>
      <c r="CV105" s="169"/>
      <c r="CW105" s="169"/>
      <c r="CX105" s="169"/>
      <c r="CY105" s="169"/>
      <c r="CZ105" s="169"/>
      <c r="DA105" s="169"/>
      <c r="DB105" s="169"/>
      <c r="DC105" s="169"/>
      <c r="DD105" s="169"/>
      <c r="DE105" s="169"/>
      <c r="DF105" s="169"/>
    </row>
    <row r="106" spans="2:110" x14ac:dyDescent="0.4">
      <c r="B106" s="505"/>
      <c r="C106" s="60">
        <v>133</v>
      </c>
      <c r="D106" s="324" t="s">
        <v>237</v>
      </c>
      <c r="E106" s="196">
        <v>46016</v>
      </c>
      <c r="F106" s="196">
        <v>46032</v>
      </c>
      <c r="G106" s="197">
        <f t="shared" si="44"/>
        <v>16</v>
      </c>
      <c r="H106" s="196">
        <f t="shared" si="45"/>
        <v>46016</v>
      </c>
      <c r="I106" s="196">
        <f t="shared" si="46"/>
        <v>46032</v>
      </c>
      <c r="J106" s="200" t="s">
        <v>2</v>
      </c>
      <c r="K106" s="201">
        <v>26</v>
      </c>
      <c r="L106" s="202"/>
      <c r="M106" s="202"/>
      <c r="N106" s="199" t="str">
        <f t="shared" si="48"/>
        <v/>
      </c>
      <c r="O106" s="203" t="str">
        <f t="shared" si="49"/>
        <v>-</v>
      </c>
      <c r="P106" s="206">
        <f t="shared" si="50"/>
        <v>0</v>
      </c>
      <c r="Q106" s="208">
        <f t="shared" si="51"/>
        <v>0</v>
      </c>
      <c r="R106" s="205">
        <f t="shared" si="52"/>
        <v>26</v>
      </c>
      <c r="S106" s="65">
        <f t="shared" si="47"/>
        <v>0</v>
      </c>
      <c r="T106" s="158">
        <f t="shared" si="34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9"/>
      <c r="BP106" s="169"/>
      <c r="BQ106" s="169"/>
      <c r="BR106" s="169"/>
      <c r="BS106" s="169"/>
      <c r="BT106" s="169"/>
      <c r="BU106" s="169"/>
      <c r="BV106" s="169"/>
      <c r="BW106" s="169"/>
      <c r="BX106" s="169"/>
      <c r="BY106" s="169"/>
      <c r="BZ106" s="169"/>
      <c r="CA106" s="169"/>
      <c r="CB106" s="169"/>
      <c r="CC106" s="169"/>
      <c r="CD106" s="169"/>
      <c r="CE106" s="169"/>
      <c r="CF106" s="169"/>
      <c r="CG106" s="169"/>
      <c r="CH106" s="169"/>
      <c r="CI106" s="169"/>
      <c r="CJ106" s="169"/>
      <c r="CK106" s="169"/>
      <c r="CL106" s="169"/>
      <c r="CM106" s="169"/>
      <c r="CN106" s="169"/>
      <c r="CO106" s="169"/>
      <c r="CP106" s="169"/>
      <c r="CQ106" s="169"/>
      <c r="CR106" s="169"/>
      <c r="CS106" s="169"/>
      <c r="CT106" s="169"/>
      <c r="CU106" s="169"/>
      <c r="CV106" s="169"/>
      <c r="CW106" s="169"/>
      <c r="CX106" s="169"/>
      <c r="CY106" s="169"/>
      <c r="CZ106" s="169"/>
      <c r="DA106" s="169"/>
      <c r="DB106" s="169"/>
      <c r="DC106" s="169"/>
      <c r="DD106" s="169"/>
      <c r="DE106" s="169"/>
      <c r="DF106" s="169"/>
    </row>
    <row r="107" spans="2:110" x14ac:dyDescent="0.4">
      <c r="B107" s="505" t="s">
        <v>238</v>
      </c>
      <c r="C107" s="60">
        <v>134</v>
      </c>
      <c r="D107" s="324" t="s">
        <v>239</v>
      </c>
      <c r="E107" s="196">
        <v>45914</v>
      </c>
      <c r="F107" s="196">
        <v>45966</v>
      </c>
      <c r="G107" s="197">
        <f t="shared" si="44"/>
        <v>52</v>
      </c>
      <c r="H107" s="196">
        <f t="shared" si="45"/>
        <v>45914</v>
      </c>
      <c r="I107" s="196">
        <f t="shared" si="46"/>
        <v>45966</v>
      </c>
      <c r="J107" s="210" t="s">
        <v>13</v>
      </c>
      <c r="K107" s="201">
        <v>1173</v>
      </c>
      <c r="L107" s="202"/>
      <c r="M107" s="202"/>
      <c r="N107" s="199" t="str">
        <f t="shared" si="48"/>
        <v/>
      </c>
      <c r="O107" s="203" t="str">
        <f t="shared" si="49"/>
        <v>-</v>
      </c>
      <c r="P107" s="206">
        <f t="shared" si="50"/>
        <v>0</v>
      </c>
      <c r="Q107" s="208">
        <f t="shared" si="51"/>
        <v>0</v>
      </c>
      <c r="R107" s="205">
        <f t="shared" si="52"/>
        <v>1173</v>
      </c>
      <c r="S107" s="65">
        <f t="shared" si="47"/>
        <v>0</v>
      </c>
      <c r="T107" s="158">
        <f t="shared" si="34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9"/>
      <c r="BP107" s="169"/>
      <c r="BQ107" s="169"/>
      <c r="BR107" s="169"/>
      <c r="BS107" s="169"/>
      <c r="BT107" s="169"/>
      <c r="BU107" s="169"/>
      <c r="BV107" s="169"/>
      <c r="BW107" s="169"/>
      <c r="BX107" s="169"/>
      <c r="BY107" s="169"/>
      <c r="BZ107" s="169"/>
      <c r="CA107" s="169"/>
      <c r="CB107" s="169"/>
      <c r="CC107" s="169"/>
      <c r="CD107" s="169"/>
      <c r="CE107" s="169"/>
      <c r="CF107" s="169"/>
      <c r="CG107" s="169"/>
      <c r="CH107" s="169"/>
      <c r="CI107" s="169"/>
      <c r="CJ107" s="169"/>
      <c r="CK107" s="169"/>
      <c r="CL107" s="169"/>
      <c r="CM107" s="169"/>
      <c r="CN107" s="169"/>
      <c r="CO107" s="169"/>
      <c r="CP107" s="169"/>
      <c r="CQ107" s="169"/>
      <c r="CR107" s="169"/>
      <c r="CS107" s="169"/>
      <c r="CT107" s="169"/>
      <c r="CU107" s="169"/>
      <c r="CV107" s="169"/>
      <c r="CW107" s="169"/>
      <c r="CX107" s="169"/>
      <c r="CY107" s="169"/>
      <c r="CZ107" s="169"/>
      <c r="DA107" s="169"/>
      <c r="DB107" s="169"/>
      <c r="DC107" s="169"/>
      <c r="DD107" s="169"/>
      <c r="DE107" s="169"/>
      <c r="DF107" s="169"/>
    </row>
    <row r="108" spans="2:110" x14ac:dyDescent="0.4">
      <c r="B108" s="505"/>
      <c r="C108" s="60">
        <v>135</v>
      </c>
      <c r="D108" s="324" t="s">
        <v>240</v>
      </c>
      <c r="E108" s="196">
        <v>45935</v>
      </c>
      <c r="F108" s="196">
        <v>45974</v>
      </c>
      <c r="G108" s="197">
        <f t="shared" si="44"/>
        <v>39</v>
      </c>
      <c r="H108" s="196">
        <f t="shared" si="45"/>
        <v>45935</v>
      </c>
      <c r="I108" s="196">
        <f t="shared" si="46"/>
        <v>45974</v>
      </c>
      <c r="J108" s="210" t="s">
        <v>13</v>
      </c>
      <c r="K108" s="201">
        <v>1173</v>
      </c>
      <c r="L108" s="202"/>
      <c r="M108" s="202"/>
      <c r="N108" s="199" t="str">
        <f t="shared" si="48"/>
        <v/>
      </c>
      <c r="O108" s="203" t="str">
        <f t="shared" si="49"/>
        <v>-</v>
      </c>
      <c r="P108" s="206">
        <f t="shared" si="50"/>
        <v>0</v>
      </c>
      <c r="Q108" s="208">
        <f t="shared" si="51"/>
        <v>0</v>
      </c>
      <c r="R108" s="205">
        <f t="shared" si="52"/>
        <v>1173</v>
      </c>
      <c r="S108" s="65">
        <f t="shared" si="47"/>
        <v>0</v>
      </c>
      <c r="T108" s="158">
        <f t="shared" si="34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9"/>
      <c r="BP108" s="169"/>
      <c r="BQ108" s="169"/>
      <c r="BR108" s="169"/>
      <c r="BS108" s="169"/>
      <c r="BT108" s="169"/>
      <c r="BU108" s="169"/>
      <c r="BV108" s="169"/>
      <c r="BW108" s="169"/>
      <c r="BX108" s="169"/>
      <c r="BY108" s="169"/>
      <c r="BZ108" s="169"/>
      <c r="CA108" s="169"/>
      <c r="CB108" s="169"/>
      <c r="CC108" s="169"/>
      <c r="CD108" s="169"/>
      <c r="CE108" s="169"/>
      <c r="CF108" s="169"/>
      <c r="CG108" s="169"/>
      <c r="CH108" s="169"/>
      <c r="CI108" s="169"/>
      <c r="CJ108" s="169"/>
      <c r="CK108" s="169"/>
      <c r="CL108" s="169"/>
      <c r="CM108" s="169"/>
      <c r="CN108" s="169"/>
      <c r="CO108" s="169"/>
      <c r="CP108" s="169"/>
      <c r="CQ108" s="169"/>
      <c r="CR108" s="169"/>
      <c r="CS108" s="169"/>
      <c r="CT108" s="169"/>
      <c r="CU108" s="169"/>
      <c r="CV108" s="169"/>
      <c r="CW108" s="169"/>
      <c r="CX108" s="169"/>
      <c r="CY108" s="169"/>
      <c r="CZ108" s="169"/>
      <c r="DA108" s="169"/>
      <c r="DB108" s="169"/>
      <c r="DC108" s="169"/>
      <c r="DD108" s="169"/>
      <c r="DE108" s="169"/>
      <c r="DF108" s="169"/>
    </row>
    <row r="109" spans="2:110" x14ac:dyDescent="0.4">
      <c r="B109" s="505"/>
      <c r="C109" s="60">
        <v>136</v>
      </c>
      <c r="D109" s="324" t="s">
        <v>241</v>
      </c>
      <c r="E109" s="196">
        <v>45976</v>
      </c>
      <c r="F109" s="196">
        <v>45996</v>
      </c>
      <c r="G109" s="197">
        <f t="shared" si="44"/>
        <v>20</v>
      </c>
      <c r="H109" s="196">
        <f t="shared" si="45"/>
        <v>45976</v>
      </c>
      <c r="I109" s="196">
        <f t="shared" si="46"/>
        <v>45996</v>
      </c>
      <c r="J109" s="210" t="s">
        <v>13</v>
      </c>
      <c r="K109" s="201">
        <v>1173</v>
      </c>
      <c r="L109" s="202"/>
      <c r="M109" s="202"/>
      <c r="N109" s="199" t="str">
        <f t="shared" si="48"/>
        <v/>
      </c>
      <c r="O109" s="203" t="str">
        <f t="shared" si="49"/>
        <v>-</v>
      </c>
      <c r="P109" s="206">
        <f t="shared" si="50"/>
        <v>0</v>
      </c>
      <c r="Q109" s="208">
        <f t="shared" si="51"/>
        <v>0</v>
      </c>
      <c r="R109" s="205">
        <f t="shared" si="52"/>
        <v>1173</v>
      </c>
      <c r="S109" s="65">
        <f t="shared" si="47"/>
        <v>0</v>
      </c>
      <c r="T109" s="158">
        <f t="shared" si="34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9"/>
      <c r="BP109" s="169"/>
      <c r="BQ109" s="169"/>
      <c r="BR109" s="169"/>
      <c r="BS109" s="169"/>
      <c r="BT109" s="169"/>
      <c r="BU109" s="169"/>
      <c r="BV109" s="169"/>
      <c r="BW109" s="169"/>
      <c r="BX109" s="169"/>
      <c r="BY109" s="169"/>
      <c r="BZ109" s="169"/>
      <c r="CA109" s="169"/>
      <c r="CB109" s="169"/>
      <c r="CC109" s="169"/>
      <c r="CD109" s="169"/>
      <c r="CE109" s="169"/>
      <c r="CF109" s="169"/>
      <c r="CG109" s="169"/>
      <c r="CH109" s="169"/>
      <c r="CI109" s="169"/>
      <c r="CJ109" s="169"/>
      <c r="CK109" s="169"/>
      <c r="CL109" s="169"/>
      <c r="CM109" s="169"/>
      <c r="CN109" s="169"/>
      <c r="CO109" s="169"/>
      <c r="CP109" s="169"/>
      <c r="CQ109" s="169"/>
      <c r="CR109" s="169"/>
      <c r="CS109" s="169"/>
      <c r="CT109" s="169"/>
      <c r="CU109" s="169"/>
      <c r="CV109" s="169"/>
      <c r="CW109" s="169"/>
      <c r="CX109" s="169"/>
      <c r="CY109" s="169"/>
      <c r="CZ109" s="169"/>
      <c r="DA109" s="169"/>
      <c r="DB109" s="169"/>
      <c r="DC109" s="169"/>
      <c r="DD109" s="169"/>
      <c r="DE109" s="169"/>
      <c r="DF109" s="169"/>
    </row>
    <row r="110" spans="2:110" x14ac:dyDescent="0.4">
      <c r="B110" s="505"/>
      <c r="C110" s="60">
        <v>137</v>
      </c>
      <c r="D110" s="324" t="s">
        <v>242</v>
      </c>
      <c r="E110" s="196">
        <v>45979</v>
      </c>
      <c r="F110" s="196">
        <v>46001</v>
      </c>
      <c r="G110" s="197">
        <f t="shared" si="44"/>
        <v>22</v>
      </c>
      <c r="H110" s="196">
        <f t="shared" si="45"/>
        <v>45979</v>
      </c>
      <c r="I110" s="196">
        <f t="shared" si="46"/>
        <v>46001</v>
      </c>
      <c r="J110" s="210" t="s">
        <v>13</v>
      </c>
      <c r="K110" s="201">
        <v>1173</v>
      </c>
      <c r="L110" s="202"/>
      <c r="M110" s="202"/>
      <c r="N110" s="199" t="str">
        <f t="shared" si="48"/>
        <v/>
      </c>
      <c r="O110" s="203" t="str">
        <f t="shared" si="49"/>
        <v>-</v>
      </c>
      <c r="P110" s="206">
        <f t="shared" si="50"/>
        <v>0</v>
      </c>
      <c r="Q110" s="208">
        <f t="shared" si="51"/>
        <v>0</v>
      </c>
      <c r="R110" s="205">
        <f t="shared" si="52"/>
        <v>1173</v>
      </c>
      <c r="S110" s="65">
        <f t="shared" si="47"/>
        <v>0</v>
      </c>
      <c r="T110" s="158">
        <f t="shared" si="34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69"/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</row>
    <row r="111" spans="2:110" x14ac:dyDescent="0.4">
      <c r="B111" s="505"/>
      <c r="C111" s="60">
        <v>138</v>
      </c>
      <c r="D111" s="324" t="s">
        <v>243</v>
      </c>
      <c r="E111" s="196">
        <v>45986</v>
      </c>
      <c r="F111" s="196">
        <v>45981</v>
      </c>
      <c r="G111" s="197">
        <f t="shared" si="44"/>
        <v>-5</v>
      </c>
      <c r="H111" s="196">
        <f t="shared" si="45"/>
        <v>45986</v>
      </c>
      <c r="I111" s="196">
        <f t="shared" si="46"/>
        <v>45981</v>
      </c>
      <c r="J111" s="210" t="s">
        <v>13</v>
      </c>
      <c r="K111" s="201">
        <v>1173</v>
      </c>
      <c r="L111" s="202"/>
      <c r="M111" s="202"/>
      <c r="N111" s="199" t="str">
        <f t="shared" si="48"/>
        <v/>
      </c>
      <c r="O111" s="203" t="str">
        <f t="shared" si="49"/>
        <v>-</v>
      </c>
      <c r="P111" s="206">
        <f t="shared" si="50"/>
        <v>0</v>
      </c>
      <c r="Q111" s="208">
        <f t="shared" si="51"/>
        <v>0</v>
      </c>
      <c r="R111" s="205">
        <f t="shared" si="52"/>
        <v>1173</v>
      </c>
      <c r="S111" s="65">
        <f t="shared" si="47"/>
        <v>0</v>
      </c>
      <c r="T111" s="158">
        <f t="shared" si="34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9"/>
      <c r="BP111" s="169"/>
      <c r="BQ111" s="169"/>
      <c r="BR111" s="169"/>
      <c r="BS111" s="169"/>
      <c r="BT111" s="169"/>
      <c r="BU111" s="169"/>
      <c r="BV111" s="169"/>
      <c r="BW111" s="169"/>
      <c r="BX111" s="169"/>
      <c r="BY111" s="169"/>
      <c r="BZ111" s="169"/>
      <c r="CA111" s="169"/>
      <c r="CB111" s="169"/>
      <c r="CC111" s="169"/>
      <c r="CD111" s="169"/>
      <c r="CE111" s="169"/>
      <c r="CF111" s="169"/>
      <c r="CG111" s="169"/>
      <c r="CH111" s="169"/>
      <c r="CI111" s="169"/>
      <c r="CJ111" s="169"/>
      <c r="CK111" s="169"/>
      <c r="CL111" s="169"/>
      <c r="CM111" s="169"/>
      <c r="CN111" s="169"/>
      <c r="CO111" s="169"/>
      <c r="CP111" s="169"/>
      <c r="CQ111" s="169"/>
      <c r="CR111" s="169"/>
      <c r="CS111" s="169"/>
      <c r="CT111" s="169"/>
      <c r="CU111" s="169"/>
      <c r="CV111" s="169"/>
      <c r="CW111" s="169"/>
      <c r="CX111" s="169"/>
      <c r="CY111" s="169"/>
      <c r="CZ111" s="169"/>
      <c r="DA111" s="169"/>
      <c r="DB111" s="169"/>
      <c r="DC111" s="169"/>
      <c r="DD111" s="169"/>
      <c r="DE111" s="169"/>
      <c r="DF111" s="169"/>
    </row>
    <row r="112" spans="2:110" x14ac:dyDescent="0.4">
      <c r="B112" s="505"/>
      <c r="C112" s="60">
        <v>139</v>
      </c>
      <c r="D112" s="324" t="s">
        <v>244</v>
      </c>
      <c r="E112" s="196">
        <v>45859</v>
      </c>
      <c r="F112" s="196">
        <v>46021</v>
      </c>
      <c r="G112" s="197">
        <f t="shared" si="44"/>
        <v>162</v>
      </c>
      <c r="H112" s="196">
        <f t="shared" si="45"/>
        <v>45859</v>
      </c>
      <c r="I112" s="196">
        <f t="shared" si="46"/>
        <v>46021</v>
      </c>
      <c r="J112" s="200" t="s">
        <v>2</v>
      </c>
      <c r="K112" s="201">
        <v>26</v>
      </c>
      <c r="L112" s="202"/>
      <c r="M112" s="202"/>
      <c r="N112" s="199" t="str">
        <f t="shared" si="48"/>
        <v/>
      </c>
      <c r="O112" s="203" t="str">
        <f t="shared" si="49"/>
        <v>-</v>
      </c>
      <c r="P112" s="206">
        <f t="shared" si="50"/>
        <v>0</v>
      </c>
      <c r="Q112" s="208">
        <f t="shared" si="51"/>
        <v>0</v>
      </c>
      <c r="R112" s="205">
        <f t="shared" si="52"/>
        <v>26</v>
      </c>
      <c r="S112" s="65">
        <f t="shared" si="47"/>
        <v>0</v>
      </c>
      <c r="T112" s="158">
        <f t="shared" si="34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9"/>
      <c r="BP112" s="169"/>
      <c r="BQ112" s="169"/>
      <c r="BR112" s="169"/>
      <c r="BS112" s="169"/>
      <c r="BT112" s="169"/>
      <c r="BU112" s="169"/>
      <c r="BV112" s="169"/>
      <c r="BW112" s="169"/>
      <c r="BX112" s="169"/>
      <c r="BY112" s="169"/>
      <c r="BZ112" s="169"/>
      <c r="CA112" s="169"/>
      <c r="CB112" s="169"/>
      <c r="CC112" s="169"/>
      <c r="CD112" s="169"/>
      <c r="CE112" s="169"/>
      <c r="CF112" s="169"/>
      <c r="CG112" s="169"/>
      <c r="CH112" s="169"/>
      <c r="CI112" s="169"/>
      <c r="CJ112" s="169"/>
      <c r="CK112" s="169"/>
      <c r="CL112" s="169"/>
      <c r="CM112" s="169"/>
      <c r="CN112" s="169"/>
      <c r="CO112" s="169"/>
      <c r="CP112" s="169"/>
      <c r="CQ112" s="169"/>
      <c r="CR112" s="169"/>
      <c r="CS112" s="169"/>
      <c r="CT112" s="169"/>
      <c r="CU112" s="169"/>
      <c r="CV112" s="169"/>
      <c r="CW112" s="169"/>
      <c r="CX112" s="169"/>
      <c r="CY112" s="169"/>
      <c r="CZ112" s="169"/>
      <c r="DA112" s="169"/>
      <c r="DB112" s="169"/>
      <c r="DC112" s="169"/>
      <c r="DD112" s="169"/>
      <c r="DE112" s="169"/>
      <c r="DF112" s="169"/>
    </row>
    <row r="113" spans="2:110" x14ac:dyDescent="0.4">
      <c r="B113" s="505" t="s">
        <v>245</v>
      </c>
      <c r="C113" s="60">
        <v>140</v>
      </c>
      <c r="D113" s="324" t="s">
        <v>268</v>
      </c>
      <c r="E113" s="196">
        <v>45926</v>
      </c>
      <c r="F113" s="196">
        <v>45941</v>
      </c>
      <c r="G113" s="197">
        <f t="shared" si="44"/>
        <v>15</v>
      </c>
      <c r="H113" s="196">
        <f t="shared" si="45"/>
        <v>45926</v>
      </c>
      <c r="I113" s="196">
        <f t="shared" si="46"/>
        <v>45941</v>
      </c>
      <c r="J113" s="200" t="s">
        <v>2</v>
      </c>
      <c r="K113" s="201">
        <v>26</v>
      </c>
      <c r="L113" s="202"/>
      <c r="M113" s="202"/>
      <c r="N113" s="199" t="str">
        <f t="shared" si="48"/>
        <v/>
      </c>
      <c r="O113" s="203" t="str">
        <f t="shared" si="49"/>
        <v>-</v>
      </c>
      <c r="P113" s="206">
        <f t="shared" si="50"/>
        <v>0</v>
      </c>
      <c r="Q113" s="208">
        <f t="shared" si="51"/>
        <v>0</v>
      </c>
      <c r="R113" s="205">
        <f t="shared" si="52"/>
        <v>26</v>
      </c>
      <c r="S113" s="65">
        <f t="shared" si="47"/>
        <v>0</v>
      </c>
      <c r="T113" s="158">
        <f t="shared" si="34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9"/>
      <c r="BP113" s="169"/>
      <c r="BQ113" s="169"/>
      <c r="BR113" s="169"/>
      <c r="BS113" s="169"/>
      <c r="BT113" s="169"/>
      <c r="BU113" s="169"/>
      <c r="BV113" s="169"/>
      <c r="BW113" s="169"/>
      <c r="BX113" s="169"/>
      <c r="BY113" s="169"/>
      <c r="BZ113" s="169"/>
      <c r="CA113" s="169"/>
      <c r="CB113" s="169"/>
      <c r="CC113" s="169"/>
      <c r="CD113" s="169"/>
      <c r="CE113" s="169"/>
      <c r="CF113" s="169"/>
      <c r="CG113" s="169"/>
      <c r="CH113" s="169"/>
      <c r="CI113" s="169"/>
      <c r="CJ113" s="169"/>
      <c r="CK113" s="169"/>
      <c r="CL113" s="169"/>
      <c r="CM113" s="169"/>
      <c r="CN113" s="169"/>
      <c r="CO113" s="169"/>
      <c r="CP113" s="169"/>
      <c r="CQ113" s="169"/>
      <c r="CR113" s="169"/>
      <c r="CS113" s="169"/>
      <c r="CT113" s="169"/>
      <c r="CU113" s="169"/>
      <c r="CV113" s="169"/>
      <c r="CW113" s="169"/>
      <c r="CX113" s="169"/>
      <c r="CY113" s="169"/>
      <c r="CZ113" s="169"/>
      <c r="DA113" s="169"/>
      <c r="DB113" s="169"/>
      <c r="DC113" s="169"/>
      <c r="DD113" s="169"/>
      <c r="DE113" s="169"/>
      <c r="DF113" s="169"/>
    </row>
    <row r="114" spans="2:110" ht="29" x14ac:dyDescent="0.4">
      <c r="B114" s="505"/>
      <c r="C114" s="60">
        <v>141</v>
      </c>
      <c r="D114" s="324" t="s">
        <v>267</v>
      </c>
      <c r="E114" s="196">
        <v>45929</v>
      </c>
      <c r="F114" s="196">
        <v>46029</v>
      </c>
      <c r="G114" s="197">
        <f t="shared" si="44"/>
        <v>100</v>
      </c>
      <c r="H114" s="196">
        <f t="shared" si="45"/>
        <v>45929</v>
      </c>
      <c r="I114" s="196">
        <f t="shared" si="46"/>
        <v>46029</v>
      </c>
      <c r="J114" s="200" t="s">
        <v>2</v>
      </c>
      <c r="K114" s="201">
        <v>26</v>
      </c>
      <c r="L114" s="202"/>
      <c r="M114" s="202"/>
      <c r="N114" s="199" t="str">
        <f t="shared" si="48"/>
        <v/>
      </c>
      <c r="O114" s="203" t="str">
        <f t="shared" si="49"/>
        <v>-</v>
      </c>
      <c r="P114" s="206">
        <f t="shared" si="50"/>
        <v>0</v>
      </c>
      <c r="Q114" s="208">
        <f t="shared" si="51"/>
        <v>0</v>
      </c>
      <c r="R114" s="205">
        <f t="shared" si="52"/>
        <v>26</v>
      </c>
      <c r="S114" s="65">
        <f t="shared" si="47"/>
        <v>0</v>
      </c>
      <c r="T114" s="158">
        <f t="shared" si="34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9"/>
      <c r="BP114" s="169"/>
      <c r="BQ114" s="169"/>
      <c r="BR114" s="169"/>
      <c r="BS114" s="169"/>
      <c r="BT114" s="169"/>
      <c r="BU114" s="169"/>
      <c r="BV114" s="169"/>
      <c r="BW114" s="169"/>
      <c r="BX114" s="169"/>
      <c r="BY114" s="169"/>
      <c r="BZ114" s="169"/>
      <c r="CA114" s="169"/>
      <c r="CB114" s="169"/>
      <c r="CC114" s="169"/>
      <c r="CD114" s="169"/>
      <c r="CE114" s="169"/>
      <c r="CF114" s="169"/>
      <c r="CG114" s="169"/>
      <c r="CH114" s="169"/>
      <c r="CI114" s="169"/>
      <c r="CJ114" s="169"/>
      <c r="CK114" s="169"/>
      <c r="CL114" s="169"/>
      <c r="CM114" s="169"/>
      <c r="CN114" s="169"/>
      <c r="CO114" s="169"/>
      <c r="CP114" s="169"/>
      <c r="CQ114" s="169"/>
      <c r="CR114" s="169"/>
      <c r="CS114" s="169"/>
      <c r="CT114" s="169"/>
      <c r="CU114" s="169"/>
      <c r="CV114" s="169"/>
      <c r="CW114" s="169"/>
      <c r="CX114" s="169"/>
      <c r="CY114" s="169"/>
      <c r="CZ114" s="169"/>
      <c r="DA114" s="169"/>
      <c r="DB114" s="169"/>
      <c r="DC114" s="169"/>
      <c r="DD114" s="169"/>
      <c r="DE114" s="169"/>
      <c r="DF114" s="169"/>
    </row>
    <row r="115" spans="2:110" x14ac:dyDescent="0.4">
      <c r="B115" s="505"/>
      <c r="C115" s="60">
        <v>143</v>
      </c>
      <c r="D115" s="324" t="s">
        <v>42</v>
      </c>
      <c r="E115" s="196">
        <v>45940</v>
      </c>
      <c r="F115" s="196">
        <v>46042</v>
      </c>
      <c r="G115" s="197">
        <f t="shared" si="44"/>
        <v>102</v>
      </c>
      <c r="H115" s="196">
        <f t="shared" si="45"/>
        <v>45940</v>
      </c>
      <c r="I115" s="196">
        <f t="shared" si="46"/>
        <v>46042</v>
      </c>
      <c r="J115" s="200" t="s">
        <v>2</v>
      </c>
      <c r="K115" s="201">
        <v>26</v>
      </c>
      <c r="L115" s="202"/>
      <c r="M115" s="202"/>
      <c r="N115" s="199" t="str">
        <f t="shared" si="48"/>
        <v/>
      </c>
      <c r="O115" s="203" t="str">
        <f t="shared" si="49"/>
        <v>-</v>
      </c>
      <c r="P115" s="206">
        <f t="shared" si="50"/>
        <v>0</v>
      </c>
      <c r="Q115" s="208">
        <f t="shared" si="51"/>
        <v>0</v>
      </c>
      <c r="R115" s="205">
        <f t="shared" si="52"/>
        <v>26</v>
      </c>
      <c r="S115" s="65">
        <f t="shared" si="47"/>
        <v>0</v>
      </c>
      <c r="T115" s="158">
        <f t="shared" si="34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9"/>
      <c r="BP115" s="169"/>
      <c r="BQ115" s="169"/>
      <c r="BR115" s="169"/>
      <c r="BS115" s="169"/>
      <c r="BT115" s="169"/>
      <c r="BU115" s="169"/>
      <c r="BV115" s="169"/>
      <c r="BW115" s="169"/>
      <c r="BX115" s="169"/>
      <c r="BY115" s="169"/>
      <c r="BZ115" s="169"/>
      <c r="CA115" s="169"/>
      <c r="CB115" s="169"/>
      <c r="CC115" s="169"/>
      <c r="CD115" s="169"/>
      <c r="CE115" s="169"/>
      <c r="CF115" s="169"/>
      <c r="CG115" s="169"/>
      <c r="CH115" s="169"/>
      <c r="CI115" s="169"/>
      <c r="CJ115" s="169"/>
      <c r="CK115" s="169"/>
      <c r="CL115" s="169"/>
      <c r="CM115" s="169"/>
      <c r="CN115" s="169"/>
      <c r="CO115" s="169"/>
      <c r="CP115" s="169"/>
      <c r="CQ115" s="169"/>
      <c r="CR115" s="169"/>
      <c r="CS115" s="169"/>
      <c r="CT115" s="169"/>
      <c r="CU115" s="169"/>
      <c r="CV115" s="169"/>
      <c r="CW115" s="169"/>
      <c r="CX115" s="169"/>
      <c r="CY115" s="169"/>
      <c r="CZ115" s="169"/>
      <c r="DA115" s="169"/>
      <c r="DB115" s="169"/>
      <c r="DC115" s="169"/>
      <c r="DD115" s="169"/>
      <c r="DE115" s="169"/>
      <c r="DF115" s="169"/>
    </row>
    <row r="116" spans="2:110" x14ac:dyDescent="0.4">
      <c r="B116" s="505" t="s">
        <v>247</v>
      </c>
      <c r="C116" s="60">
        <v>144</v>
      </c>
      <c r="D116" s="324" t="s">
        <v>248</v>
      </c>
      <c r="E116" s="196">
        <v>45966</v>
      </c>
      <c r="F116" s="196">
        <v>46032</v>
      </c>
      <c r="G116" s="197">
        <f t="shared" si="44"/>
        <v>66</v>
      </c>
      <c r="H116" s="196">
        <f t="shared" si="45"/>
        <v>45966</v>
      </c>
      <c r="I116" s="196">
        <f t="shared" si="46"/>
        <v>46032</v>
      </c>
      <c r="J116" s="200" t="s">
        <v>12</v>
      </c>
      <c r="K116" s="201">
        <v>100</v>
      </c>
      <c r="L116" s="202"/>
      <c r="M116" s="202"/>
      <c r="N116" s="199" t="str">
        <f t="shared" si="48"/>
        <v/>
      </c>
      <c r="O116" s="203" t="str">
        <f t="shared" si="49"/>
        <v>-</v>
      </c>
      <c r="P116" s="206">
        <f t="shared" si="50"/>
        <v>0</v>
      </c>
      <c r="Q116" s="208">
        <f t="shared" si="51"/>
        <v>0</v>
      </c>
      <c r="R116" s="205">
        <f>K116-Q116%</f>
        <v>100</v>
      </c>
      <c r="S116" s="65">
        <f t="shared" si="47"/>
        <v>0</v>
      </c>
      <c r="T116" s="158">
        <f t="shared" si="34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9"/>
      <c r="BP116" s="169"/>
      <c r="BQ116" s="169"/>
      <c r="BR116" s="169"/>
      <c r="BS116" s="169"/>
      <c r="BT116" s="169"/>
      <c r="BU116" s="169"/>
      <c r="BV116" s="169"/>
      <c r="BW116" s="169"/>
      <c r="BX116" s="169"/>
      <c r="BY116" s="169"/>
      <c r="BZ116" s="169"/>
      <c r="CA116" s="169"/>
      <c r="CB116" s="169"/>
      <c r="CC116" s="169"/>
      <c r="CD116" s="169"/>
      <c r="CE116" s="169"/>
      <c r="CF116" s="169"/>
      <c r="CG116" s="169"/>
      <c r="CH116" s="169"/>
      <c r="CI116" s="169"/>
      <c r="CJ116" s="169"/>
      <c r="CK116" s="169"/>
      <c r="CL116" s="169"/>
      <c r="CM116" s="169"/>
      <c r="CN116" s="169"/>
      <c r="CO116" s="169"/>
      <c r="CP116" s="169"/>
      <c r="CQ116" s="169"/>
      <c r="CR116" s="169"/>
      <c r="CS116" s="169"/>
      <c r="CT116" s="169"/>
      <c r="CU116" s="169"/>
      <c r="CV116" s="169"/>
      <c r="CW116" s="169"/>
      <c r="CX116" s="169"/>
      <c r="CY116" s="169"/>
      <c r="CZ116" s="169"/>
      <c r="DA116" s="169"/>
      <c r="DB116" s="169"/>
      <c r="DC116" s="169"/>
      <c r="DD116" s="169"/>
      <c r="DE116" s="169"/>
      <c r="DF116" s="169"/>
    </row>
    <row r="117" spans="2:110" x14ac:dyDescent="0.4">
      <c r="B117" s="505"/>
      <c r="C117" s="60">
        <v>145</v>
      </c>
      <c r="D117" s="324" t="s">
        <v>435</v>
      </c>
      <c r="E117" s="196">
        <v>46011</v>
      </c>
      <c r="F117" s="196">
        <v>46040</v>
      </c>
      <c r="G117" s="197">
        <f t="shared" si="44"/>
        <v>29</v>
      </c>
      <c r="H117" s="196">
        <f t="shared" si="45"/>
        <v>46011</v>
      </c>
      <c r="I117" s="196">
        <f t="shared" si="46"/>
        <v>46040</v>
      </c>
      <c r="J117" s="200" t="s">
        <v>12</v>
      </c>
      <c r="K117" s="201">
        <v>100</v>
      </c>
      <c r="L117" s="202"/>
      <c r="M117" s="202"/>
      <c r="N117" s="199" t="str">
        <f t="shared" si="48"/>
        <v/>
      </c>
      <c r="O117" s="203" t="str">
        <f t="shared" si="49"/>
        <v>-</v>
      </c>
      <c r="P117" s="206">
        <f t="shared" si="50"/>
        <v>0</v>
      </c>
      <c r="Q117" s="208">
        <f t="shared" si="51"/>
        <v>0</v>
      </c>
      <c r="R117" s="205">
        <f>K117-Q117</f>
        <v>100</v>
      </c>
      <c r="S117" s="65">
        <f t="shared" si="47"/>
        <v>0</v>
      </c>
      <c r="T117" s="158">
        <f t="shared" si="34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9"/>
      <c r="BP117" s="169"/>
      <c r="BQ117" s="169"/>
      <c r="BR117" s="169"/>
      <c r="BS117" s="169"/>
      <c r="BT117" s="169"/>
      <c r="BU117" s="169"/>
      <c r="BV117" s="169"/>
      <c r="BW117" s="169"/>
      <c r="BX117" s="169"/>
      <c r="BY117" s="169"/>
      <c r="BZ117" s="169"/>
      <c r="CA117" s="169"/>
      <c r="CB117" s="169"/>
      <c r="CC117" s="169"/>
      <c r="CD117" s="169"/>
      <c r="CE117" s="169"/>
      <c r="CF117" s="169"/>
      <c r="CG117" s="169"/>
      <c r="CH117" s="169"/>
      <c r="CI117" s="169"/>
      <c r="CJ117" s="169"/>
      <c r="CK117" s="169"/>
      <c r="CL117" s="169"/>
      <c r="CM117" s="169"/>
      <c r="CN117" s="169"/>
      <c r="CO117" s="169"/>
      <c r="CP117" s="169"/>
      <c r="CQ117" s="169"/>
      <c r="CR117" s="169"/>
      <c r="CS117" s="169"/>
      <c r="CT117" s="169"/>
      <c r="CU117" s="169"/>
      <c r="CV117" s="169"/>
      <c r="CW117" s="169"/>
      <c r="CX117" s="169"/>
      <c r="CY117" s="169"/>
      <c r="CZ117" s="169"/>
      <c r="DA117" s="169"/>
      <c r="DB117" s="169"/>
      <c r="DC117" s="169"/>
      <c r="DD117" s="169"/>
      <c r="DE117" s="169"/>
      <c r="DF117" s="169"/>
    </row>
    <row r="118" spans="2:110" x14ac:dyDescent="0.4">
      <c r="B118" s="505"/>
      <c r="C118" s="60">
        <v>146</v>
      </c>
      <c r="D118" s="324" t="s">
        <v>250</v>
      </c>
      <c r="E118" s="196">
        <v>46012</v>
      </c>
      <c r="F118" s="196">
        <v>46031</v>
      </c>
      <c r="G118" s="197">
        <f t="shared" si="44"/>
        <v>19</v>
      </c>
      <c r="H118" s="196">
        <f t="shared" si="45"/>
        <v>46012</v>
      </c>
      <c r="I118" s="196">
        <f t="shared" si="46"/>
        <v>46031</v>
      </c>
      <c r="J118" s="200" t="s">
        <v>12</v>
      </c>
      <c r="K118" s="201">
        <v>100</v>
      </c>
      <c r="L118" s="202"/>
      <c r="M118" s="202"/>
      <c r="N118" s="199" t="str">
        <f t="shared" si="48"/>
        <v/>
      </c>
      <c r="O118" s="203" t="str">
        <f t="shared" si="49"/>
        <v>-</v>
      </c>
      <c r="P118" s="206">
        <f t="shared" si="50"/>
        <v>0</v>
      </c>
      <c r="Q118" s="208">
        <f t="shared" si="51"/>
        <v>0</v>
      </c>
      <c r="R118" s="205">
        <f>K118-Q118</f>
        <v>100</v>
      </c>
      <c r="S118" s="65">
        <f t="shared" si="47"/>
        <v>0</v>
      </c>
      <c r="T118" s="158">
        <f t="shared" si="34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9"/>
      <c r="BP118" s="169"/>
      <c r="BQ118" s="169"/>
      <c r="BR118" s="169"/>
      <c r="BS118" s="169"/>
      <c r="BT118" s="169"/>
      <c r="BU118" s="169"/>
      <c r="BV118" s="169"/>
      <c r="BW118" s="169"/>
      <c r="BX118" s="169"/>
      <c r="BY118" s="169"/>
      <c r="BZ118" s="169"/>
      <c r="CA118" s="169"/>
      <c r="CB118" s="169"/>
      <c r="CC118" s="169"/>
      <c r="CD118" s="169"/>
      <c r="CE118" s="169"/>
      <c r="CF118" s="169"/>
      <c r="CG118" s="169"/>
      <c r="CH118" s="169"/>
      <c r="CI118" s="169"/>
      <c r="CJ118" s="169"/>
      <c r="CK118" s="169"/>
      <c r="CL118" s="169"/>
      <c r="CM118" s="169"/>
      <c r="CN118" s="169"/>
      <c r="CO118" s="169"/>
      <c r="CP118" s="169"/>
      <c r="CQ118" s="169"/>
      <c r="CR118" s="169"/>
      <c r="CS118" s="169"/>
      <c r="CT118" s="169"/>
      <c r="CU118" s="169"/>
      <c r="CV118" s="169"/>
      <c r="CW118" s="169"/>
      <c r="CX118" s="169"/>
      <c r="CY118" s="169"/>
      <c r="CZ118" s="169"/>
      <c r="DA118" s="169"/>
      <c r="DB118" s="169"/>
      <c r="DC118" s="169"/>
      <c r="DD118" s="169"/>
      <c r="DE118" s="169"/>
      <c r="DF118" s="169"/>
    </row>
    <row r="119" spans="2:110" x14ac:dyDescent="0.4">
      <c r="B119" s="505"/>
      <c r="C119" s="60">
        <v>147</v>
      </c>
      <c r="D119" s="324" t="s">
        <v>251</v>
      </c>
      <c r="E119" s="196">
        <v>46032</v>
      </c>
      <c r="F119" s="196">
        <v>46047</v>
      </c>
      <c r="G119" s="197">
        <f t="shared" si="44"/>
        <v>15</v>
      </c>
      <c r="H119" s="196">
        <f t="shared" si="45"/>
        <v>46032</v>
      </c>
      <c r="I119" s="196">
        <f t="shared" si="46"/>
        <v>46047</v>
      </c>
      <c r="J119" s="200" t="s">
        <v>12</v>
      </c>
      <c r="K119" s="201">
        <v>100</v>
      </c>
      <c r="L119" s="202"/>
      <c r="M119" s="202"/>
      <c r="N119" s="199" t="str">
        <f t="shared" si="48"/>
        <v/>
      </c>
      <c r="O119" s="203" t="str">
        <f t="shared" si="49"/>
        <v>-</v>
      </c>
      <c r="P119" s="206">
        <f t="shared" si="50"/>
        <v>0</v>
      </c>
      <c r="Q119" s="208">
        <f t="shared" si="51"/>
        <v>0</v>
      </c>
      <c r="R119" s="205">
        <f>K119-Q119</f>
        <v>100</v>
      </c>
      <c r="S119" s="65">
        <f t="shared" si="47"/>
        <v>0</v>
      </c>
      <c r="T119" s="158">
        <f t="shared" ref="T119:T120" si="53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9"/>
      <c r="BP119" s="169"/>
      <c r="BQ119" s="169"/>
      <c r="BR119" s="169"/>
      <c r="BS119" s="169"/>
      <c r="BT119" s="169"/>
      <c r="BU119" s="169"/>
      <c r="BV119" s="169"/>
      <c r="BW119" s="169"/>
      <c r="BX119" s="169"/>
      <c r="BY119" s="169"/>
      <c r="BZ119" s="169"/>
      <c r="CA119" s="169"/>
      <c r="CB119" s="169"/>
      <c r="CC119" s="169"/>
      <c r="CD119" s="169"/>
      <c r="CE119" s="169"/>
      <c r="CF119" s="169"/>
      <c r="CG119" s="169"/>
      <c r="CH119" s="169"/>
      <c r="CI119" s="169"/>
      <c r="CJ119" s="169"/>
      <c r="CK119" s="169"/>
      <c r="CL119" s="169"/>
      <c r="CM119" s="169"/>
      <c r="CN119" s="169"/>
      <c r="CO119" s="169"/>
      <c r="CP119" s="169"/>
      <c r="CQ119" s="169"/>
      <c r="CR119" s="169"/>
      <c r="CS119" s="169"/>
      <c r="CT119" s="169"/>
      <c r="CU119" s="169"/>
      <c r="CV119" s="169"/>
      <c r="CW119" s="169"/>
      <c r="CX119" s="169"/>
      <c r="CY119" s="169"/>
      <c r="CZ119" s="169"/>
      <c r="DA119" s="169"/>
      <c r="DB119" s="169"/>
      <c r="DC119" s="169"/>
      <c r="DD119" s="169"/>
      <c r="DE119" s="169"/>
      <c r="DF119" s="169"/>
    </row>
    <row r="120" spans="2:110" x14ac:dyDescent="0.4">
      <c r="B120" s="505"/>
      <c r="C120" s="60">
        <v>148</v>
      </c>
      <c r="D120" s="324" t="s">
        <v>54</v>
      </c>
      <c r="E120" s="196">
        <v>46048</v>
      </c>
      <c r="F120" s="196">
        <v>46058</v>
      </c>
      <c r="G120" s="197">
        <f t="shared" si="44"/>
        <v>10</v>
      </c>
      <c r="H120" s="196">
        <f t="shared" si="45"/>
        <v>46048</v>
      </c>
      <c r="I120" s="196">
        <f t="shared" si="46"/>
        <v>46058</v>
      </c>
      <c r="J120" s="200" t="s">
        <v>12</v>
      </c>
      <c r="K120" s="201">
        <v>100</v>
      </c>
      <c r="L120" s="202"/>
      <c r="M120" s="202"/>
      <c r="N120" s="199" t="str">
        <f t="shared" si="48"/>
        <v/>
      </c>
      <c r="O120" s="203" t="str">
        <f t="shared" si="49"/>
        <v>-</v>
      </c>
      <c r="P120" s="206">
        <f t="shared" si="50"/>
        <v>0</v>
      </c>
      <c r="Q120" s="208">
        <f t="shared" si="51"/>
        <v>0</v>
      </c>
      <c r="R120" s="205">
        <f>K120-Q120</f>
        <v>100</v>
      </c>
      <c r="S120" s="65">
        <f t="shared" si="47"/>
        <v>0</v>
      </c>
      <c r="T120" s="158">
        <f t="shared" si="53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</row>
    <row r="121" spans="2:110" x14ac:dyDescent="0.4">
      <c r="B121" s="496"/>
    </row>
    <row r="122" spans="2:110" x14ac:dyDescent="0.4">
      <c r="B122" s="497"/>
    </row>
    <row r="123" spans="2:110" x14ac:dyDescent="0.4">
      <c r="B123" s="497"/>
    </row>
    <row r="124" spans="2:110" x14ac:dyDescent="0.4">
      <c r="B124" s="497"/>
    </row>
    <row r="125" spans="2:110" x14ac:dyDescent="0.4">
      <c r="B125" s="497"/>
    </row>
    <row r="126" spans="2:110" x14ac:dyDescent="0.4">
      <c r="B126" s="497"/>
    </row>
    <row r="127" spans="2:110" x14ac:dyDescent="0.4">
      <c r="B127" s="497"/>
    </row>
    <row r="128" spans="2:110" x14ac:dyDescent="0.4">
      <c r="B128" s="497"/>
      <c r="K128" s="151"/>
    </row>
    <row r="129" spans="11:11" x14ac:dyDescent="0.4">
      <c r="K129" s="151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77CF-CF38-4C84-8730-A452AEA15100}">
  <dimension ref="A1:X207"/>
  <sheetViews>
    <sheetView zoomScale="85" zoomScaleNormal="8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10" sqref="G10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4.1796875" style="290" bestFit="1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394" t="s">
        <v>446</v>
      </c>
      <c r="B1" s="394"/>
      <c r="C1" s="394"/>
      <c r="D1" s="394"/>
      <c r="E1" s="394"/>
      <c r="F1" s="394"/>
      <c r="G1" s="394"/>
      <c r="H1" s="212"/>
      <c r="I1" s="213"/>
      <c r="J1" s="214"/>
      <c r="K1" s="215"/>
      <c r="L1" s="215"/>
      <c r="M1" s="215"/>
      <c r="N1" s="216"/>
      <c r="O1" s="216">
        <f ca="1">TODAY()</f>
        <v>45853</v>
      </c>
      <c r="P1" s="215"/>
      <c r="Q1" s="215"/>
      <c r="R1" s="215"/>
      <c r="S1" s="215"/>
      <c r="T1" s="215"/>
      <c r="U1" s="217">
        <f ca="1">TODAY()</f>
        <v>45853</v>
      </c>
    </row>
    <row r="2" spans="1:24" ht="56" x14ac:dyDescent="0.3">
      <c r="A2" s="219" t="s">
        <v>447</v>
      </c>
      <c r="B2" s="219" t="s">
        <v>448</v>
      </c>
      <c r="C2" s="219" t="s">
        <v>448</v>
      </c>
      <c r="D2" s="219" t="s">
        <v>449</v>
      </c>
      <c r="E2" s="220" t="s">
        <v>450</v>
      </c>
      <c r="F2" s="220" t="s">
        <v>451</v>
      </c>
      <c r="G2" s="220" t="s">
        <v>452</v>
      </c>
      <c r="H2" s="220" t="s">
        <v>841</v>
      </c>
      <c r="I2" s="220" t="s">
        <v>453</v>
      </c>
      <c r="J2" s="220" t="s">
        <v>454</v>
      </c>
      <c r="K2" s="220" t="s">
        <v>455</v>
      </c>
      <c r="L2" s="220" t="s">
        <v>456</v>
      </c>
      <c r="M2" s="220" t="s">
        <v>457</v>
      </c>
      <c r="N2" s="220" t="s">
        <v>458</v>
      </c>
      <c r="O2" s="220" t="s">
        <v>459</v>
      </c>
      <c r="P2" s="220" t="s">
        <v>460</v>
      </c>
      <c r="Q2" s="220" t="s">
        <v>461</v>
      </c>
      <c r="R2" s="220" t="s">
        <v>462</v>
      </c>
      <c r="S2" s="220" t="s">
        <v>463</v>
      </c>
      <c r="T2" s="220" t="s">
        <v>319</v>
      </c>
      <c r="U2" s="220" t="s">
        <v>464</v>
      </c>
    </row>
    <row r="3" spans="1:24" x14ac:dyDescent="0.3">
      <c r="A3" s="395">
        <v>1</v>
      </c>
      <c r="B3" s="395" t="s">
        <v>465</v>
      </c>
      <c r="C3" s="396" t="s">
        <v>466</v>
      </c>
      <c r="D3" s="397" t="s">
        <v>467</v>
      </c>
      <c r="E3" s="393" t="s">
        <v>468</v>
      </c>
      <c r="F3" s="393" t="s">
        <v>469</v>
      </c>
      <c r="G3" s="392">
        <v>45698</v>
      </c>
      <c r="H3" s="392">
        <v>45698</v>
      </c>
      <c r="I3" s="226"/>
      <c r="J3" s="227"/>
      <c r="K3" s="224" t="s">
        <v>470</v>
      </c>
      <c r="L3" s="225">
        <v>45698</v>
      </c>
      <c r="M3" s="225"/>
      <c r="N3" s="224"/>
      <c r="O3" s="224"/>
      <c r="P3" s="224"/>
      <c r="Q3" s="393"/>
      <c r="R3" s="393" t="s">
        <v>399</v>
      </c>
      <c r="S3" s="393" t="s">
        <v>471</v>
      </c>
      <c r="T3" s="393" t="s">
        <v>399</v>
      </c>
      <c r="U3" s="393"/>
    </row>
    <row r="4" spans="1:24" x14ac:dyDescent="0.3">
      <c r="A4" s="395"/>
      <c r="B4" s="395"/>
      <c r="C4" s="396"/>
      <c r="D4" s="397"/>
      <c r="E4" s="393"/>
      <c r="F4" s="393"/>
      <c r="G4" s="392"/>
      <c r="H4" s="392"/>
      <c r="I4" s="226"/>
      <c r="J4" s="227"/>
      <c r="K4" s="224" t="s">
        <v>472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393"/>
      <c r="R4" s="393"/>
      <c r="S4" s="393"/>
      <c r="T4" s="393"/>
      <c r="U4" s="393"/>
      <c r="X4" s="228" t="s">
        <v>473</v>
      </c>
    </row>
    <row r="5" spans="1:24" x14ac:dyDescent="0.3">
      <c r="A5" s="395"/>
      <c r="B5" s="395"/>
      <c r="C5" s="396"/>
      <c r="D5" s="397"/>
      <c r="E5" s="393"/>
      <c r="F5" s="393"/>
      <c r="G5" s="392"/>
      <c r="H5" s="392"/>
      <c r="I5" s="226"/>
      <c r="J5" s="227"/>
      <c r="K5" s="224" t="s">
        <v>474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393"/>
      <c r="R5" s="393"/>
      <c r="S5" s="393"/>
      <c r="T5" s="393"/>
      <c r="U5" s="393"/>
      <c r="X5" s="229" t="s">
        <v>399</v>
      </c>
    </row>
    <row r="6" spans="1:24" x14ac:dyDescent="0.3">
      <c r="A6" s="395"/>
      <c r="B6" s="395"/>
      <c r="C6" s="396"/>
      <c r="D6" s="397"/>
      <c r="E6" s="393"/>
      <c r="F6" s="393"/>
      <c r="G6" s="392"/>
      <c r="H6" s="392"/>
      <c r="I6" s="226"/>
      <c r="J6" s="227"/>
      <c r="K6" s="224" t="s">
        <v>475</v>
      </c>
      <c r="L6" s="225">
        <v>45707</v>
      </c>
      <c r="M6" s="225"/>
      <c r="N6" s="224"/>
      <c r="O6" s="224"/>
      <c r="P6" s="224"/>
      <c r="Q6" s="393"/>
      <c r="R6" s="393"/>
      <c r="S6" s="393"/>
      <c r="T6" s="393"/>
      <c r="U6" s="393"/>
      <c r="X6" s="229" t="s">
        <v>476</v>
      </c>
    </row>
    <row r="7" spans="1:24" x14ac:dyDescent="0.3">
      <c r="A7" s="395">
        <v>2</v>
      </c>
      <c r="B7" s="395" t="s">
        <v>465</v>
      </c>
      <c r="C7" s="396" t="s">
        <v>466</v>
      </c>
      <c r="D7" s="397" t="s">
        <v>477</v>
      </c>
      <c r="E7" s="393" t="s">
        <v>478</v>
      </c>
      <c r="F7" s="393" t="s">
        <v>479</v>
      </c>
      <c r="G7" s="392">
        <v>45740</v>
      </c>
      <c r="H7" s="392">
        <v>45740</v>
      </c>
      <c r="I7" s="226"/>
      <c r="J7" s="227"/>
      <c r="K7" s="224" t="s">
        <v>470</v>
      </c>
      <c r="L7" s="225">
        <v>45740</v>
      </c>
      <c r="M7" s="225">
        <v>45743</v>
      </c>
      <c r="N7" s="224" t="s">
        <v>480</v>
      </c>
      <c r="O7" s="224">
        <f>M7-L7</f>
        <v>3</v>
      </c>
      <c r="P7" s="224">
        <f>L8-M7</f>
        <v>6</v>
      </c>
      <c r="Q7" s="410">
        <f>M8</f>
        <v>45755</v>
      </c>
      <c r="R7" s="393" t="str">
        <f>T7</f>
        <v>Approved</v>
      </c>
      <c r="S7" s="393" t="str">
        <f>N8</f>
        <v>CAT -IV</v>
      </c>
      <c r="T7" s="393" t="s">
        <v>399</v>
      </c>
      <c r="U7" s="393">
        <f>M8-L8</f>
        <v>6</v>
      </c>
      <c r="X7" s="229" t="s">
        <v>481</v>
      </c>
    </row>
    <row r="8" spans="1:24" x14ac:dyDescent="0.3">
      <c r="A8" s="395"/>
      <c r="B8" s="395"/>
      <c r="C8" s="396"/>
      <c r="D8" s="397"/>
      <c r="E8" s="393"/>
      <c r="F8" s="393"/>
      <c r="G8" s="392"/>
      <c r="H8" s="392"/>
      <c r="I8" s="226"/>
      <c r="J8" s="227"/>
      <c r="K8" s="224" t="s">
        <v>472</v>
      </c>
      <c r="L8" s="225">
        <v>45749</v>
      </c>
      <c r="M8" s="225">
        <v>45755</v>
      </c>
      <c r="N8" s="224" t="s">
        <v>482</v>
      </c>
      <c r="O8" s="224">
        <f>M8-L8</f>
        <v>6</v>
      </c>
      <c r="P8" s="224"/>
      <c r="Q8" s="410"/>
      <c r="R8" s="393"/>
      <c r="S8" s="393"/>
      <c r="T8" s="393"/>
      <c r="U8" s="393"/>
    </row>
    <row r="9" spans="1:24" ht="28" x14ac:dyDescent="0.3">
      <c r="A9" s="231">
        <v>3</v>
      </c>
      <c r="B9" s="231" t="s">
        <v>465</v>
      </c>
      <c r="C9" s="232" t="s">
        <v>466</v>
      </c>
      <c r="D9" s="233" t="s">
        <v>483</v>
      </c>
      <c r="E9" s="213" t="s">
        <v>484</v>
      </c>
      <c r="F9" s="213" t="s">
        <v>469</v>
      </c>
      <c r="G9" s="234"/>
      <c r="H9" s="225"/>
      <c r="I9" s="235"/>
      <c r="J9" s="236"/>
      <c r="K9" s="213" t="s">
        <v>470</v>
      </c>
      <c r="L9" s="234"/>
      <c r="M9" s="234"/>
      <c r="N9" s="213"/>
      <c r="O9" s="213"/>
      <c r="P9" s="213"/>
      <c r="Q9" s="213"/>
      <c r="R9" s="213"/>
      <c r="S9" s="213" t="s">
        <v>485</v>
      </c>
      <c r="T9" s="213" t="s">
        <v>399</v>
      </c>
      <c r="U9" s="213"/>
    </row>
    <row r="10" spans="1:24" ht="42" x14ac:dyDescent="0.3">
      <c r="A10" s="221">
        <v>4</v>
      </c>
      <c r="B10" s="221" t="s">
        <v>465</v>
      </c>
      <c r="C10" s="222" t="s">
        <v>466</v>
      </c>
      <c r="D10" s="223" t="s">
        <v>486</v>
      </c>
      <c r="E10" s="224" t="s">
        <v>487</v>
      </c>
      <c r="F10" s="224" t="s">
        <v>479</v>
      </c>
      <c r="G10" s="225">
        <v>45768</v>
      </c>
      <c r="H10" s="225">
        <v>45768</v>
      </c>
      <c r="I10" s="226"/>
      <c r="J10" s="227"/>
      <c r="K10" s="224" t="s">
        <v>470</v>
      </c>
      <c r="L10" s="225">
        <v>45768</v>
      </c>
      <c r="M10" s="225">
        <v>45776</v>
      </c>
      <c r="N10" s="224" t="s">
        <v>480</v>
      </c>
      <c r="O10" s="224">
        <f>M10-L10</f>
        <v>8</v>
      </c>
      <c r="P10" s="224"/>
      <c r="Q10" s="230">
        <f>M10</f>
        <v>45776</v>
      </c>
      <c r="R10" s="224" t="s">
        <v>399</v>
      </c>
      <c r="S10" s="224" t="str">
        <f>N10</f>
        <v>CAT -IV R</v>
      </c>
      <c r="T10" s="224" t="s">
        <v>399</v>
      </c>
      <c r="U10" s="224"/>
    </row>
    <row r="11" spans="1:24" ht="28" x14ac:dyDescent="0.3">
      <c r="A11" s="237">
        <v>5</v>
      </c>
      <c r="B11" s="238" t="s">
        <v>465</v>
      </c>
      <c r="C11" s="239" t="s">
        <v>466</v>
      </c>
      <c r="D11" s="240" t="s">
        <v>488</v>
      </c>
      <c r="E11" s="215" t="s">
        <v>489</v>
      </c>
      <c r="F11" s="213" t="s">
        <v>479</v>
      </c>
      <c r="G11" s="234">
        <v>45814</v>
      </c>
      <c r="H11" s="234">
        <v>45820</v>
      </c>
      <c r="I11" s="235"/>
      <c r="J11" s="241"/>
      <c r="K11" s="215"/>
      <c r="L11" s="242"/>
      <c r="M11" s="242"/>
      <c r="N11" s="215"/>
      <c r="O11" s="215"/>
      <c r="P11" s="215"/>
      <c r="Q11" s="215"/>
      <c r="R11" s="215" t="s">
        <v>495</v>
      </c>
      <c r="S11" s="215"/>
      <c r="T11" s="215" t="s">
        <v>473</v>
      </c>
      <c r="U11" s="215"/>
    </row>
    <row r="12" spans="1:24" x14ac:dyDescent="0.3">
      <c r="A12" s="237">
        <v>6</v>
      </c>
      <c r="B12" s="238" t="s">
        <v>465</v>
      </c>
      <c r="C12" s="239" t="s">
        <v>466</v>
      </c>
      <c r="D12" s="240" t="s">
        <v>490</v>
      </c>
      <c r="E12" s="215" t="s">
        <v>491</v>
      </c>
      <c r="F12" s="215" t="s">
        <v>479</v>
      </c>
      <c r="G12" s="242">
        <v>45814</v>
      </c>
      <c r="H12" s="242">
        <v>45820</v>
      </c>
      <c r="I12" s="243"/>
      <c r="J12" s="241"/>
      <c r="K12" s="215"/>
      <c r="L12" s="242"/>
      <c r="M12" s="242"/>
      <c r="N12" s="215"/>
      <c r="O12" s="215"/>
      <c r="P12" s="215"/>
      <c r="Q12" s="215"/>
      <c r="R12" s="215"/>
      <c r="S12" s="215"/>
      <c r="T12" s="215"/>
      <c r="U12" s="215"/>
    </row>
    <row r="13" spans="1:24" x14ac:dyDescent="0.3">
      <c r="A13" s="521">
        <v>7</v>
      </c>
      <c r="B13" s="433" t="s">
        <v>465</v>
      </c>
      <c r="C13" s="434" t="s">
        <v>466</v>
      </c>
      <c r="D13" s="522" t="s">
        <v>492</v>
      </c>
      <c r="E13" s="436" t="s">
        <v>493</v>
      </c>
      <c r="F13" s="436" t="s">
        <v>469</v>
      </c>
      <c r="G13" s="453">
        <v>45742</v>
      </c>
      <c r="H13" s="453">
        <v>45742</v>
      </c>
      <c r="I13" s="243"/>
      <c r="J13" s="241"/>
      <c r="K13" s="215" t="s">
        <v>470</v>
      </c>
      <c r="L13" s="242">
        <v>45742</v>
      </c>
      <c r="M13" s="242">
        <v>45751</v>
      </c>
      <c r="N13" s="215" t="s">
        <v>494</v>
      </c>
      <c r="O13" s="215">
        <f>M13-L13</f>
        <v>9</v>
      </c>
      <c r="P13" s="215">
        <f>L14-M13</f>
        <v>0</v>
      </c>
      <c r="Q13" s="215"/>
      <c r="R13" s="436" t="s">
        <v>495</v>
      </c>
      <c r="S13" s="436" t="str">
        <f>N13</f>
        <v>CAT - II</v>
      </c>
      <c r="T13" s="436" t="s">
        <v>473</v>
      </c>
      <c r="U13" s="436">
        <f ca="1">U1-L14</f>
        <v>102</v>
      </c>
    </row>
    <row r="14" spans="1:24" x14ac:dyDescent="0.3">
      <c r="A14" s="521"/>
      <c r="B14" s="433"/>
      <c r="C14" s="434"/>
      <c r="D14" s="522"/>
      <c r="E14" s="436"/>
      <c r="F14" s="436"/>
      <c r="G14" s="453"/>
      <c r="H14" s="453"/>
      <c r="I14" s="243"/>
      <c r="J14" s="241"/>
      <c r="K14" s="215" t="s">
        <v>472</v>
      </c>
      <c r="L14" s="242">
        <v>45751</v>
      </c>
      <c r="M14" s="242"/>
      <c r="N14" s="215"/>
      <c r="O14" s="215">
        <f ca="1">O1-L14</f>
        <v>102</v>
      </c>
      <c r="P14" s="215"/>
      <c r="Q14" s="215"/>
      <c r="R14" s="436"/>
      <c r="S14" s="436"/>
      <c r="T14" s="436"/>
      <c r="U14" s="436"/>
    </row>
    <row r="15" spans="1:24" x14ac:dyDescent="0.3">
      <c r="A15" s="237">
        <v>8</v>
      </c>
      <c r="B15" s="238" t="s">
        <v>465</v>
      </c>
      <c r="C15" s="239" t="s">
        <v>466</v>
      </c>
      <c r="D15" s="240" t="s">
        <v>496</v>
      </c>
      <c r="E15" s="215" t="s">
        <v>497</v>
      </c>
      <c r="F15" s="215" t="s">
        <v>479</v>
      </c>
      <c r="G15" s="242">
        <v>45771</v>
      </c>
      <c r="H15" s="242">
        <v>45771</v>
      </c>
      <c r="I15" s="243"/>
      <c r="J15" s="241"/>
      <c r="K15" s="215" t="s">
        <v>470</v>
      </c>
      <c r="L15" s="242">
        <v>45772</v>
      </c>
      <c r="M15" s="242"/>
      <c r="N15" s="215"/>
      <c r="O15" s="215">
        <f ca="1">O1-L15</f>
        <v>81</v>
      </c>
      <c r="P15" s="215"/>
      <c r="Q15" s="215"/>
      <c r="R15" s="215" t="s">
        <v>495</v>
      </c>
      <c r="S15" s="215"/>
      <c r="T15" s="215" t="s">
        <v>473</v>
      </c>
      <c r="U15" s="215">
        <f ca="1">U1-L15</f>
        <v>81</v>
      </c>
    </row>
    <row r="16" spans="1:24" x14ac:dyDescent="0.3">
      <c r="A16" s="221">
        <v>9</v>
      </c>
      <c r="B16" s="221" t="s">
        <v>465</v>
      </c>
      <c r="C16" s="222" t="s">
        <v>466</v>
      </c>
      <c r="D16" s="223" t="s">
        <v>498</v>
      </c>
      <c r="E16" s="224" t="s">
        <v>499</v>
      </c>
      <c r="F16" s="224" t="s">
        <v>479</v>
      </c>
      <c r="G16" s="225"/>
      <c r="H16" s="225"/>
      <c r="I16" s="226"/>
      <c r="J16" s="227"/>
      <c r="K16" s="224" t="s">
        <v>470</v>
      </c>
      <c r="L16" s="225"/>
      <c r="M16" s="225"/>
      <c r="N16" s="224"/>
      <c r="O16" s="224"/>
      <c r="P16" s="224"/>
      <c r="Q16" s="224"/>
      <c r="R16" s="224" t="s">
        <v>399</v>
      </c>
      <c r="S16" s="224" t="s">
        <v>485</v>
      </c>
      <c r="T16" s="224" t="s">
        <v>399</v>
      </c>
      <c r="U16" s="224"/>
    </row>
    <row r="17" spans="1:21" x14ac:dyDescent="0.3">
      <c r="A17" s="237">
        <v>10</v>
      </c>
      <c r="B17" s="238" t="s">
        <v>465</v>
      </c>
      <c r="C17" s="239" t="s">
        <v>466</v>
      </c>
      <c r="D17" s="240" t="s">
        <v>500</v>
      </c>
      <c r="E17" s="215" t="s">
        <v>501</v>
      </c>
      <c r="F17" s="213" t="s">
        <v>479</v>
      </c>
      <c r="G17" s="234">
        <v>45772</v>
      </c>
      <c r="H17" s="234">
        <v>45772</v>
      </c>
      <c r="I17" s="235"/>
      <c r="J17" s="241"/>
      <c r="K17" s="215" t="s">
        <v>470</v>
      </c>
      <c r="L17" s="242">
        <v>45772</v>
      </c>
      <c r="M17" s="242">
        <v>45778</v>
      </c>
      <c r="N17" s="215" t="s">
        <v>480</v>
      </c>
      <c r="O17" s="215">
        <f>M17-L17</f>
        <v>6</v>
      </c>
      <c r="P17" s="215"/>
      <c r="Q17" s="215"/>
      <c r="R17" s="215" t="s">
        <v>502</v>
      </c>
      <c r="S17" s="215" t="str">
        <f>N17</f>
        <v>CAT -IV R</v>
      </c>
      <c r="T17" s="215" t="s">
        <v>476</v>
      </c>
      <c r="U17" s="215">
        <f ca="1">U1-M17</f>
        <v>75</v>
      </c>
    </row>
    <row r="18" spans="1:21" x14ac:dyDescent="0.3">
      <c r="A18" s="395">
        <v>11</v>
      </c>
      <c r="B18" s="395" t="s">
        <v>465</v>
      </c>
      <c r="C18" s="396" t="s">
        <v>466</v>
      </c>
      <c r="D18" s="397" t="s">
        <v>503</v>
      </c>
      <c r="E18" s="393" t="s">
        <v>504</v>
      </c>
      <c r="F18" s="393" t="s">
        <v>469</v>
      </c>
      <c r="G18" s="392">
        <v>45769</v>
      </c>
      <c r="H18" s="392">
        <f>L18</f>
        <v>45769</v>
      </c>
      <c r="I18" s="226"/>
      <c r="J18" s="227"/>
      <c r="K18" s="224" t="s">
        <v>470</v>
      </c>
      <c r="L18" s="225">
        <v>45769</v>
      </c>
      <c r="M18" s="225">
        <v>45771</v>
      </c>
      <c r="N18" s="224" t="s">
        <v>471</v>
      </c>
      <c r="O18" s="224">
        <f>M18-L18</f>
        <v>2</v>
      </c>
      <c r="P18" s="224">
        <f>L19-M18</f>
        <v>6</v>
      </c>
      <c r="Q18" s="410">
        <f>M20</f>
        <v>45793</v>
      </c>
      <c r="R18" s="393" t="s">
        <v>495</v>
      </c>
      <c r="S18" s="393" t="str">
        <f>N20</f>
        <v>CAT - I</v>
      </c>
      <c r="T18" s="393" t="s">
        <v>399</v>
      </c>
      <c r="U18" s="393">
        <f>M20-L20</f>
        <v>7</v>
      </c>
    </row>
    <row r="19" spans="1:21" x14ac:dyDescent="0.3">
      <c r="A19" s="395"/>
      <c r="B19" s="395"/>
      <c r="C19" s="396"/>
      <c r="D19" s="397"/>
      <c r="E19" s="393"/>
      <c r="F19" s="393"/>
      <c r="G19" s="392"/>
      <c r="H19" s="392"/>
      <c r="I19" s="226"/>
      <c r="J19" s="227"/>
      <c r="K19" s="224" t="s">
        <v>472</v>
      </c>
      <c r="L19" s="225">
        <v>45777</v>
      </c>
      <c r="M19" s="225">
        <v>45778</v>
      </c>
      <c r="N19" s="224" t="s">
        <v>494</v>
      </c>
      <c r="O19" s="224">
        <f>M19-L19</f>
        <v>1</v>
      </c>
      <c r="P19" s="224">
        <f>L20-M19</f>
        <v>8</v>
      </c>
      <c r="Q19" s="410"/>
      <c r="R19" s="393"/>
      <c r="S19" s="393"/>
      <c r="T19" s="393"/>
      <c r="U19" s="393"/>
    </row>
    <row r="20" spans="1:21" x14ac:dyDescent="0.3">
      <c r="A20" s="395"/>
      <c r="B20" s="395"/>
      <c r="C20" s="396"/>
      <c r="D20" s="397"/>
      <c r="E20" s="393"/>
      <c r="F20" s="393"/>
      <c r="G20" s="392"/>
      <c r="H20" s="392"/>
      <c r="I20" s="226"/>
      <c r="J20" s="227"/>
      <c r="K20" s="224" t="s">
        <v>474</v>
      </c>
      <c r="L20" s="225">
        <v>45786</v>
      </c>
      <c r="M20" s="225">
        <v>45793</v>
      </c>
      <c r="N20" s="224" t="s">
        <v>485</v>
      </c>
      <c r="O20" s="224">
        <f>M20-L20</f>
        <v>7</v>
      </c>
      <c r="P20" s="224"/>
      <c r="Q20" s="410"/>
      <c r="R20" s="393"/>
      <c r="S20" s="393"/>
      <c r="T20" s="393"/>
      <c r="U20" s="393"/>
    </row>
    <row r="21" spans="1:21" x14ac:dyDescent="0.3">
      <c r="A21" s="237">
        <v>12</v>
      </c>
      <c r="B21" s="238" t="s">
        <v>465</v>
      </c>
      <c r="C21" s="239" t="s">
        <v>466</v>
      </c>
      <c r="D21" s="240" t="s">
        <v>505</v>
      </c>
      <c r="E21" s="215" t="s">
        <v>506</v>
      </c>
      <c r="F21" s="213" t="s">
        <v>479</v>
      </c>
      <c r="G21" s="234">
        <v>45801</v>
      </c>
      <c r="H21" s="234">
        <v>45843</v>
      </c>
      <c r="I21" s="235"/>
      <c r="J21" s="241"/>
      <c r="K21" s="215"/>
      <c r="L21" s="242"/>
      <c r="M21" s="242"/>
      <c r="N21" s="215"/>
      <c r="O21" s="215"/>
      <c r="P21" s="215"/>
      <c r="Q21" s="215"/>
      <c r="R21" s="215"/>
      <c r="S21" s="215"/>
      <c r="T21" s="215"/>
      <c r="U21" s="215"/>
    </row>
    <row r="22" spans="1:21" s="249" customFormat="1" x14ac:dyDescent="0.3">
      <c r="A22" s="237">
        <v>13</v>
      </c>
      <c r="B22" s="238" t="s">
        <v>465</v>
      </c>
      <c r="C22" s="239" t="s">
        <v>466</v>
      </c>
      <c r="D22" s="240" t="s">
        <v>507</v>
      </c>
      <c r="E22" s="215" t="s">
        <v>508</v>
      </c>
      <c r="F22" s="244" t="s">
        <v>479</v>
      </c>
      <c r="G22" s="245"/>
      <c r="H22" s="245"/>
      <c r="I22" s="246"/>
      <c r="J22" s="247"/>
      <c r="K22" s="248"/>
      <c r="L22" s="242"/>
      <c r="M22" s="242"/>
      <c r="N22" s="248"/>
      <c r="O22" s="215"/>
      <c r="P22" s="215"/>
      <c r="Q22" s="248"/>
      <c r="R22" s="248"/>
      <c r="S22" s="248"/>
      <c r="T22" s="248"/>
      <c r="U22" s="248"/>
    </row>
    <row r="23" spans="1:21" ht="28" x14ac:dyDescent="0.3">
      <c r="A23" s="237">
        <v>14</v>
      </c>
      <c r="B23" s="238" t="s">
        <v>465</v>
      </c>
      <c r="C23" s="239" t="s">
        <v>466</v>
      </c>
      <c r="D23" s="240" t="s">
        <v>509</v>
      </c>
      <c r="E23" s="215" t="s">
        <v>510</v>
      </c>
      <c r="F23" s="213" t="s">
        <v>469</v>
      </c>
      <c r="G23" s="234"/>
      <c r="H23" s="234"/>
      <c r="I23" s="235"/>
      <c r="J23" s="241"/>
      <c r="K23" s="215"/>
      <c r="L23" s="242"/>
      <c r="M23" s="242"/>
      <c r="N23" s="215"/>
      <c r="O23" s="215"/>
      <c r="P23" s="215"/>
      <c r="Q23" s="215"/>
      <c r="R23" s="215"/>
      <c r="S23" s="215"/>
      <c r="T23" s="215"/>
      <c r="U23" s="215"/>
    </row>
    <row r="24" spans="1:21" x14ac:dyDescent="0.3">
      <c r="A24" s="398">
        <v>1</v>
      </c>
      <c r="B24" s="398" t="s">
        <v>6</v>
      </c>
      <c r="C24" s="400" t="s">
        <v>511</v>
      </c>
      <c r="D24" s="411" t="s">
        <v>512</v>
      </c>
      <c r="E24" s="404" t="s">
        <v>513</v>
      </c>
      <c r="F24" s="404" t="s">
        <v>469</v>
      </c>
      <c r="G24" s="406">
        <v>45727</v>
      </c>
      <c r="H24" s="406">
        <f>L24</f>
        <v>45727</v>
      </c>
      <c r="I24" s="250"/>
      <c r="J24" s="227"/>
      <c r="K24" s="224" t="s">
        <v>470</v>
      </c>
      <c r="L24" s="225">
        <v>45727</v>
      </c>
      <c r="M24" s="225">
        <v>45736</v>
      </c>
      <c r="N24" s="224" t="s">
        <v>471</v>
      </c>
      <c r="O24" s="224">
        <f>M24-L24</f>
        <v>9</v>
      </c>
      <c r="P24" s="224">
        <f>L25-M24</f>
        <v>19</v>
      </c>
      <c r="Q24" s="404"/>
      <c r="R24" s="404" t="s">
        <v>399</v>
      </c>
      <c r="S24" s="404" t="str">
        <f>N26</f>
        <v>CAT - I</v>
      </c>
      <c r="T24" s="404" t="s">
        <v>399</v>
      </c>
      <c r="U24" s="404">
        <f ca="1">U1-L26</f>
        <v>48</v>
      </c>
    </row>
    <row r="25" spans="1:21" x14ac:dyDescent="0.3">
      <c r="A25" s="398"/>
      <c r="B25" s="398"/>
      <c r="C25" s="400"/>
      <c r="D25" s="411"/>
      <c r="E25" s="404"/>
      <c r="F25" s="404"/>
      <c r="G25" s="406"/>
      <c r="H25" s="406"/>
      <c r="I25" s="251"/>
      <c r="J25" s="227"/>
      <c r="K25" s="224" t="s">
        <v>472</v>
      </c>
      <c r="L25" s="225">
        <v>45755</v>
      </c>
      <c r="M25" s="225">
        <v>45758</v>
      </c>
      <c r="N25" s="224" t="s">
        <v>494</v>
      </c>
      <c r="O25" s="224">
        <f>M25-L25</f>
        <v>3</v>
      </c>
      <c r="P25" s="224">
        <f>L26-M25</f>
        <v>47</v>
      </c>
      <c r="Q25" s="404"/>
      <c r="R25" s="404"/>
      <c r="S25" s="404"/>
      <c r="T25" s="404"/>
      <c r="U25" s="404"/>
    </row>
    <row r="26" spans="1:21" x14ac:dyDescent="0.3">
      <c r="A26" s="398"/>
      <c r="B26" s="398"/>
      <c r="C26" s="400"/>
      <c r="D26" s="411"/>
      <c r="E26" s="404"/>
      <c r="F26" s="404"/>
      <c r="G26" s="406"/>
      <c r="H26" s="406"/>
      <c r="I26" s="252"/>
      <c r="J26" s="227"/>
      <c r="K26" s="224" t="s">
        <v>474</v>
      </c>
      <c r="L26" s="225">
        <v>45805</v>
      </c>
      <c r="M26" s="225">
        <v>45810</v>
      </c>
      <c r="N26" s="224" t="s">
        <v>485</v>
      </c>
      <c r="O26" s="224">
        <f>M26-L26</f>
        <v>5</v>
      </c>
      <c r="P26" s="224"/>
      <c r="Q26" s="404"/>
      <c r="R26" s="404"/>
      <c r="S26" s="404"/>
      <c r="T26" s="404"/>
      <c r="U26" s="404"/>
    </row>
    <row r="27" spans="1:21" s="259" customFormat="1" ht="28" x14ac:dyDescent="0.3">
      <c r="A27" s="253">
        <v>2</v>
      </c>
      <c r="B27" s="254" t="s">
        <v>6</v>
      </c>
      <c r="C27" s="255" t="s">
        <v>511</v>
      </c>
      <c r="D27" s="256" t="s">
        <v>842</v>
      </c>
      <c r="E27" s="215" t="s">
        <v>514</v>
      </c>
      <c r="F27" s="213" t="s">
        <v>469</v>
      </c>
      <c r="G27" s="234">
        <v>45805</v>
      </c>
      <c r="H27" s="245">
        <f>L27</f>
        <v>45811</v>
      </c>
      <c r="I27" s="257"/>
      <c r="J27" s="258"/>
      <c r="K27" s="215" t="s">
        <v>470</v>
      </c>
      <c r="L27" s="242">
        <v>45811</v>
      </c>
      <c r="M27" s="242">
        <v>45818</v>
      </c>
      <c r="N27" s="215" t="s">
        <v>471</v>
      </c>
      <c r="O27" s="215">
        <f ca="1">O1-L27</f>
        <v>42</v>
      </c>
      <c r="P27" s="215"/>
      <c r="Q27" s="215"/>
      <c r="R27" s="215" t="s">
        <v>502</v>
      </c>
      <c r="S27" s="215" t="str">
        <f>N27</f>
        <v>CAT - III</v>
      </c>
      <c r="T27" s="215" t="s">
        <v>476</v>
      </c>
      <c r="U27" s="215">
        <f ca="1">U1-L27</f>
        <v>42</v>
      </c>
    </row>
    <row r="28" spans="1:21" ht="28" x14ac:dyDescent="0.3">
      <c r="A28" s="237">
        <v>3</v>
      </c>
      <c r="B28" s="238" t="s">
        <v>6</v>
      </c>
      <c r="C28" s="239" t="s">
        <v>511</v>
      </c>
      <c r="D28" s="240" t="s">
        <v>515</v>
      </c>
      <c r="E28" s="215" t="s">
        <v>516</v>
      </c>
      <c r="F28" s="213" t="s">
        <v>469</v>
      </c>
      <c r="G28" s="234">
        <v>45795</v>
      </c>
      <c r="H28" s="234">
        <f>L28</f>
        <v>45786</v>
      </c>
      <c r="I28" s="235"/>
      <c r="J28" s="241"/>
      <c r="K28" s="215" t="s">
        <v>470</v>
      </c>
      <c r="L28" s="242">
        <v>45786</v>
      </c>
      <c r="M28" s="242"/>
      <c r="N28" s="215"/>
      <c r="O28" s="215">
        <f ca="1">O1-L28</f>
        <v>67</v>
      </c>
      <c r="P28" s="215"/>
      <c r="Q28" s="215"/>
      <c r="R28" s="215" t="s">
        <v>495</v>
      </c>
      <c r="S28" s="215"/>
      <c r="T28" s="215" t="s">
        <v>473</v>
      </c>
      <c r="U28" s="215">
        <f ca="1">U1-L28</f>
        <v>67</v>
      </c>
    </row>
    <row r="29" spans="1:21" x14ac:dyDescent="0.3">
      <c r="A29" s="398">
        <v>4</v>
      </c>
      <c r="B29" s="398" t="s">
        <v>6</v>
      </c>
      <c r="C29" s="400" t="s">
        <v>511</v>
      </c>
      <c r="D29" s="411" t="s">
        <v>517</v>
      </c>
      <c r="E29" s="404" t="s">
        <v>518</v>
      </c>
      <c r="F29" s="404" t="s">
        <v>469</v>
      </c>
      <c r="G29" s="406">
        <v>45751</v>
      </c>
      <c r="H29" s="406">
        <f>L29</f>
        <v>45727</v>
      </c>
      <c r="I29" s="250"/>
      <c r="J29" s="227"/>
      <c r="K29" s="224" t="s">
        <v>470</v>
      </c>
      <c r="L29" s="225">
        <v>45727</v>
      </c>
      <c r="M29" s="225">
        <v>45736</v>
      </c>
      <c r="N29" s="224" t="s">
        <v>494</v>
      </c>
      <c r="O29" s="224">
        <f>M29-L29</f>
        <v>9</v>
      </c>
      <c r="P29" s="224">
        <f>L30-M29</f>
        <v>19</v>
      </c>
      <c r="Q29" s="416">
        <f>M31</f>
        <v>45784</v>
      </c>
      <c r="R29" s="404" t="s">
        <v>502</v>
      </c>
      <c r="S29" s="404" t="str">
        <f>N32</f>
        <v>CAT - II</v>
      </c>
      <c r="T29" s="404" t="s">
        <v>476</v>
      </c>
      <c r="U29" s="404">
        <f>M31-L31</f>
        <v>1</v>
      </c>
    </row>
    <row r="30" spans="1:21" ht="14.15" customHeight="1" x14ac:dyDescent="0.3">
      <c r="A30" s="412"/>
      <c r="B30" s="412"/>
      <c r="C30" s="413"/>
      <c r="D30" s="420"/>
      <c r="E30" s="415"/>
      <c r="F30" s="415"/>
      <c r="G30" s="419"/>
      <c r="H30" s="419"/>
      <c r="I30" s="251"/>
      <c r="J30" s="227"/>
      <c r="K30" s="224" t="s">
        <v>472</v>
      </c>
      <c r="L30" s="225">
        <v>45755</v>
      </c>
      <c r="M30" s="225">
        <v>45758</v>
      </c>
      <c r="N30" s="224" t="s">
        <v>485</v>
      </c>
      <c r="O30" s="224">
        <f>M30-L30</f>
        <v>3</v>
      </c>
      <c r="P30" s="224">
        <f>L31-M30</f>
        <v>25</v>
      </c>
      <c r="Q30" s="417"/>
      <c r="R30" s="415"/>
      <c r="S30" s="415"/>
      <c r="T30" s="415"/>
      <c r="U30" s="415"/>
    </row>
    <row r="31" spans="1:21" ht="14.15" customHeight="1" x14ac:dyDescent="0.3">
      <c r="A31" s="412"/>
      <c r="B31" s="412"/>
      <c r="C31" s="413"/>
      <c r="D31" s="420"/>
      <c r="E31" s="415"/>
      <c r="F31" s="415"/>
      <c r="G31" s="419"/>
      <c r="H31" s="419"/>
      <c r="I31" s="251"/>
      <c r="J31" s="227"/>
      <c r="K31" s="224" t="s">
        <v>474</v>
      </c>
      <c r="L31" s="225">
        <v>45783</v>
      </c>
      <c r="M31" s="225">
        <v>45784</v>
      </c>
      <c r="N31" s="224" t="s">
        <v>485</v>
      </c>
      <c r="O31" s="224">
        <f>M31-L31</f>
        <v>1</v>
      </c>
      <c r="P31" s="224">
        <f>L32-M31</f>
        <v>21</v>
      </c>
      <c r="Q31" s="417"/>
      <c r="R31" s="415"/>
      <c r="S31" s="415"/>
      <c r="T31" s="415"/>
      <c r="U31" s="415"/>
    </row>
    <row r="32" spans="1:21" ht="14.15" customHeight="1" x14ac:dyDescent="0.3">
      <c r="A32" s="399"/>
      <c r="B32" s="399"/>
      <c r="C32" s="401"/>
      <c r="D32" s="421"/>
      <c r="E32" s="405"/>
      <c r="F32" s="405"/>
      <c r="G32" s="407"/>
      <c r="H32" s="407"/>
      <c r="I32" s="252"/>
      <c r="J32" s="227"/>
      <c r="K32" s="224" t="s">
        <v>475</v>
      </c>
      <c r="L32" s="225">
        <v>45805</v>
      </c>
      <c r="M32" s="225">
        <v>45807</v>
      </c>
      <c r="N32" s="224" t="s">
        <v>494</v>
      </c>
      <c r="O32" s="224">
        <f>M32-L32</f>
        <v>2</v>
      </c>
      <c r="P32" s="224"/>
      <c r="Q32" s="418"/>
      <c r="R32" s="405"/>
      <c r="S32" s="405"/>
      <c r="T32" s="405"/>
      <c r="U32" s="405"/>
    </row>
    <row r="33" spans="1:21" ht="28" x14ac:dyDescent="0.3">
      <c r="A33" s="260">
        <v>5</v>
      </c>
      <c r="B33" s="260" t="s">
        <v>6</v>
      </c>
      <c r="C33" s="261" t="s">
        <v>511</v>
      </c>
      <c r="D33" s="262" t="s">
        <v>519</v>
      </c>
      <c r="E33" s="215" t="s">
        <v>520</v>
      </c>
      <c r="F33" s="215" t="s">
        <v>469</v>
      </c>
      <c r="G33" s="242">
        <v>45811</v>
      </c>
      <c r="H33" s="242">
        <f>L33</f>
        <v>45811</v>
      </c>
      <c r="I33" s="243"/>
      <c r="J33" s="241"/>
      <c r="K33" s="215" t="s">
        <v>470</v>
      </c>
      <c r="L33" s="242">
        <v>45811</v>
      </c>
      <c r="M33" s="242">
        <v>45818</v>
      </c>
      <c r="N33" s="215" t="s">
        <v>471</v>
      </c>
      <c r="O33" s="215">
        <f ca="1">O1-L33</f>
        <v>42</v>
      </c>
      <c r="P33" s="215"/>
      <c r="Q33" s="215"/>
      <c r="R33" s="215" t="s">
        <v>502</v>
      </c>
      <c r="S33" s="215" t="str">
        <f>N33</f>
        <v>CAT - III</v>
      </c>
      <c r="T33" s="215" t="s">
        <v>476</v>
      </c>
      <c r="U33" s="215">
        <f ca="1">U1-L33</f>
        <v>42</v>
      </c>
    </row>
    <row r="34" spans="1:21" x14ac:dyDescent="0.3">
      <c r="A34" s="395">
        <v>6</v>
      </c>
      <c r="B34" s="395" t="s">
        <v>6</v>
      </c>
      <c r="C34" s="396" t="s">
        <v>511</v>
      </c>
      <c r="D34" s="397" t="s">
        <v>521</v>
      </c>
      <c r="E34" s="393" t="s">
        <v>522</v>
      </c>
      <c r="F34" s="393" t="s">
        <v>469</v>
      </c>
      <c r="G34" s="392">
        <v>45751</v>
      </c>
      <c r="H34" s="392">
        <f>L34</f>
        <v>45727</v>
      </c>
      <c r="I34" s="226"/>
      <c r="J34" s="227"/>
      <c r="K34" s="224" t="s">
        <v>470</v>
      </c>
      <c r="L34" s="225">
        <v>45727</v>
      </c>
      <c r="M34" s="225">
        <v>45736</v>
      </c>
      <c r="N34" s="224" t="s">
        <v>471</v>
      </c>
      <c r="O34" s="224">
        <f>M34-L34</f>
        <v>9</v>
      </c>
      <c r="P34" s="224">
        <f>L35-M34</f>
        <v>19</v>
      </c>
      <c r="Q34" s="426">
        <v>45758</v>
      </c>
      <c r="R34" s="393" t="s">
        <v>502</v>
      </c>
      <c r="S34" s="393" t="str">
        <f>N35</f>
        <v>CAT - I</v>
      </c>
      <c r="T34" s="393" t="s">
        <v>476</v>
      </c>
      <c r="U34" s="393"/>
    </row>
    <row r="35" spans="1:21" x14ac:dyDescent="0.3">
      <c r="A35" s="395"/>
      <c r="B35" s="395"/>
      <c r="C35" s="396"/>
      <c r="D35" s="397"/>
      <c r="E35" s="393"/>
      <c r="F35" s="393"/>
      <c r="G35" s="392"/>
      <c r="H35" s="392"/>
      <c r="I35" s="226"/>
      <c r="J35" s="227"/>
      <c r="K35" s="224" t="s">
        <v>472</v>
      </c>
      <c r="L35" s="225">
        <v>45755</v>
      </c>
      <c r="M35" s="225">
        <v>45758</v>
      </c>
      <c r="N35" s="224" t="s">
        <v>485</v>
      </c>
      <c r="O35" s="224">
        <f>M35-L35</f>
        <v>3</v>
      </c>
      <c r="P35" s="224"/>
      <c r="Q35" s="393"/>
      <c r="R35" s="393"/>
      <c r="S35" s="393"/>
      <c r="T35" s="393"/>
      <c r="U35" s="393"/>
    </row>
    <row r="36" spans="1:21" x14ac:dyDescent="0.3">
      <c r="A36" s="398">
        <v>7</v>
      </c>
      <c r="B36" s="398" t="s">
        <v>6</v>
      </c>
      <c r="C36" s="400" t="s">
        <v>511</v>
      </c>
      <c r="D36" s="411" t="s">
        <v>523</v>
      </c>
      <c r="E36" s="404" t="s">
        <v>524</v>
      </c>
      <c r="F36" s="404" t="s">
        <v>479</v>
      </c>
      <c r="G36" s="406">
        <v>45769</v>
      </c>
      <c r="H36" s="406">
        <f>L36</f>
        <v>45769</v>
      </c>
      <c r="I36" s="250"/>
      <c r="J36" s="227"/>
      <c r="K36" s="224" t="s">
        <v>470</v>
      </c>
      <c r="L36" s="225">
        <v>45769</v>
      </c>
      <c r="M36" s="225">
        <v>45779</v>
      </c>
      <c r="N36" s="224" t="s">
        <v>525</v>
      </c>
      <c r="O36" s="224">
        <f>M36-L36</f>
        <v>10</v>
      </c>
      <c r="P36" s="224">
        <f>L37-M36</f>
        <v>3</v>
      </c>
      <c r="Q36" s="408">
        <f>M36</f>
        <v>45779</v>
      </c>
      <c r="R36" s="404" t="s">
        <v>502</v>
      </c>
      <c r="S36" s="404" t="str">
        <f>N37</f>
        <v xml:space="preserve">CAT -IV </v>
      </c>
      <c r="T36" s="404" t="s">
        <v>476</v>
      </c>
      <c r="U36" s="404">
        <f ca="1">U1-M38</f>
        <v>46</v>
      </c>
    </row>
    <row r="37" spans="1:21" x14ac:dyDescent="0.3">
      <c r="A37" s="412"/>
      <c r="B37" s="412"/>
      <c r="C37" s="413"/>
      <c r="D37" s="420"/>
      <c r="E37" s="415"/>
      <c r="F37" s="415"/>
      <c r="G37" s="419"/>
      <c r="H37" s="419"/>
      <c r="I37" s="251"/>
      <c r="J37" s="227"/>
      <c r="K37" s="224" t="s">
        <v>472</v>
      </c>
      <c r="L37" s="225">
        <v>45782</v>
      </c>
      <c r="M37" s="225">
        <v>45784</v>
      </c>
      <c r="N37" s="224" t="s">
        <v>525</v>
      </c>
      <c r="O37" s="224">
        <f>M37-L37</f>
        <v>2</v>
      </c>
      <c r="P37" s="224">
        <f>L38-M37</f>
        <v>21</v>
      </c>
      <c r="Q37" s="422"/>
      <c r="R37" s="415"/>
      <c r="S37" s="415"/>
      <c r="T37" s="415"/>
      <c r="U37" s="415"/>
    </row>
    <row r="38" spans="1:21" x14ac:dyDescent="0.3">
      <c r="A38" s="399"/>
      <c r="B38" s="399"/>
      <c r="C38" s="401"/>
      <c r="D38" s="421"/>
      <c r="E38" s="405"/>
      <c r="F38" s="405"/>
      <c r="G38" s="407"/>
      <c r="H38" s="407"/>
      <c r="I38" s="252"/>
      <c r="J38" s="227"/>
      <c r="K38" s="224" t="s">
        <v>474</v>
      </c>
      <c r="L38" s="225">
        <v>45805</v>
      </c>
      <c r="M38" s="225">
        <v>45807</v>
      </c>
      <c r="N38" s="224" t="s">
        <v>525</v>
      </c>
      <c r="O38" s="224">
        <f>M38-L38</f>
        <v>2</v>
      </c>
      <c r="P38" s="224"/>
      <c r="Q38" s="409"/>
      <c r="R38" s="405"/>
      <c r="S38" s="405"/>
      <c r="T38" s="405"/>
      <c r="U38" s="405"/>
    </row>
    <row r="39" spans="1:21" ht="28" x14ac:dyDescent="0.3">
      <c r="A39" s="237">
        <v>8</v>
      </c>
      <c r="B39" s="237" t="s">
        <v>6</v>
      </c>
      <c r="C39" s="239" t="s">
        <v>511</v>
      </c>
      <c r="D39" s="263" t="s">
        <v>526</v>
      </c>
      <c r="E39" s="215" t="s">
        <v>527</v>
      </c>
      <c r="F39" s="213" t="s">
        <v>479</v>
      </c>
      <c r="G39" s="234">
        <v>45811</v>
      </c>
      <c r="H39" s="234">
        <f>L39</f>
        <v>45811</v>
      </c>
      <c r="I39" s="235"/>
      <c r="J39" s="241"/>
      <c r="K39" s="215" t="s">
        <v>470</v>
      </c>
      <c r="L39" s="242">
        <v>45811</v>
      </c>
      <c r="M39" s="242">
        <v>45818</v>
      </c>
      <c r="N39" s="215" t="s">
        <v>480</v>
      </c>
      <c r="O39" s="215">
        <f ca="1">O1-L39</f>
        <v>42</v>
      </c>
      <c r="P39" s="215"/>
      <c r="Q39" s="215"/>
      <c r="R39" s="215" t="s">
        <v>502</v>
      </c>
      <c r="S39" s="215" t="str">
        <f>N39</f>
        <v>CAT -IV R</v>
      </c>
      <c r="T39" s="215" t="s">
        <v>476</v>
      </c>
      <c r="U39" s="215"/>
    </row>
    <row r="40" spans="1:21" ht="28" x14ac:dyDescent="0.3">
      <c r="A40" s="237">
        <v>9</v>
      </c>
      <c r="B40" s="237" t="s">
        <v>6</v>
      </c>
      <c r="C40" s="239" t="s">
        <v>511</v>
      </c>
      <c r="D40" s="264" t="s">
        <v>528</v>
      </c>
      <c r="E40" s="215" t="s">
        <v>529</v>
      </c>
      <c r="F40" s="213" t="s">
        <v>479</v>
      </c>
      <c r="G40" s="234">
        <v>45824</v>
      </c>
      <c r="H40" s="234">
        <v>45823</v>
      </c>
      <c r="I40" s="235"/>
      <c r="J40" s="241"/>
      <c r="K40" s="215"/>
      <c r="L40" s="265"/>
      <c r="M40" s="242"/>
      <c r="N40" s="215"/>
      <c r="O40" s="215"/>
      <c r="P40" s="215"/>
      <c r="Q40" s="215"/>
      <c r="R40" s="215"/>
      <c r="S40" s="215"/>
      <c r="T40" s="215"/>
      <c r="U40" s="215"/>
    </row>
    <row r="41" spans="1:21" ht="14.15" customHeight="1" x14ac:dyDescent="0.3">
      <c r="A41" s="430">
        <v>1</v>
      </c>
      <c r="B41" s="433" t="s">
        <v>6</v>
      </c>
      <c r="C41" s="434" t="s">
        <v>530</v>
      </c>
      <c r="D41" s="435" t="s">
        <v>531</v>
      </c>
      <c r="E41" s="436" t="s">
        <v>532</v>
      </c>
      <c r="F41" s="436" t="s">
        <v>469</v>
      </c>
      <c r="G41" s="423">
        <v>45763</v>
      </c>
      <c r="H41" s="423">
        <f>L41</f>
        <v>45763</v>
      </c>
      <c r="I41" s="243"/>
      <c r="J41" s="241"/>
      <c r="K41" s="215" t="s">
        <v>470</v>
      </c>
      <c r="L41" s="242">
        <v>45763</v>
      </c>
      <c r="M41" s="242">
        <v>45784</v>
      </c>
      <c r="N41" s="215" t="s">
        <v>471</v>
      </c>
      <c r="O41" s="215">
        <f>M41-L41</f>
        <v>21</v>
      </c>
      <c r="P41" s="215">
        <f>L42-M41</f>
        <v>7</v>
      </c>
      <c r="Q41" s="215"/>
      <c r="R41" s="427" t="s">
        <v>495</v>
      </c>
      <c r="S41" s="427" t="str">
        <f>N41</f>
        <v>CAT - III</v>
      </c>
      <c r="T41" s="427" t="s">
        <v>473</v>
      </c>
      <c r="U41" s="427"/>
    </row>
    <row r="42" spans="1:21" x14ac:dyDescent="0.3">
      <c r="A42" s="432"/>
      <c r="B42" s="433"/>
      <c r="C42" s="434"/>
      <c r="D42" s="435"/>
      <c r="E42" s="436"/>
      <c r="F42" s="436"/>
      <c r="G42" s="425"/>
      <c r="H42" s="425"/>
      <c r="I42" s="243"/>
      <c r="J42" s="241"/>
      <c r="K42" s="215" t="s">
        <v>472</v>
      </c>
      <c r="L42" s="242">
        <v>45791</v>
      </c>
      <c r="M42" s="242"/>
      <c r="N42" s="215"/>
      <c r="O42" s="215">
        <f ca="1">O1-L42</f>
        <v>62</v>
      </c>
      <c r="P42" s="215"/>
      <c r="Q42" s="215"/>
      <c r="R42" s="429"/>
      <c r="S42" s="429"/>
      <c r="T42" s="429"/>
      <c r="U42" s="429"/>
    </row>
    <row r="43" spans="1:21" ht="28" x14ac:dyDescent="0.3">
      <c r="A43" s="237">
        <v>2</v>
      </c>
      <c r="B43" s="238" t="s">
        <v>6</v>
      </c>
      <c r="C43" s="239" t="s">
        <v>530</v>
      </c>
      <c r="D43" s="240" t="s">
        <v>533</v>
      </c>
      <c r="E43" s="215" t="s">
        <v>534</v>
      </c>
      <c r="F43" s="213" t="s">
        <v>469</v>
      </c>
      <c r="G43" s="234">
        <v>45868</v>
      </c>
      <c r="H43" s="234">
        <f t="shared" ref="H43:H50" si="0">G43</f>
        <v>45868</v>
      </c>
      <c r="I43" s="235" t="s">
        <v>535</v>
      </c>
      <c r="J43" s="241"/>
      <c r="K43" s="215"/>
      <c r="L43" s="242"/>
      <c r="M43" s="242"/>
      <c r="N43" s="215"/>
      <c r="O43" s="215"/>
      <c r="P43" s="215"/>
      <c r="Q43" s="215"/>
      <c r="R43" s="215"/>
      <c r="S43" s="215"/>
      <c r="T43" s="215"/>
      <c r="U43" s="215"/>
    </row>
    <row r="44" spans="1:21" ht="28" x14ac:dyDescent="0.3">
      <c r="A44" s="237">
        <v>3</v>
      </c>
      <c r="B44" s="238" t="s">
        <v>6</v>
      </c>
      <c r="C44" s="239" t="s">
        <v>530</v>
      </c>
      <c r="D44" s="240" t="s">
        <v>536</v>
      </c>
      <c r="E44" s="215" t="s">
        <v>537</v>
      </c>
      <c r="F44" s="215" t="s">
        <v>469</v>
      </c>
      <c r="G44" s="242">
        <v>45843</v>
      </c>
      <c r="H44" s="242">
        <f t="shared" si="0"/>
        <v>45843</v>
      </c>
      <c r="I44" s="243"/>
      <c r="J44" s="241"/>
      <c r="K44" s="215"/>
      <c r="L44" s="242"/>
      <c r="M44" s="242"/>
      <c r="N44" s="215"/>
      <c r="O44" s="215"/>
      <c r="P44" s="215"/>
      <c r="Q44" s="215"/>
      <c r="R44" s="215"/>
      <c r="S44" s="215"/>
      <c r="T44" s="215"/>
      <c r="U44" s="215"/>
    </row>
    <row r="45" spans="1:21" ht="28" x14ac:dyDescent="0.3">
      <c r="A45" s="237">
        <v>4</v>
      </c>
      <c r="B45" s="238" t="s">
        <v>6</v>
      </c>
      <c r="C45" s="239" t="s">
        <v>530</v>
      </c>
      <c r="D45" s="240" t="s">
        <v>538</v>
      </c>
      <c r="E45" s="215" t="s">
        <v>539</v>
      </c>
      <c r="F45" s="215" t="s">
        <v>469</v>
      </c>
      <c r="G45" s="242">
        <v>45838</v>
      </c>
      <c r="H45" s="242">
        <f t="shared" si="0"/>
        <v>45838</v>
      </c>
      <c r="I45" s="243"/>
      <c r="J45" s="241"/>
      <c r="K45" s="215"/>
      <c r="L45" s="242"/>
      <c r="M45" s="242"/>
      <c r="N45" s="215"/>
      <c r="O45" s="215"/>
      <c r="P45" s="215"/>
      <c r="Q45" s="215"/>
      <c r="R45" s="215"/>
      <c r="S45" s="215"/>
      <c r="T45" s="215"/>
      <c r="U45" s="215"/>
    </row>
    <row r="46" spans="1:21" ht="42" x14ac:dyDescent="0.3">
      <c r="A46" s="237">
        <v>5</v>
      </c>
      <c r="B46" s="238" t="s">
        <v>6</v>
      </c>
      <c r="C46" s="239" t="s">
        <v>530</v>
      </c>
      <c r="D46" s="240" t="s">
        <v>540</v>
      </c>
      <c r="E46" s="215" t="s">
        <v>541</v>
      </c>
      <c r="F46" s="215" t="s">
        <v>469</v>
      </c>
      <c r="G46" s="242">
        <v>45874</v>
      </c>
      <c r="H46" s="242">
        <f t="shared" si="0"/>
        <v>45874</v>
      </c>
      <c r="I46" s="243"/>
      <c r="J46" s="241"/>
      <c r="K46" s="215"/>
      <c r="L46" s="242"/>
      <c r="M46" s="242"/>
      <c r="N46" s="215"/>
      <c r="O46" s="215"/>
      <c r="P46" s="215"/>
      <c r="Q46" s="215"/>
      <c r="R46" s="215"/>
      <c r="S46" s="215"/>
      <c r="T46" s="215"/>
      <c r="U46" s="215"/>
    </row>
    <row r="47" spans="1:21" x14ac:dyDescent="0.3">
      <c r="A47" s="237">
        <v>6</v>
      </c>
      <c r="B47" s="238" t="s">
        <v>6</v>
      </c>
      <c r="C47" s="239" t="s">
        <v>530</v>
      </c>
      <c r="D47" s="240" t="s">
        <v>542</v>
      </c>
      <c r="E47" s="215" t="s">
        <v>543</v>
      </c>
      <c r="F47" s="215" t="s">
        <v>469</v>
      </c>
      <c r="G47" s="242">
        <v>45905</v>
      </c>
      <c r="H47" s="242">
        <f t="shared" si="0"/>
        <v>45905</v>
      </c>
      <c r="I47" s="243"/>
      <c r="J47" s="241"/>
      <c r="K47" s="215"/>
      <c r="L47" s="242"/>
      <c r="M47" s="242"/>
      <c r="N47" s="215"/>
      <c r="O47" s="215"/>
      <c r="P47" s="215"/>
      <c r="Q47" s="215"/>
      <c r="R47" s="215"/>
      <c r="S47" s="215"/>
      <c r="T47" s="215"/>
      <c r="U47" s="215"/>
    </row>
    <row r="48" spans="1:21" x14ac:dyDescent="0.3">
      <c r="A48" s="237">
        <v>7</v>
      </c>
      <c r="B48" s="238" t="s">
        <v>6</v>
      </c>
      <c r="C48" s="239" t="s">
        <v>530</v>
      </c>
      <c r="D48" s="240" t="s">
        <v>544</v>
      </c>
      <c r="E48" s="215" t="s">
        <v>545</v>
      </c>
      <c r="F48" s="215" t="s">
        <v>469</v>
      </c>
      <c r="G48" s="242">
        <v>45908</v>
      </c>
      <c r="H48" s="242">
        <f t="shared" si="0"/>
        <v>45908</v>
      </c>
      <c r="I48" s="243"/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8</v>
      </c>
      <c r="B49" s="238" t="s">
        <v>6</v>
      </c>
      <c r="C49" s="239" t="s">
        <v>530</v>
      </c>
      <c r="D49" s="240" t="s">
        <v>546</v>
      </c>
      <c r="E49" s="215" t="s">
        <v>547</v>
      </c>
      <c r="F49" s="215" t="s">
        <v>469</v>
      </c>
      <c r="G49" s="242">
        <v>45858</v>
      </c>
      <c r="H49" s="242">
        <f t="shared" si="0"/>
        <v>45858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9</v>
      </c>
      <c r="B50" s="238" t="s">
        <v>6</v>
      </c>
      <c r="C50" s="239" t="s">
        <v>530</v>
      </c>
      <c r="D50" s="240" t="s">
        <v>548</v>
      </c>
      <c r="E50" s="215" t="s">
        <v>549</v>
      </c>
      <c r="F50" s="215" t="s">
        <v>469</v>
      </c>
      <c r="G50" s="242">
        <v>45868</v>
      </c>
      <c r="H50" s="242">
        <f t="shared" si="0"/>
        <v>45868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x14ac:dyDescent="0.3">
      <c r="A51" s="237">
        <v>1</v>
      </c>
      <c r="B51" s="238" t="s">
        <v>6</v>
      </c>
      <c r="C51" s="239" t="s">
        <v>550</v>
      </c>
      <c r="D51" s="240" t="s">
        <v>551</v>
      </c>
      <c r="E51" s="215" t="s">
        <v>552</v>
      </c>
      <c r="F51" s="215" t="s">
        <v>469</v>
      </c>
      <c r="G51" s="242">
        <v>45818</v>
      </c>
      <c r="H51" s="242">
        <v>45825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ht="28" x14ac:dyDescent="0.3">
      <c r="A52" s="237">
        <v>2</v>
      </c>
      <c r="B52" s="238" t="s">
        <v>6</v>
      </c>
      <c r="C52" s="239" t="s">
        <v>550</v>
      </c>
      <c r="D52" s="240" t="s">
        <v>553</v>
      </c>
      <c r="E52" s="215" t="s">
        <v>554</v>
      </c>
      <c r="F52" s="215" t="s">
        <v>469</v>
      </c>
      <c r="G52" s="242">
        <v>45823</v>
      </c>
      <c r="H52" s="242">
        <v>45825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ht="28" x14ac:dyDescent="0.3">
      <c r="A53" s="237">
        <v>3</v>
      </c>
      <c r="B53" s="238" t="s">
        <v>6</v>
      </c>
      <c r="C53" s="239" t="s">
        <v>550</v>
      </c>
      <c r="D53" s="240" t="s">
        <v>555</v>
      </c>
      <c r="E53" s="215" t="s">
        <v>556</v>
      </c>
      <c r="F53" s="215" t="s">
        <v>469</v>
      </c>
      <c r="G53" s="242">
        <v>45828</v>
      </c>
      <c r="H53" s="242">
        <v>45825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4</v>
      </c>
      <c r="B54" s="238" t="s">
        <v>6</v>
      </c>
      <c r="C54" s="239" t="s">
        <v>550</v>
      </c>
      <c r="D54" s="240" t="s">
        <v>557</v>
      </c>
      <c r="E54" s="215" t="s">
        <v>558</v>
      </c>
      <c r="F54" s="215" t="s">
        <v>469</v>
      </c>
      <c r="G54" s="242">
        <v>45823</v>
      </c>
      <c r="H54" s="242">
        <v>45820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5</v>
      </c>
      <c r="B55" s="238" t="s">
        <v>6</v>
      </c>
      <c r="C55" s="239" t="s">
        <v>550</v>
      </c>
      <c r="D55" s="240" t="s">
        <v>559</v>
      </c>
      <c r="E55" s="215" t="s">
        <v>560</v>
      </c>
      <c r="F55" s="215" t="s">
        <v>469</v>
      </c>
      <c r="G55" s="242">
        <v>45833</v>
      </c>
      <c r="H55" s="242">
        <v>45820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ht="28" x14ac:dyDescent="0.3">
      <c r="A56" s="237">
        <v>6</v>
      </c>
      <c r="B56" s="238" t="s">
        <v>6</v>
      </c>
      <c r="C56" s="239" t="s">
        <v>550</v>
      </c>
      <c r="D56" s="240" t="s">
        <v>561</v>
      </c>
      <c r="E56" s="215" t="s">
        <v>562</v>
      </c>
      <c r="F56" s="215" t="s">
        <v>469</v>
      </c>
      <c r="G56" s="242">
        <v>45840</v>
      </c>
      <c r="H56" s="268">
        <v>45822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7</v>
      </c>
      <c r="B57" s="237" t="s">
        <v>6</v>
      </c>
      <c r="C57" s="239" t="s">
        <v>550</v>
      </c>
      <c r="D57" s="263" t="s">
        <v>563</v>
      </c>
      <c r="E57" s="215" t="s">
        <v>564</v>
      </c>
      <c r="F57" s="213" t="s">
        <v>469</v>
      </c>
      <c r="G57" s="234">
        <v>45836</v>
      </c>
      <c r="H57" s="268">
        <v>45822</v>
      </c>
      <c r="I57" s="235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69">
        <v>8</v>
      </c>
      <c r="B58" s="237" t="s">
        <v>6</v>
      </c>
      <c r="C58" s="239" t="s">
        <v>550</v>
      </c>
      <c r="D58" s="263" t="s">
        <v>565</v>
      </c>
      <c r="E58" s="215" t="s">
        <v>566</v>
      </c>
      <c r="F58" s="213" t="s">
        <v>469</v>
      </c>
      <c r="G58" s="234">
        <v>45840</v>
      </c>
      <c r="H58" s="234">
        <v>45852</v>
      </c>
      <c r="I58" s="235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x14ac:dyDescent="0.3">
      <c r="A59" s="269">
        <v>9</v>
      </c>
      <c r="B59" s="238" t="s">
        <v>6</v>
      </c>
      <c r="C59" s="239" t="s">
        <v>550</v>
      </c>
      <c r="D59" s="240" t="s">
        <v>567</v>
      </c>
      <c r="E59" s="215" t="s">
        <v>568</v>
      </c>
      <c r="F59" s="213" t="s">
        <v>469</v>
      </c>
      <c r="G59" s="234">
        <v>45843</v>
      </c>
      <c r="H59" s="234">
        <f>H55+1</f>
        <v>45821</v>
      </c>
      <c r="I59" s="235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x14ac:dyDescent="0.3">
      <c r="A60" s="269">
        <v>1</v>
      </c>
      <c r="B60" s="237" t="s">
        <v>6</v>
      </c>
      <c r="C60" s="270" t="s">
        <v>569</v>
      </c>
      <c r="D60" s="263" t="s">
        <v>570</v>
      </c>
      <c r="E60" s="215" t="s">
        <v>571</v>
      </c>
      <c r="F60" s="213" t="s">
        <v>479</v>
      </c>
      <c r="G60" s="234">
        <v>45828</v>
      </c>
      <c r="H60" s="234">
        <v>45839</v>
      </c>
      <c r="I60" s="235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x14ac:dyDescent="0.3">
      <c r="A61" s="237">
        <v>2</v>
      </c>
      <c r="B61" s="237" t="s">
        <v>6</v>
      </c>
      <c r="C61" s="270" t="s">
        <v>569</v>
      </c>
      <c r="D61" s="263" t="s">
        <v>572</v>
      </c>
      <c r="E61" s="215" t="s">
        <v>573</v>
      </c>
      <c r="F61" s="213" t="s">
        <v>479</v>
      </c>
      <c r="G61" s="234">
        <v>45833</v>
      </c>
      <c r="H61" s="234">
        <v>45839</v>
      </c>
      <c r="I61" s="235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30" customHeight="1" x14ac:dyDescent="0.3">
      <c r="A62" s="430">
        <v>3</v>
      </c>
      <c r="B62" s="237" t="s">
        <v>6</v>
      </c>
      <c r="C62" s="437" t="s">
        <v>569</v>
      </c>
      <c r="D62" s="439" t="s">
        <v>574</v>
      </c>
      <c r="E62" s="427" t="s">
        <v>575</v>
      </c>
      <c r="F62" s="441" t="s">
        <v>479</v>
      </c>
      <c r="G62" s="271">
        <v>45738</v>
      </c>
      <c r="H62" s="271">
        <f>L62</f>
        <v>45799</v>
      </c>
      <c r="I62" s="445"/>
      <c r="J62" s="447"/>
      <c r="K62" s="215" t="s">
        <v>470</v>
      </c>
      <c r="L62" s="242">
        <v>45799</v>
      </c>
      <c r="M62" s="242">
        <v>45800</v>
      </c>
      <c r="N62" s="215" t="s">
        <v>480</v>
      </c>
      <c r="O62" s="215">
        <f>M62-L62</f>
        <v>1</v>
      </c>
      <c r="P62" s="215">
        <f>L63-M62</f>
        <v>15</v>
      </c>
      <c r="Q62" s="427"/>
      <c r="R62" s="427" t="s">
        <v>495</v>
      </c>
      <c r="S62" s="427" t="str">
        <f>N62</f>
        <v>CAT -IV R</v>
      </c>
      <c r="T62" s="427" t="s">
        <v>473</v>
      </c>
      <c r="U62" s="427">
        <f ca="1">U1-M62</f>
        <v>53</v>
      </c>
    </row>
    <row r="63" spans="1:21" x14ac:dyDescent="0.3">
      <c r="A63" s="432"/>
      <c r="B63" s="237"/>
      <c r="C63" s="438"/>
      <c r="D63" s="520"/>
      <c r="E63" s="429"/>
      <c r="F63" s="442"/>
      <c r="G63" s="273"/>
      <c r="H63" s="273"/>
      <c r="I63" s="446"/>
      <c r="J63" s="448"/>
      <c r="K63" s="215" t="s">
        <v>472</v>
      </c>
      <c r="L63" s="242">
        <v>45815</v>
      </c>
      <c r="M63" s="242"/>
      <c r="N63" s="215"/>
      <c r="O63" s="215">
        <f ca="1">O1-L63</f>
        <v>38</v>
      </c>
      <c r="P63" s="215"/>
      <c r="Q63" s="429"/>
      <c r="R63" s="429"/>
      <c r="S63" s="429"/>
      <c r="T63" s="429"/>
      <c r="U63" s="429"/>
    </row>
    <row r="64" spans="1:21" ht="14.15" customHeight="1" x14ac:dyDescent="0.3">
      <c r="A64" s="430">
        <v>4</v>
      </c>
      <c r="B64" s="395" t="s">
        <v>6</v>
      </c>
      <c r="C64" s="396" t="s">
        <v>569</v>
      </c>
      <c r="D64" s="397" t="s">
        <v>576</v>
      </c>
      <c r="E64" s="393" t="s">
        <v>577</v>
      </c>
      <c r="F64" s="393" t="s">
        <v>469</v>
      </c>
      <c r="G64" s="392">
        <v>45719</v>
      </c>
      <c r="H64" s="392">
        <f>L64</f>
        <v>45719</v>
      </c>
      <c r="I64" s="226"/>
      <c r="J64" s="227"/>
      <c r="K64" s="224" t="s">
        <v>470</v>
      </c>
      <c r="L64" s="225">
        <v>45719</v>
      </c>
      <c r="M64" s="225">
        <v>45721</v>
      </c>
      <c r="N64" s="224" t="s">
        <v>471</v>
      </c>
      <c r="O64" s="224">
        <f>M64-L64</f>
        <v>2</v>
      </c>
      <c r="P64" s="224">
        <f>L65-M64</f>
        <v>15</v>
      </c>
      <c r="Q64" s="410">
        <f>M66</f>
        <v>45800</v>
      </c>
      <c r="R64" s="393" t="str">
        <f>T64</f>
        <v>Approved</v>
      </c>
      <c r="S64" s="393" t="str">
        <f>N65</f>
        <v>CAT - I</v>
      </c>
      <c r="T64" s="393" t="s">
        <v>399</v>
      </c>
      <c r="U64" s="393">
        <f>M66-L66</f>
        <v>1</v>
      </c>
    </row>
    <row r="65" spans="1:21" x14ac:dyDescent="0.3">
      <c r="A65" s="431"/>
      <c r="B65" s="395"/>
      <c r="C65" s="396"/>
      <c r="D65" s="397"/>
      <c r="E65" s="393"/>
      <c r="F65" s="393"/>
      <c r="G65" s="392"/>
      <c r="H65" s="392"/>
      <c r="I65" s="226"/>
      <c r="J65" s="227"/>
      <c r="K65" s="224" t="s">
        <v>472</v>
      </c>
      <c r="L65" s="225">
        <v>45736</v>
      </c>
      <c r="M65" s="225">
        <v>45738</v>
      </c>
      <c r="N65" s="224" t="s">
        <v>485</v>
      </c>
      <c r="O65" s="224">
        <f>M65-L65</f>
        <v>2</v>
      </c>
      <c r="P65" s="224">
        <f>L66-M65</f>
        <v>61</v>
      </c>
      <c r="Q65" s="410"/>
      <c r="R65" s="393"/>
      <c r="S65" s="393"/>
      <c r="T65" s="393"/>
      <c r="U65" s="393"/>
    </row>
    <row r="66" spans="1:21" x14ac:dyDescent="0.3">
      <c r="A66" s="432"/>
      <c r="B66" s="395"/>
      <c r="C66" s="396"/>
      <c r="D66" s="397"/>
      <c r="E66" s="393"/>
      <c r="F66" s="393"/>
      <c r="G66" s="392"/>
      <c r="H66" s="392"/>
      <c r="I66" s="226"/>
      <c r="J66" s="227"/>
      <c r="K66" s="224" t="s">
        <v>474</v>
      </c>
      <c r="L66" s="225">
        <v>45799</v>
      </c>
      <c r="M66" s="225">
        <v>45800</v>
      </c>
      <c r="N66" s="224" t="s">
        <v>485</v>
      </c>
      <c r="O66" s="224">
        <f>M66-L66</f>
        <v>1</v>
      </c>
      <c r="P66" s="224"/>
      <c r="Q66" s="410"/>
      <c r="R66" s="393"/>
      <c r="S66" s="393"/>
      <c r="T66" s="393"/>
      <c r="U66" s="393"/>
    </row>
    <row r="67" spans="1:21" x14ac:dyDescent="0.3">
      <c r="A67" s="237">
        <v>5</v>
      </c>
      <c r="B67" s="238" t="s">
        <v>6</v>
      </c>
      <c r="C67" s="239" t="s">
        <v>569</v>
      </c>
      <c r="D67" s="240" t="s">
        <v>578</v>
      </c>
      <c r="E67" s="215" t="s">
        <v>579</v>
      </c>
      <c r="F67" s="215" t="s">
        <v>469</v>
      </c>
      <c r="G67" s="242">
        <v>45853</v>
      </c>
      <c r="H67" s="242">
        <f>H53</f>
        <v>45825</v>
      </c>
      <c r="I67" s="243"/>
      <c r="J67" s="241"/>
      <c r="K67" s="215"/>
      <c r="L67" s="242"/>
      <c r="M67" s="242"/>
      <c r="N67" s="215"/>
      <c r="O67" s="215"/>
      <c r="P67" s="215"/>
      <c r="Q67" s="215"/>
      <c r="R67" s="215"/>
      <c r="S67" s="215"/>
      <c r="T67" s="215"/>
      <c r="U67" s="215"/>
    </row>
    <row r="68" spans="1:21" ht="28" x14ac:dyDescent="0.3">
      <c r="A68" s="237">
        <v>6</v>
      </c>
      <c r="B68" s="238" t="s">
        <v>6</v>
      </c>
      <c r="C68" s="239" t="s">
        <v>569</v>
      </c>
      <c r="D68" s="263" t="s">
        <v>388</v>
      </c>
      <c r="E68" s="215" t="s">
        <v>580</v>
      </c>
      <c r="F68" s="215" t="s">
        <v>469</v>
      </c>
      <c r="G68" s="242">
        <v>45795</v>
      </c>
      <c r="H68" s="242">
        <v>45848</v>
      </c>
      <c r="I68" s="243"/>
      <c r="J68" s="241"/>
      <c r="K68" s="215"/>
      <c r="L68" s="242"/>
      <c r="M68" s="242"/>
      <c r="N68" s="215"/>
      <c r="O68" s="215"/>
      <c r="P68" s="215"/>
      <c r="Q68" s="215"/>
      <c r="R68" s="215"/>
      <c r="S68" s="215"/>
      <c r="T68" s="215"/>
      <c r="U68" s="215"/>
    </row>
    <row r="69" spans="1:21" x14ac:dyDescent="0.3">
      <c r="A69" s="237">
        <v>7</v>
      </c>
      <c r="B69" s="238" t="s">
        <v>6</v>
      </c>
      <c r="C69" s="239" t="s">
        <v>569</v>
      </c>
      <c r="D69" s="240" t="s">
        <v>581</v>
      </c>
      <c r="E69" s="215" t="s">
        <v>582</v>
      </c>
      <c r="F69" s="215" t="s">
        <v>469</v>
      </c>
      <c r="G69" s="242">
        <v>45858</v>
      </c>
      <c r="H69" s="242">
        <v>45848</v>
      </c>
      <c r="I69" s="243"/>
      <c r="J69" s="241"/>
      <c r="K69" s="215"/>
      <c r="L69" s="242"/>
      <c r="M69" s="242"/>
      <c r="N69" s="215"/>
      <c r="O69" s="215"/>
      <c r="P69" s="215"/>
      <c r="Q69" s="215"/>
      <c r="R69" s="215"/>
      <c r="S69" s="215"/>
      <c r="T69" s="215"/>
      <c r="U69" s="215"/>
    </row>
    <row r="70" spans="1:21" x14ac:dyDescent="0.3">
      <c r="A70" s="237">
        <v>8</v>
      </c>
      <c r="B70" s="238" t="s">
        <v>6</v>
      </c>
      <c r="C70" s="239" t="s">
        <v>569</v>
      </c>
      <c r="D70" s="240" t="s">
        <v>583</v>
      </c>
      <c r="E70" s="215" t="s">
        <v>584</v>
      </c>
      <c r="F70" s="215" t="s">
        <v>469</v>
      </c>
      <c r="G70" s="242">
        <v>45863</v>
      </c>
      <c r="H70" s="242">
        <v>45853</v>
      </c>
      <c r="I70" s="243"/>
      <c r="J70" s="241"/>
      <c r="K70" s="215"/>
      <c r="L70" s="242"/>
      <c r="M70" s="242"/>
      <c r="N70" s="215"/>
      <c r="O70" s="215"/>
      <c r="P70" s="215"/>
      <c r="Q70" s="215"/>
      <c r="R70" s="215"/>
      <c r="S70" s="215"/>
      <c r="T70" s="215"/>
      <c r="U70" s="215"/>
    </row>
    <row r="71" spans="1:21" x14ac:dyDescent="0.3">
      <c r="A71" s="237">
        <v>9</v>
      </c>
      <c r="B71" s="238" t="s">
        <v>6</v>
      </c>
      <c r="C71" s="239" t="s">
        <v>569</v>
      </c>
      <c r="D71" s="240" t="s">
        <v>585</v>
      </c>
      <c r="E71" s="215" t="s">
        <v>586</v>
      </c>
      <c r="F71" s="215" t="s">
        <v>469</v>
      </c>
      <c r="G71" s="242">
        <v>45874</v>
      </c>
      <c r="H71" s="242">
        <v>45853</v>
      </c>
      <c r="I71" s="243"/>
      <c r="J71" s="241"/>
      <c r="K71" s="215"/>
      <c r="L71" s="242"/>
      <c r="M71" s="242"/>
      <c r="N71" s="215"/>
      <c r="O71" s="215"/>
      <c r="P71" s="215"/>
      <c r="Q71" s="215"/>
      <c r="R71" s="215"/>
      <c r="S71" s="215"/>
      <c r="T71" s="215"/>
      <c r="U71" s="215"/>
    </row>
    <row r="72" spans="1:21" ht="28" x14ac:dyDescent="0.3">
      <c r="A72" s="237">
        <v>10</v>
      </c>
      <c r="B72" s="238" t="s">
        <v>6</v>
      </c>
      <c r="C72" s="239" t="s">
        <v>569</v>
      </c>
      <c r="D72" s="240" t="s">
        <v>587</v>
      </c>
      <c r="E72" s="215" t="s">
        <v>588</v>
      </c>
      <c r="F72" s="215" t="s">
        <v>469</v>
      </c>
      <c r="G72" s="242">
        <v>45877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11</v>
      </c>
      <c r="B73" s="238" t="s">
        <v>6</v>
      </c>
      <c r="C73" s="239" t="s">
        <v>569</v>
      </c>
      <c r="D73" s="240" t="s">
        <v>589</v>
      </c>
      <c r="E73" s="215" t="s">
        <v>590</v>
      </c>
      <c r="F73" s="215" t="s">
        <v>469</v>
      </c>
      <c r="G73" s="242">
        <v>45881</v>
      </c>
      <c r="H73" s="242">
        <v>45860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12</v>
      </c>
      <c r="B74" s="238" t="s">
        <v>6</v>
      </c>
      <c r="C74" s="239" t="s">
        <v>569</v>
      </c>
      <c r="D74" s="240" t="s">
        <v>591</v>
      </c>
      <c r="E74" s="215" t="s">
        <v>592</v>
      </c>
      <c r="F74" s="215" t="s">
        <v>469</v>
      </c>
      <c r="G74" s="242">
        <v>45843</v>
      </c>
      <c r="H74" s="242">
        <v>45860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ht="28" x14ac:dyDescent="0.3">
      <c r="A75" s="237">
        <v>13</v>
      </c>
      <c r="B75" s="238" t="s">
        <v>6</v>
      </c>
      <c r="C75" s="239" t="s">
        <v>569</v>
      </c>
      <c r="D75" s="240" t="s">
        <v>593</v>
      </c>
      <c r="E75" s="215" t="s">
        <v>594</v>
      </c>
      <c r="F75" s="215" t="s">
        <v>469</v>
      </c>
      <c r="G75" s="242">
        <v>45848</v>
      </c>
      <c r="H75" s="242">
        <v>45864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ht="28" x14ac:dyDescent="0.3">
      <c r="A76" s="237">
        <v>14</v>
      </c>
      <c r="B76" s="238" t="s">
        <v>6</v>
      </c>
      <c r="C76" s="239" t="s">
        <v>569</v>
      </c>
      <c r="D76" s="240" t="s">
        <v>595</v>
      </c>
      <c r="E76" s="215" t="s">
        <v>596</v>
      </c>
      <c r="F76" s="215" t="s">
        <v>469</v>
      </c>
      <c r="G76" s="242">
        <v>45833</v>
      </c>
      <c r="H76" s="242">
        <v>45870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15</v>
      </c>
      <c r="B77" s="238" t="s">
        <v>6</v>
      </c>
      <c r="C77" s="239" t="s">
        <v>569</v>
      </c>
      <c r="D77" s="240" t="s">
        <v>597</v>
      </c>
      <c r="E77" s="215" t="s">
        <v>598</v>
      </c>
      <c r="F77" s="215" t="s">
        <v>469</v>
      </c>
      <c r="G77" s="242">
        <v>45838</v>
      </c>
      <c r="H77" s="242">
        <v>45868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16</v>
      </c>
      <c r="B78" s="238" t="s">
        <v>6</v>
      </c>
      <c r="C78" s="239" t="s">
        <v>569</v>
      </c>
      <c r="D78" s="240" t="s">
        <v>599</v>
      </c>
      <c r="E78" s="215" t="s">
        <v>600</v>
      </c>
      <c r="F78" s="215" t="s">
        <v>469</v>
      </c>
      <c r="G78" s="242">
        <v>45843</v>
      </c>
      <c r="H78" s="242">
        <v>45868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ht="28" x14ac:dyDescent="0.3">
      <c r="A79" s="237">
        <v>17</v>
      </c>
      <c r="B79" s="238" t="s">
        <v>6</v>
      </c>
      <c r="C79" s="239" t="s">
        <v>569</v>
      </c>
      <c r="D79" s="240" t="s">
        <v>601</v>
      </c>
      <c r="E79" s="215" t="s">
        <v>602</v>
      </c>
      <c r="F79" s="215" t="s">
        <v>469</v>
      </c>
      <c r="G79" s="242">
        <v>45846</v>
      </c>
      <c r="H79" s="234">
        <f>H76</f>
        <v>45870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18</v>
      </c>
      <c r="B80" s="238" t="s">
        <v>6</v>
      </c>
      <c r="C80" s="239" t="s">
        <v>569</v>
      </c>
      <c r="D80" s="263" t="s">
        <v>603</v>
      </c>
      <c r="E80" s="215" t="s">
        <v>604</v>
      </c>
      <c r="F80" s="213" t="s">
        <v>479</v>
      </c>
      <c r="G80" s="234">
        <v>45848</v>
      </c>
      <c r="H80" s="234">
        <v>45822</v>
      </c>
      <c r="I80" s="235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x14ac:dyDescent="0.3">
      <c r="A81" s="237">
        <v>19</v>
      </c>
      <c r="B81" s="238" t="s">
        <v>6</v>
      </c>
      <c r="C81" s="239" t="s">
        <v>569</v>
      </c>
      <c r="D81" s="263" t="s">
        <v>605</v>
      </c>
      <c r="E81" s="215" t="s">
        <v>606</v>
      </c>
      <c r="F81" s="213" t="s">
        <v>479</v>
      </c>
      <c r="G81" s="234">
        <v>45853</v>
      </c>
      <c r="H81" s="234">
        <v>45876</v>
      </c>
      <c r="I81" s="235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20</v>
      </c>
      <c r="B82" s="238" t="s">
        <v>6</v>
      </c>
      <c r="C82" s="239" t="s">
        <v>569</v>
      </c>
      <c r="D82" s="263" t="s">
        <v>607</v>
      </c>
      <c r="E82" s="215" t="s">
        <v>608</v>
      </c>
      <c r="F82" s="213" t="s">
        <v>469</v>
      </c>
      <c r="G82" s="234">
        <v>45853</v>
      </c>
      <c r="H82" s="234">
        <v>45876</v>
      </c>
      <c r="I82" s="235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21</v>
      </c>
      <c r="B83" s="238" t="s">
        <v>6</v>
      </c>
      <c r="C83" s="239" t="s">
        <v>569</v>
      </c>
      <c r="D83" s="263" t="s">
        <v>609</v>
      </c>
      <c r="E83" s="215" t="s">
        <v>610</v>
      </c>
      <c r="F83" s="213" t="s">
        <v>479</v>
      </c>
      <c r="G83" s="234">
        <v>45858</v>
      </c>
      <c r="H83" s="234">
        <v>45882</v>
      </c>
      <c r="I83" s="235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22</v>
      </c>
      <c r="B84" s="238" t="s">
        <v>6</v>
      </c>
      <c r="C84" s="239" t="s">
        <v>569</v>
      </c>
      <c r="D84" s="263" t="s">
        <v>611</v>
      </c>
      <c r="E84" s="215" t="s">
        <v>612</v>
      </c>
      <c r="F84" s="213" t="s">
        <v>469</v>
      </c>
      <c r="G84" s="234">
        <v>45826</v>
      </c>
      <c r="H84" s="234">
        <f>H83</f>
        <v>45882</v>
      </c>
      <c r="I84" s="235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23</v>
      </c>
      <c r="B85" s="238" t="s">
        <v>6</v>
      </c>
      <c r="C85" s="239" t="s">
        <v>569</v>
      </c>
      <c r="D85" s="263" t="s">
        <v>613</v>
      </c>
      <c r="E85" s="215" t="s">
        <v>614</v>
      </c>
      <c r="F85" s="213" t="s">
        <v>479</v>
      </c>
      <c r="G85" s="234">
        <v>45833</v>
      </c>
      <c r="H85" s="234">
        <v>45887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ht="28" x14ac:dyDescent="0.3">
      <c r="A86" s="237">
        <v>24</v>
      </c>
      <c r="B86" s="238" t="s">
        <v>6</v>
      </c>
      <c r="C86" s="239" t="s">
        <v>569</v>
      </c>
      <c r="D86" s="263" t="s">
        <v>615</v>
      </c>
      <c r="E86" s="215" t="s">
        <v>616</v>
      </c>
      <c r="F86" s="213" t="s">
        <v>469</v>
      </c>
      <c r="G86" s="234">
        <v>45863</v>
      </c>
      <c r="H86" s="234">
        <v>45887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x14ac:dyDescent="0.3">
      <c r="A87" s="269">
        <v>25</v>
      </c>
      <c r="B87" s="238" t="s">
        <v>6</v>
      </c>
      <c r="C87" s="239" t="s">
        <v>569</v>
      </c>
      <c r="D87" s="240" t="s">
        <v>617</v>
      </c>
      <c r="E87" s="215" t="s">
        <v>618</v>
      </c>
      <c r="F87" s="213" t="s">
        <v>469</v>
      </c>
      <c r="G87" s="242">
        <v>45828</v>
      </c>
      <c r="H87" s="234">
        <v>45887</v>
      </c>
      <c r="I87" s="274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69">
        <v>26</v>
      </c>
      <c r="B88" s="238" t="s">
        <v>6</v>
      </c>
      <c r="C88" s="239" t="s">
        <v>569</v>
      </c>
      <c r="D88" s="263" t="s">
        <v>619</v>
      </c>
      <c r="E88" s="215" t="s">
        <v>620</v>
      </c>
      <c r="F88" s="213" t="s">
        <v>479</v>
      </c>
      <c r="G88" s="242">
        <v>45833</v>
      </c>
      <c r="H88" s="234">
        <f>H76</f>
        <v>45870</v>
      </c>
      <c r="I88" s="274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69">
        <v>27</v>
      </c>
      <c r="B89" s="238" t="s">
        <v>6</v>
      </c>
      <c r="C89" s="239" t="s">
        <v>569</v>
      </c>
      <c r="D89" s="240" t="s">
        <v>621</v>
      </c>
      <c r="E89" s="215" t="s">
        <v>622</v>
      </c>
      <c r="F89" s="213" t="s">
        <v>469</v>
      </c>
      <c r="G89" s="242">
        <v>45836</v>
      </c>
      <c r="H89" s="234">
        <v>45889</v>
      </c>
      <c r="I89" s="274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x14ac:dyDescent="0.3">
      <c r="A90" s="269">
        <v>28</v>
      </c>
      <c r="B90" s="238" t="s">
        <v>6</v>
      </c>
      <c r="C90" s="239" t="s">
        <v>569</v>
      </c>
      <c r="D90" s="240" t="s">
        <v>623</v>
      </c>
      <c r="E90" s="215" t="s">
        <v>624</v>
      </c>
      <c r="F90" s="215" t="s">
        <v>469</v>
      </c>
      <c r="G90" s="242">
        <v>45858</v>
      </c>
      <c r="H90" s="234">
        <v>45889</v>
      </c>
      <c r="I90" s="243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x14ac:dyDescent="0.3">
      <c r="A91" s="269">
        <v>29</v>
      </c>
      <c r="B91" s="238" t="s">
        <v>6</v>
      </c>
      <c r="C91" s="239" t="s">
        <v>569</v>
      </c>
      <c r="D91" s="240" t="s">
        <v>625</v>
      </c>
      <c r="E91" s="215" t="s">
        <v>626</v>
      </c>
      <c r="F91" s="215" t="s">
        <v>469</v>
      </c>
      <c r="G91" s="242">
        <v>45863</v>
      </c>
      <c r="H91" s="234">
        <f>G91</f>
        <v>45863</v>
      </c>
      <c r="I91" s="243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75"/>
      <c r="B92" s="395" t="s">
        <v>627</v>
      </c>
      <c r="C92" s="396" t="s">
        <v>628</v>
      </c>
      <c r="D92" s="397" t="s">
        <v>629</v>
      </c>
      <c r="E92" s="393" t="s">
        <v>630</v>
      </c>
      <c r="F92" s="393" t="s">
        <v>469</v>
      </c>
      <c r="G92" s="392">
        <v>45719</v>
      </c>
      <c r="H92" s="406">
        <f>L92</f>
        <v>45714</v>
      </c>
      <c r="I92" s="226"/>
      <c r="J92" s="227"/>
      <c r="K92" s="224" t="s">
        <v>470</v>
      </c>
      <c r="L92" s="225">
        <v>45714</v>
      </c>
      <c r="M92" s="225">
        <v>45721</v>
      </c>
      <c r="N92" s="224" t="s">
        <v>471</v>
      </c>
      <c r="O92" s="224">
        <f>M92-L92</f>
        <v>7</v>
      </c>
      <c r="P92" s="224">
        <f>L93-M92</f>
        <v>33</v>
      </c>
      <c r="Q92" s="393"/>
      <c r="R92" s="393" t="s">
        <v>495</v>
      </c>
      <c r="S92" s="393" t="str">
        <f>N94</f>
        <v>CAT - II</v>
      </c>
      <c r="T92" s="393" t="s">
        <v>399</v>
      </c>
      <c r="U92" s="393"/>
    </row>
    <row r="93" spans="1:21" x14ac:dyDescent="0.3">
      <c r="A93" s="276">
        <v>3</v>
      </c>
      <c r="B93" s="395"/>
      <c r="C93" s="396"/>
      <c r="D93" s="397"/>
      <c r="E93" s="393"/>
      <c r="F93" s="393"/>
      <c r="G93" s="392"/>
      <c r="H93" s="419"/>
      <c r="I93" s="226"/>
      <c r="J93" s="227"/>
      <c r="K93" s="224" t="s">
        <v>472</v>
      </c>
      <c r="L93" s="225">
        <v>45754</v>
      </c>
      <c r="M93" s="225">
        <v>45763</v>
      </c>
      <c r="N93" s="224" t="s">
        <v>471</v>
      </c>
      <c r="O93" s="224">
        <f>M93-L93</f>
        <v>9</v>
      </c>
      <c r="P93" s="224">
        <f>L94-M93</f>
        <v>4</v>
      </c>
      <c r="Q93" s="393"/>
      <c r="R93" s="393"/>
      <c r="S93" s="393"/>
      <c r="T93" s="393"/>
      <c r="U93" s="393"/>
    </row>
    <row r="94" spans="1:21" x14ac:dyDescent="0.3">
      <c r="A94" s="449">
        <v>4</v>
      </c>
      <c r="B94" s="395"/>
      <c r="C94" s="396"/>
      <c r="D94" s="397"/>
      <c r="E94" s="393"/>
      <c r="F94" s="393"/>
      <c r="G94" s="392"/>
      <c r="H94" s="419"/>
      <c r="I94" s="226"/>
      <c r="J94" s="227"/>
      <c r="K94" s="224" t="s">
        <v>474</v>
      </c>
      <c r="L94" s="225">
        <v>45767</v>
      </c>
      <c r="M94" s="225">
        <v>45770</v>
      </c>
      <c r="N94" s="224" t="s">
        <v>494</v>
      </c>
      <c r="O94" s="224">
        <f>M94-L94</f>
        <v>3</v>
      </c>
      <c r="P94" s="224">
        <f>L95-M94</f>
        <v>1</v>
      </c>
      <c r="Q94" s="393"/>
      <c r="R94" s="393"/>
      <c r="S94" s="393"/>
      <c r="T94" s="393"/>
      <c r="U94" s="393"/>
    </row>
    <row r="95" spans="1:21" x14ac:dyDescent="0.3">
      <c r="A95" s="449"/>
      <c r="B95" s="395"/>
      <c r="C95" s="396"/>
      <c r="D95" s="397"/>
      <c r="E95" s="393"/>
      <c r="F95" s="393"/>
      <c r="G95" s="392"/>
      <c r="H95" s="407"/>
      <c r="I95" s="226"/>
      <c r="J95" s="227"/>
      <c r="K95" s="224" t="s">
        <v>475</v>
      </c>
      <c r="L95" s="225">
        <v>45771</v>
      </c>
      <c r="M95" s="225"/>
      <c r="N95" s="224"/>
      <c r="O95" s="224">
        <f ca="1">O1-L95</f>
        <v>82</v>
      </c>
      <c r="P95" s="224"/>
      <c r="Q95" s="393"/>
      <c r="R95" s="393"/>
      <c r="S95" s="393"/>
      <c r="T95" s="393"/>
      <c r="U95" s="393"/>
    </row>
    <row r="96" spans="1:21" x14ac:dyDescent="0.3">
      <c r="A96" s="276">
        <v>5</v>
      </c>
      <c r="B96" s="449" t="s">
        <v>627</v>
      </c>
      <c r="C96" s="450" t="s">
        <v>628</v>
      </c>
      <c r="D96" s="454" t="s">
        <v>631</v>
      </c>
      <c r="E96" s="436" t="s">
        <v>632</v>
      </c>
      <c r="F96" s="436" t="s">
        <v>469</v>
      </c>
      <c r="G96" s="453">
        <v>45755</v>
      </c>
      <c r="H96" s="423">
        <f>L96</f>
        <v>45772</v>
      </c>
      <c r="I96" s="243"/>
      <c r="J96" s="519"/>
      <c r="K96" s="215" t="s">
        <v>470</v>
      </c>
      <c r="L96" s="242">
        <v>45772</v>
      </c>
      <c r="M96" s="242">
        <v>45790</v>
      </c>
      <c r="N96" s="215" t="s">
        <v>471</v>
      </c>
      <c r="O96" s="215">
        <f>M96-L96</f>
        <v>18</v>
      </c>
      <c r="P96" s="215">
        <f>L97-M96</f>
        <v>3</v>
      </c>
      <c r="Q96" s="436"/>
      <c r="R96" s="436" t="s">
        <v>495</v>
      </c>
      <c r="S96" s="436" t="str">
        <f>N96</f>
        <v>CAT - III</v>
      </c>
      <c r="T96" s="436" t="s">
        <v>473</v>
      </c>
      <c r="U96" s="436">
        <f ca="1">U1-L97</f>
        <v>60</v>
      </c>
    </row>
    <row r="97" spans="1:21" x14ac:dyDescent="0.3">
      <c r="A97" s="276">
        <v>6</v>
      </c>
      <c r="B97" s="449"/>
      <c r="C97" s="450"/>
      <c r="D97" s="454"/>
      <c r="E97" s="436"/>
      <c r="F97" s="436"/>
      <c r="G97" s="453"/>
      <c r="H97" s="425"/>
      <c r="I97" s="243"/>
      <c r="J97" s="519"/>
      <c r="K97" s="215" t="s">
        <v>472</v>
      </c>
      <c r="L97" s="242">
        <v>45793</v>
      </c>
      <c r="M97" s="242"/>
      <c r="N97" s="215"/>
      <c r="O97" s="215">
        <f ca="1">O1-L97</f>
        <v>60</v>
      </c>
      <c r="P97" s="215"/>
      <c r="Q97" s="436"/>
      <c r="R97" s="436"/>
      <c r="S97" s="436"/>
      <c r="T97" s="436"/>
      <c r="U97" s="436"/>
    </row>
    <row r="98" spans="1:21" ht="28" x14ac:dyDescent="0.3">
      <c r="A98" s="276">
        <v>7</v>
      </c>
      <c r="B98" s="276" t="s">
        <v>627</v>
      </c>
      <c r="C98" s="277" t="s">
        <v>628</v>
      </c>
      <c r="D98" s="278" t="s">
        <v>633</v>
      </c>
      <c r="E98" s="215" t="s">
        <v>634</v>
      </c>
      <c r="F98" s="215" t="s">
        <v>469</v>
      </c>
      <c r="G98" s="242">
        <v>45762</v>
      </c>
      <c r="H98" s="242">
        <f>L98</f>
        <v>45790</v>
      </c>
      <c r="I98" s="243"/>
      <c r="J98" s="243"/>
      <c r="K98" s="215" t="s">
        <v>470</v>
      </c>
      <c r="L98" s="242">
        <v>45790</v>
      </c>
      <c r="M98" s="242"/>
      <c r="N98" s="215"/>
      <c r="O98" s="215">
        <f ca="1">O1-L98</f>
        <v>63</v>
      </c>
      <c r="P98" s="215"/>
      <c r="Q98" s="215"/>
      <c r="R98" s="215" t="s">
        <v>495</v>
      </c>
      <c r="S98" s="215"/>
      <c r="T98" s="215" t="s">
        <v>473</v>
      </c>
      <c r="U98" s="215">
        <f ca="1">U1-L98</f>
        <v>63</v>
      </c>
    </row>
    <row r="99" spans="1:21" x14ac:dyDescent="0.3">
      <c r="A99" s="276">
        <v>8</v>
      </c>
      <c r="B99" s="449" t="s">
        <v>627</v>
      </c>
      <c r="C99" s="450" t="s">
        <v>628</v>
      </c>
      <c r="D99" s="454" t="s">
        <v>635</v>
      </c>
      <c r="E99" s="436" t="s">
        <v>636</v>
      </c>
      <c r="F99" s="436" t="s">
        <v>469</v>
      </c>
      <c r="G99" s="453">
        <v>45780</v>
      </c>
      <c r="H99" s="423">
        <f>L99</f>
        <v>45758</v>
      </c>
      <c r="I99" s="243"/>
      <c r="J99" s="455">
        <v>45821</v>
      </c>
      <c r="K99" s="215" t="s">
        <v>470</v>
      </c>
      <c r="L99" s="242">
        <v>45758</v>
      </c>
      <c r="M99" s="242">
        <v>45766</v>
      </c>
      <c r="N99" s="215" t="s">
        <v>471</v>
      </c>
      <c r="O99" s="215">
        <f>M99-L99</f>
        <v>8</v>
      </c>
      <c r="P99" s="215">
        <f>L100-M99</f>
        <v>27</v>
      </c>
      <c r="Q99" s="436"/>
      <c r="R99" s="436" t="s">
        <v>502</v>
      </c>
      <c r="S99" s="436" t="str">
        <f>N99</f>
        <v>CAT - III</v>
      </c>
      <c r="T99" s="436" t="s">
        <v>476</v>
      </c>
      <c r="U99" s="436">
        <f ca="1">U1-M100</f>
        <v>45</v>
      </c>
    </row>
    <row r="100" spans="1:21" x14ac:dyDescent="0.3">
      <c r="A100" s="276">
        <v>9</v>
      </c>
      <c r="B100" s="449"/>
      <c r="C100" s="450"/>
      <c r="D100" s="454"/>
      <c r="E100" s="436"/>
      <c r="F100" s="436"/>
      <c r="G100" s="453"/>
      <c r="H100" s="425"/>
      <c r="I100" s="243"/>
      <c r="J100" s="457"/>
      <c r="K100" s="215" t="s">
        <v>472</v>
      </c>
      <c r="L100" s="242">
        <v>45793</v>
      </c>
      <c r="M100" s="242">
        <v>45808</v>
      </c>
      <c r="N100" s="215" t="s">
        <v>471</v>
      </c>
      <c r="O100" s="215">
        <f ca="1">O1-L100</f>
        <v>60</v>
      </c>
      <c r="P100" s="215"/>
      <c r="Q100" s="436"/>
      <c r="R100" s="436"/>
      <c r="S100" s="436"/>
      <c r="T100" s="436"/>
      <c r="U100" s="436"/>
    </row>
    <row r="101" spans="1:21" ht="14.25" customHeight="1" x14ac:dyDescent="0.3">
      <c r="A101" s="276">
        <v>10</v>
      </c>
      <c r="B101" s="276" t="s">
        <v>627</v>
      </c>
      <c r="C101" s="277" t="s">
        <v>628</v>
      </c>
      <c r="D101" s="278" t="s">
        <v>637</v>
      </c>
      <c r="E101" s="215" t="s">
        <v>638</v>
      </c>
      <c r="F101" s="215" t="s">
        <v>469</v>
      </c>
      <c r="G101" s="242">
        <v>45835</v>
      </c>
      <c r="H101" s="234">
        <f>G101</f>
        <v>45835</v>
      </c>
      <c r="I101" s="215" t="s">
        <v>639</v>
      </c>
      <c r="J101" s="243">
        <v>45821</v>
      </c>
      <c r="K101" s="215"/>
      <c r="L101" s="242"/>
      <c r="M101" s="242"/>
      <c r="N101" s="215"/>
      <c r="O101" s="215"/>
      <c r="P101" s="215"/>
      <c r="Q101" s="215"/>
      <c r="R101" s="215"/>
      <c r="S101" s="215"/>
      <c r="T101" s="215"/>
      <c r="U101" s="215"/>
    </row>
    <row r="102" spans="1:21" ht="28" x14ac:dyDescent="0.3">
      <c r="A102" s="276">
        <v>11</v>
      </c>
      <c r="B102" s="276" t="s">
        <v>627</v>
      </c>
      <c r="C102" s="277" t="s">
        <v>628</v>
      </c>
      <c r="D102" s="278" t="s">
        <v>640</v>
      </c>
      <c r="E102" s="215" t="s">
        <v>641</v>
      </c>
      <c r="F102" s="215" t="s">
        <v>469</v>
      </c>
      <c r="G102" s="242">
        <v>45835</v>
      </c>
      <c r="H102" s="234">
        <f>G102</f>
        <v>45835</v>
      </c>
      <c r="I102" s="215" t="s">
        <v>639</v>
      </c>
      <c r="J102" s="243">
        <v>45821</v>
      </c>
      <c r="K102" s="215"/>
      <c r="L102" s="242"/>
      <c r="M102" s="242"/>
      <c r="N102" s="215"/>
      <c r="O102" s="215"/>
      <c r="P102" s="215"/>
      <c r="Q102" s="215"/>
      <c r="R102" s="215"/>
      <c r="S102" s="215"/>
      <c r="T102" s="215"/>
      <c r="U102" s="215"/>
    </row>
    <row r="103" spans="1:21" x14ac:dyDescent="0.3">
      <c r="A103" s="276">
        <v>12</v>
      </c>
      <c r="B103" s="276" t="s">
        <v>627</v>
      </c>
      <c r="C103" s="277" t="s">
        <v>628</v>
      </c>
      <c r="D103" s="278" t="s">
        <v>642</v>
      </c>
      <c r="E103" s="215" t="s">
        <v>643</v>
      </c>
      <c r="F103" s="215" t="s">
        <v>469</v>
      </c>
      <c r="G103" s="242">
        <v>45835</v>
      </c>
      <c r="H103" s="234">
        <f>G103</f>
        <v>45835</v>
      </c>
      <c r="I103" s="215" t="s">
        <v>639</v>
      </c>
      <c r="J103" s="243">
        <v>45821</v>
      </c>
      <c r="K103" s="215"/>
      <c r="L103" s="242"/>
      <c r="M103" s="242"/>
      <c r="N103" s="215"/>
      <c r="O103" s="215"/>
      <c r="P103" s="215"/>
      <c r="Q103" s="215"/>
      <c r="R103" s="215"/>
      <c r="S103" s="215"/>
      <c r="T103" s="215"/>
      <c r="U103" s="215"/>
    </row>
    <row r="104" spans="1:21" x14ac:dyDescent="0.3">
      <c r="A104" s="276">
        <v>13</v>
      </c>
      <c r="B104" s="276" t="s">
        <v>627</v>
      </c>
      <c r="C104" s="277" t="s">
        <v>628</v>
      </c>
      <c r="D104" s="278" t="s">
        <v>644</v>
      </c>
      <c r="E104" s="215" t="s">
        <v>645</v>
      </c>
      <c r="F104" s="215" t="s">
        <v>469</v>
      </c>
      <c r="G104" s="242">
        <v>45835</v>
      </c>
      <c r="H104" s="234">
        <f>G104</f>
        <v>45835</v>
      </c>
      <c r="I104" s="215" t="s">
        <v>639</v>
      </c>
      <c r="J104" s="243">
        <v>45821</v>
      </c>
      <c r="K104" s="215"/>
      <c r="L104" s="242"/>
      <c r="M104" s="242"/>
      <c r="N104" s="215"/>
      <c r="O104" s="215"/>
      <c r="P104" s="215"/>
      <c r="Q104" s="215"/>
      <c r="R104" s="215"/>
      <c r="S104" s="215"/>
      <c r="T104" s="215"/>
      <c r="U104" s="215"/>
    </row>
    <row r="105" spans="1:21" x14ac:dyDescent="0.3">
      <c r="A105" s="276">
        <v>14</v>
      </c>
      <c r="B105" s="276" t="s">
        <v>627</v>
      </c>
      <c r="C105" s="277" t="s">
        <v>628</v>
      </c>
      <c r="D105" s="278" t="s">
        <v>646</v>
      </c>
      <c r="E105" s="215" t="s">
        <v>647</v>
      </c>
      <c r="F105" s="215" t="s">
        <v>469</v>
      </c>
      <c r="G105" s="242">
        <v>45768</v>
      </c>
      <c r="H105" s="242">
        <f>L105</f>
        <v>45804</v>
      </c>
      <c r="I105" s="243"/>
      <c r="J105" s="243">
        <v>45804</v>
      </c>
      <c r="K105" s="215" t="s">
        <v>470</v>
      </c>
      <c r="L105" s="242">
        <v>45804</v>
      </c>
      <c r="M105" s="242">
        <v>45812</v>
      </c>
      <c r="N105" s="215" t="s">
        <v>471</v>
      </c>
      <c r="O105" s="215">
        <f>M105-L105</f>
        <v>8</v>
      </c>
      <c r="P105" s="215">
        <f ca="1">O1-M105</f>
        <v>41</v>
      </c>
      <c r="Q105" s="215"/>
      <c r="R105" s="215" t="s">
        <v>502</v>
      </c>
      <c r="S105" s="215" t="str">
        <f>N105</f>
        <v>CAT - III</v>
      </c>
      <c r="T105" s="215" t="s">
        <v>476</v>
      </c>
      <c r="U105" s="215">
        <f ca="1">U1-L105</f>
        <v>49</v>
      </c>
    </row>
    <row r="106" spans="1:21" ht="28" x14ac:dyDescent="0.3">
      <c r="A106" s="276">
        <v>15</v>
      </c>
      <c r="B106" s="276" t="s">
        <v>627</v>
      </c>
      <c r="C106" s="277" t="s">
        <v>628</v>
      </c>
      <c r="D106" s="278" t="s">
        <v>648</v>
      </c>
      <c r="E106" s="215" t="s">
        <v>649</v>
      </c>
      <c r="F106" s="215" t="s">
        <v>469</v>
      </c>
      <c r="G106" s="242">
        <v>45800</v>
      </c>
      <c r="H106" s="242">
        <f>L106</f>
        <v>45800</v>
      </c>
      <c r="I106" s="243"/>
      <c r="J106" s="243"/>
      <c r="K106" s="215" t="s">
        <v>470</v>
      </c>
      <c r="L106" s="242">
        <v>45800</v>
      </c>
      <c r="M106" s="242"/>
      <c r="N106" s="215"/>
      <c r="O106" s="215">
        <f ca="1">O1-L106</f>
        <v>53</v>
      </c>
      <c r="P106" s="215"/>
      <c r="Q106" s="215"/>
      <c r="R106" s="215" t="s">
        <v>495</v>
      </c>
      <c r="S106" s="215"/>
      <c r="T106" s="215" t="s">
        <v>473</v>
      </c>
      <c r="U106" s="215">
        <f ca="1">U1-L106</f>
        <v>53</v>
      </c>
    </row>
    <row r="107" spans="1:21" ht="28" x14ac:dyDescent="0.3">
      <c r="A107" s="276">
        <v>16</v>
      </c>
      <c r="B107" s="276" t="s">
        <v>627</v>
      </c>
      <c r="C107" s="277" t="s">
        <v>628</v>
      </c>
      <c r="D107" s="278" t="s">
        <v>650</v>
      </c>
      <c r="E107" s="215" t="s">
        <v>651</v>
      </c>
      <c r="F107" s="215" t="s">
        <v>469</v>
      </c>
      <c r="G107" s="242">
        <v>45826</v>
      </c>
      <c r="H107" s="234">
        <f>G107</f>
        <v>45826</v>
      </c>
      <c r="I107" s="279" t="s">
        <v>652</v>
      </c>
      <c r="J107" s="243">
        <v>45814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x14ac:dyDescent="0.3">
      <c r="A108" s="276">
        <v>17</v>
      </c>
      <c r="B108" s="276" t="s">
        <v>627</v>
      </c>
      <c r="C108" s="277" t="s">
        <v>628</v>
      </c>
      <c r="D108" s="278" t="s">
        <v>653</v>
      </c>
      <c r="E108" s="215" t="s">
        <v>654</v>
      </c>
      <c r="F108" s="215" t="s">
        <v>469</v>
      </c>
      <c r="G108" s="242">
        <v>45826</v>
      </c>
      <c r="H108" s="234">
        <f>G108</f>
        <v>45826</v>
      </c>
      <c r="I108" s="243" t="s">
        <v>655</v>
      </c>
      <c r="J108" s="243">
        <v>45814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ht="28" x14ac:dyDescent="0.3">
      <c r="A109" s="276">
        <v>18</v>
      </c>
      <c r="B109" s="276" t="s">
        <v>627</v>
      </c>
      <c r="C109" s="277" t="s">
        <v>628</v>
      </c>
      <c r="D109" s="278" t="s">
        <v>656</v>
      </c>
      <c r="E109" s="215" t="s">
        <v>657</v>
      </c>
      <c r="F109" s="215" t="s">
        <v>469</v>
      </c>
      <c r="G109" s="242">
        <v>45826</v>
      </c>
      <c r="H109" s="234">
        <f>G109</f>
        <v>45826</v>
      </c>
      <c r="I109" s="243" t="s">
        <v>655</v>
      </c>
      <c r="J109" s="243">
        <v>45814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19</v>
      </c>
      <c r="B110" s="276" t="s">
        <v>627</v>
      </c>
      <c r="C110" s="277" t="s">
        <v>628</v>
      </c>
      <c r="D110" s="278" t="s">
        <v>658</v>
      </c>
      <c r="E110" s="215" t="s">
        <v>659</v>
      </c>
      <c r="F110" s="215" t="s">
        <v>469</v>
      </c>
      <c r="G110" s="242">
        <v>45794</v>
      </c>
      <c r="H110" s="234">
        <v>45825</v>
      </c>
      <c r="I110" s="243"/>
      <c r="J110" s="243"/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ht="28" x14ac:dyDescent="0.3">
      <c r="A111" s="276">
        <v>20</v>
      </c>
      <c r="B111" s="276" t="s">
        <v>627</v>
      </c>
      <c r="C111" s="277" t="s">
        <v>628</v>
      </c>
      <c r="D111" s="278" t="s">
        <v>660</v>
      </c>
      <c r="E111" s="215" t="s">
        <v>661</v>
      </c>
      <c r="F111" s="215" t="s">
        <v>469</v>
      </c>
      <c r="G111" s="242">
        <v>45821</v>
      </c>
      <c r="H111" s="234">
        <f t="shared" ref="H111:H121" si="1">G111</f>
        <v>45821</v>
      </c>
      <c r="I111" s="243"/>
      <c r="J111" s="243"/>
      <c r="K111" s="215"/>
      <c r="L111" s="242"/>
      <c r="M111" s="242"/>
      <c r="N111" s="215"/>
      <c r="O111" s="215"/>
      <c r="P111" s="215"/>
      <c r="Q111" s="215"/>
      <c r="R111" s="215"/>
      <c r="S111" s="215"/>
      <c r="T111" s="215"/>
      <c r="U111" s="215"/>
    </row>
    <row r="112" spans="1:21" ht="28" x14ac:dyDescent="0.3">
      <c r="A112" s="276">
        <v>21</v>
      </c>
      <c r="B112" s="276" t="s">
        <v>627</v>
      </c>
      <c r="C112" s="277" t="s">
        <v>628</v>
      </c>
      <c r="D112" s="278" t="s">
        <v>662</v>
      </c>
      <c r="E112" s="215" t="s">
        <v>663</v>
      </c>
      <c r="F112" s="215" t="s">
        <v>469</v>
      </c>
      <c r="G112" s="242">
        <v>45835</v>
      </c>
      <c r="H112" s="234">
        <f t="shared" si="1"/>
        <v>45835</v>
      </c>
      <c r="I112" s="243" t="s">
        <v>664</v>
      </c>
      <c r="J112" s="243">
        <v>45828</v>
      </c>
      <c r="K112" s="215"/>
      <c r="L112" s="242"/>
      <c r="M112" s="242"/>
      <c r="N112" s="215"/>
      <c r="O112" s="215"/>
      <c r="P112" s="215"/>
      <c r="Q112" s="215"/>
      <c r="R112" s="215"/>
      <c r="S112" s="215"/>
      <c r="T112" s="215"/>
      <c r="U112" s="215"/>
    </row>
    <row r="113" spans="1:21" ht="28" x14ac:dyDescent="0.3">
      <c r="A113" s="276">
        <v>22</v>
      </c>
      <c r="B113" s="276" t="s">
        <v>627</v>
      </c>
      <c r="C113" s="277" t="s">
        <v>628</v>
      </c>
      <c r="D113" s="278" t="s">
        <v>665</v>
      </c>
      <c r="E113" s="215" t="s">
        <v>666</v>
      </c>
      <c r="F113" s="215" t="s">
        <v>479</v>
      </c>
      <c r="G113" s="242">
        <v>45842</v>
      </c>
      <c r="H113" s="234">
        <f t="shared" si="1"/>
        <v>45842</v>
      </c>
      <c r="I113" s="243" t="s">
        <v>664</v>
      </c>
      <c r="J113" s="243">
        <v>45828</v>
      </c>
      <c r="K113" s="215"/>
      <c r="L113" s="242"/>
      <c r="M113" s="242"/>
      <c r="N113" s="215"/>
      <c r="O113" s="215"/>
      <c r="P113" s="215"/>
      <c r="Q113" s="215"/>
      <c r="R113" s="215"/>
      <c r="S113" s="215"/>
      <c r="T113" s="215"/>
      <c r="U113" s="215"/>
    </row>
    <row r="114" spans="1:21" x14ac:dyDescent="0.3">
      <c r="A114" s="276">
        <v>23</v>
      </c>
      <c r="B114" s="276" t="s">
        <v>627</v>
      </c>
      <c r="C114" s="277" t="s">
        <v>628</v>
      </c>
      <c r="D114" s="278" t="s">
        <v>667</v>
      </c>
      <c r="E114" s="215" t="s">
        <v>668</v>
      </c>
      <c r="F114" s="215" t="s">
        <v>469</v>
      </c>
      <c r="G114" s="242">
        <v>45853</v>
      </c>
      <c r="H114" s="234">
        <f t="shared" si="1"/>
        <v>45853</v>
      </c>
      <c r="I114" s="243"/>
      <c r="J114" s="243">
        <v>45835</v>
      </c>
      <c r="K114" s="215"/>
      <c r="L114" s="242"/>
      <c r="M114" s="242"/>
      <c r="N114" s="215"/>
      <c r="O114" s="215"/>
      <c r="P114" s="215"/>
      <c r="Q114" s="215"/>
      <c r="R114" s="215"/>
      <c r="S114" s="215"/>
      <c r="T114" s="215"/>
      <c r="U114" s="215"/>
    </row>
    <row r="115" spans="1:21" ht="28" x14ac:dyDescent="0.3">
      <c r="A115" s="276">
        <v>24</v>
      </c>
      <c r="B115" s="276" t="s">
        <v>627</v>
      </c>
      <c r="C115" s="277" t="s">
        <v>628</v>
      </c>
      <c r="D115" s="278" t="s">
        <v>669</v>
      </c>
      <c r="E115" s="215" t="s">
        <v>670</v>
      </c>
      <c r="F115" s="215" t="s">
        <v>469</v>
      </c>
      <c r="G115" s="242">
        <v>45838</v>
      </c>
      <c r="H115" s="234">
        <f t="shared" si="1"/>
        <v>45838</v>
      </c>
      <c r="I115" s="243"/>
      <c r="J115" s="243">
        <v>45838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25</v>
      </c>
      <c r="B116" s="276" t="s">
        <v>627</v>
      </c>
      <c r="C116" s="277" t="s">
        <v>628</v>
      </c>
      <c r="D116" s="278" t="s">
        <v>671</v>
      </c>
      <c r="E116" s="215" t="s">
        <v>672</v>
      </c>
      <c r="F116" s="215" t="s">
        <v>469</v>
      </c>
      <c r="G116" s="242">
        <v>45850</v>
      </c>
      <c r="H116" s="234">
        <f t="shared" si="1"/>
        <v>45850</v>
      </c>
      <c r="I116" s="243"/>
      <c r="J116" s="243">
        <v>45850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x14ac:dyDescent="0.3">
      <c r="A117" s="276">
        <v>1</v>
      </c>
      <c r="B117" s="276" t="s">
        <v>627</v>
      </c>
      <c r="C117" s="277" t="s">
        <v>628</v>
      </c>
      <c r="D117" s="278" t="s">
        <v>673</v>
      </c>
      <c r="E117" s="215" t="s">
        <v>674</v>
      </c>
      <c r="F117" s="215" t="s">
        <v>469</v>
      </c>
      <c r="G117" s="242">
        <v>45852</v>
      </c>
      <c r="H117" s="234">
        <f t="shared" si="1"/>
        <v>45852</v>
      </c>
      <c r="I117" s="243"/>
      <c r="J117" s="243">
        <v>45852</v>
      </c>
      <c r="K117" s="215"/>
      <c r="L117" s="24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2</v>
      </c>
      <c r="B118" s="276" t="s">
        <v>627</v>
      </c>
      <c r="C118" s="277" t="s">
        <v>628</v>
      </c>
      <c r="D118" s="278" t="s">
        <v>675</v>
      </c>
      <c r="E118" s="215" t="s">
        <v>676</v>
      </c>
      <c r="F118" s="215" t="s">
        <v>469</v>
      </c>
      <c r="G118" s="242">
        <v>45863</v>
      </c>
      <c r="H118" s="234">
        <f t="shared" si="1"/>
        <v>45863</v>
      </c>
      <c r="I118" s="243"/>
      <c r="J118" s="243">
        <v>45853</v>
      </c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3</v>
      </c>
      <c r="B119" s="276" t="s">
        <v>627</v>
      </c>
      <c r="C119" s="277" t="s">
        <v>628</v>
      </c>
      <c r="D119" s="278" t="s">
        <v>677</v>
      </c>
      <c r="E119" s="215" t="s">
        <v>678</v>
      </c>
      <c r="F119" s="215" t="s">
        <v>469</v>
      </c>
      <c r="G119" s="242">
        <v>45854</v>
      </c>
      <c r="H119" s="234">
        <f t="shared" si="1"/>
        <v>45854</v>
      </c>
      <c r="I119" s="243"/>
      <c r="J119" s="243">
        <v>45854</v>
      </c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449">
        <v>4</v>
      </c>
      <c r="B120" s="276" t="s">
        <v>627</v>
      </c>
      <c r="C120" s="277" t="s">
        <v>628</v>
      </c>
      <c r="D120" s="278" t="s">
        <v>679</v>
      </c>
      <c r="E120" s="215" t="s">
        <v>680</v>
      </c>
      <c r="F120" s="215" t="s">
        <v>469</v>
      </c>
      <c r="G120" s="242">
        <v>45860</v>
      </c>
      <c r="H120" s="234">
        <f t="shared" si="1"/>
        <v>45860</v>
      </c>
      <c r="I120" s="243"/>
      <c r="J120" s="243">
        <v>45860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449"/>
      <c r="B121" s="276" t="s">
        <v>627</v>
      </c>
      <c r="C121" s="277" t="s">
        <v>628</v>
      </c>
      <c r="D121" s="278" t="s">
        <v>681</v>
      </c>
      <c r="E121" s="215" t="s">
        <v>682</v>
      </c>
      <c r="F121" s="215" t="s">
        <v>469</v>
      </c>
      <c r="G121" s="242">
        <v>45866</v>
      </c>
      <c r="H121" s="234">
        <f t="shared" si="1"/>
        <v>45866</v>
      </c>
      <c r="I121" s="243"/>
      <c r="J121" s="243">
        <v>45866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ht="28" x14ac:dyDescent="0.3">
      <c r="A122" s="276">
        <v>5</v>
      </c>
      <c r="B122" s="276" t="s">
        <v>627</v>
      </c>
      <c r="C122" s="277" t="s">
        <v>683</v>
      </c>
      <c r="D122" s="278" t="s">
        <v>684</v>
      </c>
      <c r="E122" s="215" t="s">
        <v>685</v>
      </c>
      <c r="F122" s="215" t="s">
        <v>469</v>
      </c>
      <c r="G122" s="242">
        <v>45714</v>
      </c>
      <c r="H122" s="242">
        <f>L122</f>
        <v>45714</v>
      </c>
      <c r="I122" s="243"/>
      <c r="J122" s="243"/>
      <c r="K122" s="215" t="s">
        <v>470</v>
      </c>
      <c r="L122" s="242">
        <v>45714</v>
      </c>
      <c r="M122" s="242"/>
      <c r="N122" s="215"/>
      <c r="O122" s="215">
        <f ca="1">O1-L122</f>
        <v>139</v>
      </c>
      <c r="P122" s="215"/>
      <c r="Q122" s="215"/>
      <c r="R122" s="215" t="s">
        <v>495</v>
      </c>
      <c r="S122" s="215"/>
      <c r="T122" s="215" t="s">
        <v>473</v>
      </c>
      <c r="U122" s="215">
        <f ca="1">U1-L122</f>
        <v>139</v>
      </c>
    </row>
    <row r="123" spans="1:21" ht="28" x14ac:dyDescent="0.3">
      <c r="A123" s="276">
        <v>6</v>
      </c>
      <c r="B123" s="276" t="s">
        <v>627</v>
      </c>
      <c r="C123" s="277" t="s">
        <v>683</v>
      </c>
      <c r="D123" s="278" t="s">
        <v>686</v>
      </c>
      <c r="E123" s="215" t="s">
        <v>687</v>
      </c>
      <c r="F123" s="215" t="s">
        <v>469</v>
      </c>
      <c r="G123" s="242">
        <v>45877</v>
      </c>
      <c r="H123" s="234">
        <f>G123</f>
        <v>45877</v>
      </c>
      <c r="I123" s="243"/>
      <c r="J123" s="243">
        <v>45877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ht="28" x14ac:dyDescent="0.3">
      <c r="A124" s="276">
        <v>7</v>
      </c>
      <c r="B124" s="276" t="s">
        <v>627</v>
      </c>
      <c r="C124" s="277" t="s">
        <v>683</v>
      </c>
      <c r="D124" s="278" t="s">
        <v>688</v>
      </c>
      <c r="E124" s="215" t="s">
        <v>689</v>
      </c>
      <c r="F124" s="215" t="s">
        <v>469</v>
      </c>
      <c r="G124" s="242">
        <v>45987</v>
      </c>
      <c r="H124" s="234">
        <f>G124</f>
        <v>45987</v>
      </c>
      <c r="I124" s="243"/>
      <c r="J124" s="243">
        <v>45987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8</v>
      </c>
      <c r="B125" s="449" t="s">
        <v>627</v>
      </c>
      <c r="C125" s="450" t="s">
        <v>683</v>
      </c>
      <c r="D125" s="454" t="s">
        <v>690</v>
      </c>
      <c r="E125" s="436" t="s">
        <v>691</v>
      </c>
      <c r="F125" s="427" t="s">
        <v>469</v>
      </c>
      <c r="G125" s="453">
        <v>45754</v>
      </c>
      <c r="H125" s="423">
        <f>L125</f>
        <v>45773</v>
      </c>
      <c r="I125" s="486"/>
      <c r="J125" s="486"/>
      <c r="K125" s="215" t="s">
        <v>470</v>
      </c>
      <c r="L125" s="242">
        <v>45773</v>
      </c>
      <c r="M125" s="242">
        <v>45777</v>
      </c>
      <c r="N125" s="215" t="s">
        <v>471</v>
      </c>
      <c r="O125" s="215">
        <f>M125-L125</f>
        <v>4</v>
      </c>
      <c r="P125" s="215">
        <f>L126-M125</f>
        <v>14</v>
      </c>
      <c r="Q125" s="436"/>
      <c r="R125" s="436" t="s">
        <v>495</v>
      </c>
      <c r="S125" s="436" t="s">
        <v>485</v>
      </c>
      <c r="T125" s="436" t="s">
        <v>399</v>
      </c>
      <c r="U125" s="436">
        <f>M126-L126</f>
        <v>21</v>
      </c>
    </row>
    <row r="126" spans="1:21" x14ac:dyDescent="0.3">
      <c r="A126" s="276">
        <v>9</v>
      </c>
      <c r="B126" s="449"/>
      <c r="C126" s="450"/>
      <c r="D126" s="454"/>
      <c r="E126" s="436"/>
      <c r="F126" s="429"/>
      <c r="G126" s="453"/>
      <c r="H126" s="425"/>
      <c r="I126" s="487"/>
      <c r="J126" s="487"/>
      <c r="K126" s="215" t="s">
        <v>472</v>
      </c>
      <c r="L126" s="242">
        <v>45791</v>
      </c>
      <c r="M126" s="242">
        <v>45812</v>
      </c>
      <c r="N126" s="224" t="s">
        <v>485</v>
      </c>
      <c r="O126" s="215">
        <f>M126-L126</f>
        <v>21</v>
      </c>
      <c r="P126" s="215"/>
      <c r="Q126" s="436"/>
      <c r="R126" s="436"/>
      <c r="S126" s="436"/>
      <c r="T126" s="436"/>
      <c r="U126" s="436"/>
    </row>
    <row r="127" spans="1:21" ht="28" customHeight="1" x14ac:dyDescent="0.3">
      <c r="A127" s="458">
        <v>10</v>
      </c>
      <c r="B127" s="276" t="s">
        <v>627</v>
      </c>
      <c r="C127" s="461" t="s">
        <v>683</v>
      </c>
      <c r="D127" s="476" t="s">
        <v>692</v>
      </c>
      <c r="E127" s="427" t="s">
        <v>693</v>
      </c>
      <c r="F127" s="427" t="s">
        <v>469</v>
      </c>
      <c r="G127" s="423">
        <v>45754</v>
      </c>
      <c r="H127" s="423">
        <f>L127</f>
        <v>45791</v>
      </c>
      <c r="I127" s="486"/>
      <c r="J127" s="486"/>
      <c r="K127" s="215" t="s">
        <v>470</v>
      </c>
      <c r="L127" s="242">
        <v>45791</v>
      </c>
      <c r="M127" s="242">
        <v>45809</v>
      </c>
      <c r="N127" s="215" t="s">
        <v>471</v>
      </c>
      <c r="O127" s="215">
        <f>M127-L127</f>
        <v>18</v>
      </c>
      <c r="P127" s="215">
        <f>L128-M127</f>
        <v>3</v>
      </c>
      <c r="Q127" s="427"/>
      <c r="R127" s="427" t="s">
        <v>502</v>
      </c>
      <c r="S127" s="427" t="str">
        <f>N127</f>
        <v>CAT - III</v>
      </c>
      <c r="T127" s="427" t="s">
        <v>476</v>
      </c>
      <c r="U127" s="427">
        <f ca="1">U1-L127</f>
        <v>62</v>
      </c>
    </row>
    <row r="128" spans="1:21" x14ac:dyDescent="0.3">
      <c r="A128" s="460"/>
      <c r="B128" s="276"/>
      <c r="C128" s="463"/>
      <c r="D128" s="477"/>
      <c r="E128" s="429"/>
      <c r="F128" s="429"/>
      <c r="G128" s="425"/>
      <c r="H128" s="425"/>
      <c r="I128" s="487"/>
      <c r="J128" s="487"/>
      <c r="K128" s="215" t="s">
        <v>472</v>
      </c>
      <c r="L128" s="242">
        <v>45812</v>
      </c>
      <c r="M128" s="242"/>
      <c r="N128" s="215"/>
      <c r="O128" s="215">
        <f ca="1">O1-L128</f>
        <v>41</v>
      </c>
      <c r="P128" s="215"/>
      <c r="Q128" s="429"/>
      <c r="R128" s="429"/>
      <c r="S128" s="429"/>
      <c r="T128" s="429"/>
      <c r="U128" s="429"/>
    </row>
    <row r="129" spans="1:21" ht="28" x14ac:dyDescent="0.3">
      <c r="A129" s="276">
        <v>11</v>
      </c>
      <c r="B129" s="276" t="s">
        <v>627</v>
      </c>
      <c r="C129" s="277" t="s">
        <v>683</v>
      </c>
      <c r="D129" s="278" t="s">
        <v>694</v>
      </c>
      <c r="E129" s="215" t="s">
        <v>695</v>
      </c>
      <c r="F129" s="215" t="s">
        <v>469</v>
      </c>
      <c r="G129" s="242">
        <v>45811</v>
      </c>
      <c r="H129" s="242">
        <v>45828</v>
      </c>
      <c r="I129" s="243"/>
      <c r="J129" s="243">
        <f>J101+7</f>
        <v>45828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449">
        <v>12</v>
      </c>
      <c r="B130" s="276" t="s">
        <v>627</v>
      </c>
      <c r="C130" s="277" t="s">
        <v>683</v>
      </c>
      <c r="D130" s="278" t="s">
        <v>696</v>
      </c>
      <c r="E130" s="215" t="s">
        <v>697</v>
      </c>
      <c r="F130" s="215" t="s">
        <v>469</v>
      </c>
      <c r="G130" s="242">
        <v>45808</v>
      </c>
      <c r="H130" s="242">
        <v>45828</v>
      </c>
      <c r="I130" s="243"/>
      <c r="J130" s="243">
        <f>J102+7</f>
        <v>45828</v>
      </c>
      <c r="K130" s="215"/>
      <c r="L130" s="242"/>
      <c r="M130" s="242"/>
      <c r="N130" s="215"/>
      <c r="O130" s="215"/>
      <c r="P130" s="215"/>
      <c r="Q130" s="215"/>
      <c r="R130" s="215"/>
      <c r="S130" s="215"/>
      <c r="T130" s="215"/>
      <c r="U130" s="215"/>
    </row>
    <row r="131" spans="1:21" ht="28" x14ac:dyDescent="0.3">
      <c r="A131" s="449"/>
      <c r="B131" s="276" t="s">
        <v>627</v>
      </c>
      <c r="C131" s="277" t="s">
        <v>683</v>
      </c>
      <c r="D131" s="278" t="s">
        <v>698</v>
      </c>
      <c r="E131" s="215" t="s">
        <v>699</v>
      </c>
      <c r="F131" s="215" t="s">
        <v>469</v>
      </c>
      <c r="G131" s="242">
        <v>45831</v>
      </c>
      <c r="H131" s="234">
        <f>G131</f>
        <v>45831</v>
      </c>
      <c r="I131" s="243"/>
      <c r="J131" s="243">
        <v>45831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5">
        <v>13</v>
      </c>
      <c r="B132" s="276" t="s">
        <v>627</v>
      </c>
      <c r="C132" s="277" t="s">
        <v>683</v>
      </c>
      <c r="D132" s="278" t="s">
        <v>700</v>
      </c>
      <c r="E132" s="215" t="s">
        <v>701</v>
      </c>
      <c r="F132" s="215" t="s">
        <v>479</v>
      </c>
      <c r="G132" s="242">
        <v>45829</v>
      </c>
      <c r="H132" s="234">
        <f>G132</f>
        <v>45829</v>
      </c>
      <c r="I132" s="243"/>
      <c r="J132" s="243">
        <v>45829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59" customFormat="1" ht="29.15" customHeight="1" x14ac:dyDescent="0.3">
      <c r="A133" s="283"/>
      <c r="B133" s="284" t="s">
        <v>627</v>
      </c>
      <c r="C133" s="470" t="s">
        <v>683</v>
      </c>
      <c r="D133" s="473" t="s">
        <v>702</v>
      </c>
      <c r="E133" s="404" t="s">
        <v>703</v>
      </c>
      <c r="F133" s="404" t="s">
        <v>469</v>
      </c>
      <c r="G133" s="406">
        <v>45783</v>
      </c>
      <c r="H133" s="406">
        <f>L133</f>
        <v>45792</v>
      </c>
      <c r="I133" s="226"/>
      <c r="J133" s="226"/>
      <c r="K133" s="224" t="s">
        <v>470</v>
      </c>
      <c r="L133" s="225">
        <v>45792</v>
      </c>
      <c r="M133" s="225">
        <v>45813</v>
      </c>
      <c r="N133" s="224" t="s">
        <v>471</v>
      </c>
      <c r="O133" s="224">
        <f ca="1">O1-L133</f>
        <v>61</v>
      </c>
      <c r="P133" s="285"/>
      <c r="Q133" s="517">
        <f>M133</f>
        <v>45813</v>
      </c>
      <c r="R133" s="514" t="s">
        <v>495</v>
      </c>
      <c r="S133" s="514" t="str">
        <f>N133</f>
        <v>CAT - III</v>
      </c>
      <c r="T133" s="514" t="s">
        <v>473</v>
      </c>
      <c r="U133" s="285">
        <f ca="1">U1-L133</f>
        <v>61</v>
      </c>
    </row>
    <row r="134" spans="1:21" s="259" customFormat="1" x14ac:dyDescent="0.3">
      <c r="A134" s="283"/>
      <c r="B134" s="284"/>
      <c r="C134" s="472"/>
      <c r="D134" s="516"/>
      <c r="E134" s="405"/>
      <c r="F134" s="405"/>
      <c r="G134" s="407"/>
      <c r="H134" s="407"/>
      <c r="I134" s="226"/>
      <c r="J134" s="226"/>
      <c r="K134" s="224" t="s">
        <v>472</v>
      </c>
      <c r="L134" s="225">
        <v>45813</v>
      </c>
      <c r="M134" s="225"/>
      <c r="N134" s="224"/>
      <c r="O134" s="224"/>
      <c r="P134" s="285"/>
      <c r="Q134" s="518"/>
      <c r="R134" s="515"/>
      <c r="S134" s="515"/>
      <c r="T134" s="515"/>
      <c r="U134" s="285"/>
    </row>
    <row r="135" spans="1:21" ht="28" x14ac:dyDescent="0.3">
      <c r="A135" s="276">
        <v>14</v>
      </c>
      <c r="B135" s="276" t="s">
        <v>627</v>
      </c>
      <c r="C135" s="277" t="s">
        <v>683</v>
      </c>
      <c r="D135" s="278" t="s">
        <v>704</v>
      </c>
      <c r="E135" s="215" t="s">
        <v>705</v>
      </c>
      <c r="F135" s="215" t="s">
        <v>469</v>
      </c>
      <c r="G135" s="242">
        <v>45783</v>
      </c>
      <c r="H135" s="242">
        <f>L135</f>
        <v>45791</v>
      </c>
      <c r="I135" s="243"/>
      <c r="J135" s="243"/>
      <c r="K135" s="215" t="s">
        <v>470</v>
      </c>
      <c r="L135" s="242">
        <v>45791</v>
      </c>
      <c r="M135" s="242"/>
      <c r="N135" s="215"/>
      <c r="O135" s="215">
        <f ca="1">O1-L135</f>
        <v>62</v>
      </c>
      <c r="P135" s="215"/>
      <c r="Q135" s="215"/>
      <c r="R135" s="215" t="s">
        <v>495</v>
      </c>
      <c r="S135" s="215"/>
      <c r="T135" s="215" t="s">
        <v>473</v>
      </c>
      <c r="U135" s="215">
        <f ca="1">U1-L135</f>
        <v>62</v>
      </c>
    </row>
    <row r="136" spans="1:21" x14ac:dyDescent="0.3">
      <c r="A136" s="276">
        <v>15</v>
      </c>
      <c r="B136" s="449" t="s">
        <v>627</v>
      </c>
      <c r="C136" s="450" t="s">
        <v>683</v>
      </c>
      <c r="D136" s="454" t="s">
        <v>706</v>
      </c>
      <c r="E136" s="436" t="s">
        <v>707</v>
      </c>
      <c r="F136" s="436" t="s">
        <v>469</v>
      </c>
      <c r="G136" s="453">
        <v>45755</v>
      </c>
      <c r="H136" s="423">
        <f>L136</f>
        <v>45755</v>
      </c>
      <c r="I136" s="243"/>
      <c r="J136" s="243"/>
      <c r="K136" s="215" t="s">
        <v>470</v>
      </c>
      <c r="L136" s="242">
        <v>45755</v>
      </c>
      <c r="M136" s="242">
        <v>45770</v>
      </c>
      <c r="N136" s="215" t="s">
        <v>471</v>
      </c>
      <c r="O136" s="215">
        <f>M136-L136</f>
        <v>15</v>
      </c>
      <c r="P136" s="215">
        <f>L137-M136</f>
        <v>18</v>
      </c>
      <c r="Q136" s="436"/>
      <c r="R136" s="436" t="s">
        <v>502</v>
      </c>
      <c r="S136" s="436" t="str">
        <f>N137</f>
        <v>CAT - III</v>
      </c>
      <c r="T136" s="436" t="s">
        <v>476</v>
      </c>
      <c r="U136" s="436">
        <f ca="1">U1-L137</f>
        <v>65</v>
      </c>
    </row>
    <row r="137" spans="1:21" x14ac:dyDescent="0.3">
      <c r="A137" s="276">
        <v>1</v>
      </c>
      <c r="B137" s="449"/>
      <c r="C137" s="450"/>
      <c r="D137" s="454"/>
      <c r="E137" s="436"/>
      <c r="F137" s="436"/>
      <c r="G137" s="453"/>
      <c r="H137" s="425"/>
      <c r="I137" s="243"/>
      <c r="J137" s="243"/>
      <c r="K137" s="215" t="s">
        <v>472</v>
      </c>
      <c r="L137" s="242">
        <v>45788</v>
      </c>
      <c r="M137" s="242">
        <v>45809</v>
      </c>
      <c r="N137" s="215" t="s">
        <v>471</v>
      </c>
      <c r="O137" s="215">
        <f>M137-L137</f>
        <v>21</v>
      </c>
      <c r="P137" s="215">
        <f ca="1">O1-M137</f>
        <v>44</v>
      </c>
      <c r="Q137" s="436"/>
      <c r="R137" s="436"/>
      <c r="S137" s="436"/>
      <c r="T137" s="436"/>
      <c r="U137" s="436"/>
    </row>
    <row r="138" spans="1:21" x14ac:dyDescent="0.3">
      <c r="A138" s="276">
        <v>2</v>
      </c>
      <c r="B138" s="449" t="s">
        <v>627</v>
      </c>
      <c r="C138" s="450" t="s">
        <v>683</v>
      </c>
      <c r="D138" s="454" t="s">
        <v>396</v>
      </c>
      <c r="E138" s="436" t="s">
        <v>708</v>
      </c>
      <c r="F138" s="436" t="s">
        <v>469</v>
      </c>
      <c r="G138" s="453">
        <v>45755</v>
      </c>
      <c r="H138" s="423">
        <f>L138</f>
        <v>45755</v>
      </c>
      <c r="I138" s="243"/>
      <c r="J138" s="243"/>
      <c r="K138" s="215" t="s">
        <v>470</v>
      </c>
      <c r="L138" s="242">
        <v>45755</v>
      </c>
      <c r="M138" s="242">
        <v>45770</v>
      </c>
      <c r="N138" s="215" t="s">
        <v>471</v>
      </c>
      <c r="O138" s="215">
        <f>M138-L138</f>
        <v>15</v>
      </c>
      <c r="P138" s="215">
        <f>L139-M138</f>
        <v>17</v>
      </c>
      <c r="Q138" s="436"/>
      <c r="R138" s="436" t="s">
        <v>502</v>
      </c>
      <c r="S138" s="436" t="str">
        <f>N139</f>
        <v>CAT - III</v>
      </c>
      <c r="T138" s="436" t="s">
        <v>476</v>
      </c>
      <c r="U138" s="436">
        <f ca="1">U1-L139</f>
        <v>66</v>
      </c>
    </row>
    <row r="139" spans="1:21" x14ac:dyDescent="0.3">
      <c r="A139" s="276">
        <v>3</v>
      </c>
      <c r="B139" s="449"/>
      <c r="C139" s="450"/>
      <c r="D139" s="454"/>
      <c r="E139" s="436"/>
      <c r="F139" s="436"/>
      <c r="G139" s="453"/>
      <c r="H139" s="425"/>
      <c r="I139" s="243"/>
      <c r="J139" s="243"/>
      <c r="K139" s="215" t="s">
        <v>472</v>
      </c>
      <c r="L139" s="242">
        <v>45787</v>
      </c>
      <c r="M139" s="242">
        <v>45809</v>
      </c>
      <c r="N139" s="215" t="s">
        <v>471</v>
      </c>
      <c r="O139" s="215">
        <f>M139-L139</f>
        <v>22</v>
      </c>
      <c r="P139" s="215">
        <f ca="1">O1-M139</f>
        <v>44</v>
      </c>
      <c r="Q139" s="436"/>
      <c r="R139" s="436"/>
      <c r="S139" s="436"/>
      <c r="T139" s="436"/>
      <c r="U139" s="436"/>
    </row>
    <row r="140" spans="1:21" ht="28" x14ac:dyDescent="0.3">
      <c r="A140" s="276">
        <v>4</v>
      </c>
      <c r="B140" s="276" t="s">
        <v>627</v>
      </c>
      <c r="C140" s="277" t="s">
        <v>683</v>
      </c>
      <c r="D140" s="278" t="s">
        <v>709</v>
      </c>
      <c r="E140" s="215" t="s">
        <v>710</v>
      </c>
      <c r="F140" s="215" t="s">
        <v>479</v>
      </c>
      <c r="G140" s="242">
        <v>45807</v>
      </c>
      <c r="H140" s="234">
        <v>45821</v>
      </c>
      <c r="I140" s="243"/>
      <c r="J140" s="243">
        <v>45807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6">
        <v>5</v>
      </c>
      <c r="B141" s="276" t="s">
        <v>627</v>
      </c>
      <c r="C141" s="277" t="s">
        <v>683</v>
      </c>
      <c r="D141" s="278" t="s">
        <v>711</v>
      </c>
      <c r="E141" s="215" t="s">
        <v>712</v>
      </c>
      <c r="F141" s="215" t="s">
        <v>479</v>
      </c>
      <c r="G141" s="242">
        <v>45845</v>
      </c>
      <c r="H141" s="234">
        <f>G141</f>
        <v>45845</v>
      </c>
      <c r="I141" s="243"/>
      <c r="J141" s="243">
        <v>45845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ht="28" x14ac:dyDescent="0.3">
      <c r="A142" s="276">
        <v>6</v>
      </c>
      <c r="B142" s="276" t="s">
        <v>713</v>
      </c>
      <c r="C142" s="277" t="s">
        <v>714</v>
      </c>
      <c r="D142" s="278" t="s">
        <v>715</v>
      </c>
      <c r="E142" s="215" t="s">
        <v>716</v>
      </c>
      <c r="F142" s="215" t="s">
        <v>469</v>
      </c>
      <c r="G142" s="242">
        <v>45803</v>
      </c>
      <c r="H142" s="242">
        <f>L142</f>
        <v>45804</v>
      </c>
      <c r="I142" s="279"/>
      <c r="J142" s="243"/>
      <c r="K142" s="215" t="s">
        <v>470</v>
      </c>
      <c r="L142" s="242">
        <v>45804</v>
      </c>
      <c r="M142" s="242"/>
      <c r="N142" s="215"/>
      <c r="O142" s="215">
        <f ca="1">O1-L142</f>
        <v>49</v>
      </c>
      <c r="P142" s="215"/>
      <c r="Q142" s="215"/>
      <c r="R142" s="215" t="s">
        <v>495</v>
      </c>
      <c r="S142" s="215"/>
      <c r="T142" s="215" t="s">
        <v>473</v>
      </c>
      <c r="U142" s="215">
        <f ca="1">U1-L142</f>
        <v>49</v>
      </c>
    </row>
    <row r="143" spans="1:21" ht="28" x14ac:dyDescent="0.3">
      <c r="A143" s="276"/>
      <c r="B143" s="276"/>
      <c r="C143" s="277" t="s">
        <v>714</v>
      </c>
      <c r="D143" s="278" t="s">
        <v>717</v>
      </c>
      <c r="E143" s="215" t="s">
        <v>718</v>
      </c>
      <c r="F143" s="215" t="s">
        <v>469</v>
      </c>
      <c r="G143" s="242">
        <v>45817</v>
      </c>
      <c r="H143" s="242">
        <f>L143</f>
        <v>45813</v>
      </c>
      <c r="I143" s="279"/>
      <c r="J143" s="243"/>
      <c r="K143" s="215" t="s">
        <v>470</v>
      </c>
      <c r="L143" s="242">
        <v>45813</v>
      </c>
      <c r="M143" s="242"/>
      <c r="N143" s="215"/>
      <c r="O143" s="215"/>
      <c r="P143" s="215"/>
      <c r="Q143" s="215"/>
      <c r="R143" s="215"/>
      <c r="S143" s="215"/>
      <c r="T143" s="215"/>
      <c r="U143" s="215"/>
    </row>
    <row r="144" spans="1:21" ht="28" x14ac:dyDescent="0.3">
      <c r="A144" s="276">
        <v>7</v>
      </c>
      <c r="B144" s="276" t="s">
        <v>713</v>
      </c>
      <c r="C144" s="277" t="s">
        <v>714</v>
      </c>
      <c r="D144" s="278" t="s">
        <v>719</v>
      </c>
      <c r="E144" s="215" t="s">
        <v>720</v>
      </c>
      <c r="F144" s="215" t="s">
        <v>469</v>
      </c>
      <c r="G144" s="242">
        <v>45816</v>
      </c>
      <c r="H144" s="242">
        <v>45834</v>
      </c>
      <c r="I144" s="243" t="s">
        <v>389</v>
      </c>
      <c r="J144" s="243"/>
      <c r="K144" s="215"/>
      <c r="L144" s="242"/>
      <c r="M144" s="242"/>
      <c r="N144" s="215"/>
      <c r="O144" s="215"/>
      <c r="P144" s="215"/>
      <c r="Q144" s="215"/>
      <c r="R144" s="215"/>
      <c r="S144" s="215"/>
      <c r="T144" s="215"/>
      <c r="U144" s="215"/>
    </row>
    <row r="145" spans="1:21" ht="28" x14ac:dyDescent="0.3">
      <c r="A145" s="276">
        <v>8</v>
      </c>
      <c r="B145" s="276" t="s">
        <v>713</v>
      </c>
      <c r="C145" s="277" t="s">
        <v>714</v>
      </c>
      <c r="D145" s="278" t="s">
        <v>721</v>
      </c>
      <c r="E145" s="215" t="s">
        <v>722</v>
      </c>
      <c r="F145" s="215" t="s">
        <v>469</v>
      </c>
      <c r="G145" s="242">
        <v>45805</v>
      </c>
      <c r="H145" s="242">
        <f>L145</f>
        <v>45817</v>
      </c>
      <c r="I145" s="243" t="s">
        <v>389</v>
      </c>
      <c r="J145" s="243"/>
      <c r="K145" s="215" t="s">
        <v>470</v>
      </c>
      <c r="L145" s="242">
        <v>45817</v>
      </c>
      <c r="M145" s="242"/>
      <c r="N145" s="215"/>
      <c r="O145" s="215"/>
      <c r="P145" s="215"/>
      <c r="Q145" s="215"/>
      <c r="R145" s="215" t="s">
        <v>495</v>
      </c>
      <c r="S145" s="215"/>
      <c r="T145" s="215" t="s">
        <v>473</v>
      </c>
      <c r="U145" s="215"/>
    </row>
    <row r="146" spans="1:21" ht="28" x14ac:dyDescent="0.3">
      <c r="A146" s="276">
        <v>9</v>
      </c>
      <c r="B146" s="276" t="s">
        <v>713</v>
      </c>
      <c r="C146" s="277" t="s">
        <v>714</v>
      </c>
      <c r="D146" s="278" t="s">
        <v>723</v>
      </c>
      <c r="E146" s="215" t="s">
        <v>724</v>
      </c>
      <c r="F146" s="215" t="s">
        <v>469</v>
      </c>
      <c r="G146" s="242">
        <v>45805</v>
      </c>
      <c r="H146" s="242">
        <f>L146</f>
        <v>45817</v>
      </c>
      <c r="I146" s="243" t="s">
        <v>389</v>
      </c>
      <c r="J146" s="243"/>
      <c r="K146" s="215" t="s">
        <v>470</v>
      </c>
      <c r="L146" s="242">
        <v>45817</v>
      </c>
      <c r="M146" s="242"/>
      <c r="N146" s="215"/>
      <c r="O146" s="215"/>
      <c r="P146" s="215"/>
      <c r="Q146" s="215"/>
      <c r="R146" s="215" t="s">
        <v>495</v>
      </c>
      <c r="S146" s="215"/>
      <c r="T146" s="215" t="s">
        <v>473</v>
      </c>
      <c r="U146" s="215"/>
    </row>
    <row r="147" spans="1:21" ht="28" x14ac:dyDescent="0.3">
      <c r="A147" s="276">
        <v>10</v>
      </c>
      <c r="B147" s="276" t="s">
        <v>713</v>
      </c>
      <c r="C147" s="277" t="s">
        <v>714</v>
      </c>
      <c r="D147" s="278" t="s">
        <v>725</v>
      </c>
      <c r="E147" s="215" t="s">
        <v>726</v>
      </c>
      <c r="F147" s="215" t="s">
        <v>469</v>
      </c>
      <c r="G147" s="242">
        <v>45820</v>
      </c>
      <c r="H147" s="242">
        <v>45826</v>
      </c>
      <c r="I147" s="243" t="s">
        <v>389</v>
      </c>
      <c r="J147" s="243"/>
      <c r="K147" s="215"/>
      <c r="L147" s="242"/>
      <c r="M147" s="242"/>
      <c r="N147" s="215"/>
      <c r="O147" s="215"/>
      <c r="P147" s="215"/>
      <c r="Q147" s="215"/>
      <c r="R147" s="215"/>
      <c r="S147" s="215"/>
      <c r="T147" s="215"/>
      <c r="U147" s="215"/>
    </row>
    <row r="148" spans="1:21" ht="28" x14ac:dyDescent="0.3">
      <c r="A148" s="276">
        <v>11</v>
      </c>
      <c r="B148" s="276" t="s">
        <v>713</v>
      </c>
      <c r="C148" s="277" t="s">
        <v>714</v>
      </c>
      <c r="D148" s="278" t="s">
        <v>727</v>
      </c>
      <c r="E148" s="215" t="s">
        <v>728</v>
      </c>
      <c r="F148" s="215" t="s">
        <v>469</v>
      </c>
      <c r="G148" s="242">
        <v>45814</v>
      </c>
      <c r="H148" s="242">
        <v>45826</v>
      </c>
      <c r="I148" s="243" t="s">
        <v>389</v>
      </c>
      <c r="J148" s="243"/>
      <c r="K148" s="215"/>
      <c r="L148" s="242"/>
      <c r="M148" s="242"/>
      <c r="N148" s="215"/>
      <c r="O148" s="215"/>
      <c r="P148" s="215"/>
      <c r="Q148" s="215"/>
      <c r="R148" s="215"/>
      <c r="S148" s="215"/>
      <c r="T148" s="215"/>
      <c r="U148" s="215"/>
    </row>
    <row r="149" spans="1:21" ht="28" x14ac:dyDescent="0.3">
      <c r="A149" s="276">
        <v>12</v>
      </c>
      <c r="B149" s="276" t="s">
        <v>713</v>
      </c>
      <c r="C149" s="277" t="s">
        <v>714</v>
      </c>
      <c r="D149" s="278" t="s">
        <v>729</v>
      </c>
      <c r="E149" s="215" t="s">
        <v>730</v>
      </c>
      <c r="F149" s="215" t="s">
        <v>469</v>
      </c>
      <c r="G149" s="242">
        <f>[2]Sheet4!E41</f>
        <v>45834</v>
      </c>
      <c r="H149" s="234">
        <f>G149</f>
        <v>45834</v>
      </c>
      <c r="I149" s="243" t="s">
        <v>389</v>
      </c>
      <c r="J149" s="243"/>
      <c r="K149" s="215"/>
      <c r="L149" s="242"/>
      <c r="M149" s="242"/>
      <c r="N149" s="215"/>
      <c r="O149" s="215"/>
      <c r="P149" s="215"/>
      <c r="Q149" s="215"/>
      <c r="R149" s="215"/>
      <c r="S149" s="215"/>
      <c r="T149" s="215"/>
      <c r="U149" s="215"/>
    </row>
    <row r="150" spans="1:21" ht="28" x14ac:dyDescent="0.3">
      <c r="A150" s="276">
        <v>13</v>
      </c>
      <c r="B150" s="276" t="s">
        <v>713</v>
      </c>
      <c r="C150" s="277" t="s">
        <v>714</v>
      </c>
      <c r="D150" s="278" t="s">
        <v>731</v>
      </c>
      <c r="E150" s="215" t="s">
        <v>732</v>
      </c>
      <c r="F150" s="215" t="s">
        <v>469</v>
      </c>
      <c r="G150" s="242">
        <f>[2]Sheet4!E42</f>
        <v>45848</v>
      </c>
      <c r="H150" s="234">
        <f>G150</f>
        <v>45848</v>
      </c>
      <c r="I150" s="243" t="s">
        <v>389</v>
      </c>
      <c r="J150" s="243"/>
      <c r="K150" s="215"/>
      <c r="L150" s="242"/>
      <c r="M150" s="242"/>
      <c r="N150" s="215"/>
      <c r="O150" s="215"/>
      <c r="P150" s="215"/>
      <c r="Q150" s="215"/>
      <c r="R150" s="215"/>
      <c r="S150" s="215"/>
      <c r="T150" s="215"/>
      <c r="U150" s="215"/>
    </row>
    <row r="151" spans="1:21" ht="28" x14ac:dyDescent="0.3">
      <c r="A151" s="276">
        <v>14</v>
      </c>
      <c r="B151" s="276" t="s">
        <v>713</v>
      </c>
      <c r="C151" s="277" t="s">
        <v>714</v>
      </c>
      <c r="D151" s="278" t="s">
        <v>733</v>
      </c>
      <c r="E151" s="215" t="s">
        <v>734</v>
      </c>
      <c r="F151" s="215" t="s">
        <v>469</v>
      </c>
      <c r="G151" s="242">
        <v>45788</v>
      </c>
      <c r="H151" s="242">
        <v>45824</v>
      </c>
      <c r="I151" s="243" t="s">
        <v>389</v>
      </c>
      <c r="J151" s="243">
        <v>45814</v>
      </c>
      <c r="K151" s="215"/>
      <c r="L151" s="242"/>
      <c r="M151" s="242"/>
      <c r="N151" s="215"/>
      <c r="O151" s="215"/>
      <c r="P151" s="215"/>
      <c r="Q151" s="215"/>
      <c r="R151" s="215"/>
      <c r="S151" s="215"/>
      <c r="T151" s="215"/>
      <c r="U151" s="215"/>
    </row>
    <row r="152" spans="1:21" ht="28" x14ac:dyDescent="0.3">
      <c r="A152" s="276">
        <v>15</v>
      </c>
      <c r="B152" s="276" t="s">
        <v>713</v>
      </c>
      <c r="C152" s="277" t="s">
        <v>714</v>
      </c>
      <c r="D152" s="278" t="s">
        <v>735</v>
      </c>
      <c r="E152" s="215" t="s">
        <v>736</v>
      </c>
      <c r="F152" s="215" t="s">
        <v>469</v>
      </c>
      <c r="G152" s="242">
        <f>[2]Sheet4!E44</f>
        <v>45826</v>
      </c>
      <c r="H152" s="234">
        <f t="shared" ref="H152:H174" si="2">G152</f>
        <v>45826</v>
      </c>
      <c r="I152" s="243" t="s">
        <v>389</v>
      </c>
      <c r="J152" s="243"/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16</v>
      </c>
      <c r="B153" s="276" t="s">
        <v>713</v>
      </c>
      <c r="C153" s="277" t="s">
        <v>714</v>
      </c>
      <c r="D153" s="278" t="s">
        <v>737</v>
      </c>
      <c r="E153" s="215" t="s">
        <v>738</v>
      </c>
      <c r="F153" s="215" t="s">
        <v>469</v>
      </c>
      <c r="G153" s="242">
        <f>[2]Sheet4!E45</f>
        <v>45826</v>
      </c>
      <c r="H153" s="234">
        <f t="shared" si="2"/>
        <v>45826</v>
      </c>
      <c r="I153" s="243" t="s">
        <v>389</v>
      </c>
      <c r="J153" s="243"/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17</v>
      </c>
      <c r="B154" s="276" t="s">
        <v>713</v>
      </c>
      <c r="C154" s="277" t="s">
        <v>714</v>
      </c>
      <c r="D154" s="278" t="s">
        <v>739</v>
      </c>
      <c r="E154" s="215" t="s">
        <v>740</v>
      </c>
      <c r="F154" s="215" t="s">
        <v>469</v>
      </c>
      <c r="G154" s="242">
        <f>[2]Sheet4!E46</f>
        <v>45826</v>
      </c>
      <c r="H154" s="234">
        <f t="shared" si="2"/>
        <v>45826</v>
      </c>
      <c r="I154" s="243" t="s">
        <v>389</v>
      </c>
      <c r="J154" s="243"/>
      <c r="K154" s="215"/>
      <c r="L154" s="242"/>
      <c r="M154" s="242"/>
      <c r="N154" s="215"/>
      <c r="O154" s="215"/>
      <c r="P154" s="215"/>
      <c r="Q154" s="215"/>
      <c r="R154" s="215"/>
      <c r="S154" s="215"/>
      <c r="T154" s="215"/>
      <c r="U154" s="215"/>
    </row>
    <row r="155" spans="1:21" ht="28" x14ac:dyDescent="0.3">
      <c r="A155" s="276">
        <v>18</v>
      </c>
      <c r="B155" s="276" t="s">
        <v>713</v>
      </c>
      <c r="C155" s="277" t="s">
        <v>714</v>
      </c>
      <c r="D155" s="278" t="s">
        <v>741</v>
      </c>
      <c r="E155" s="215" t="s">
        <v>742</v>
      </c>
      <c r="F155" s="215" t="s">
        <v>469</v>
      </c>
      <c r="G155" s="242">
        <f>[2]Sheet4!E47</f>
        <v>45833</v>
      </c>
      <c r="H155" s="234">
        <f t="shared" si="2"/>
        <v>45833</v>
      </c>
      <c r="I155" s="243" t="s">
        <v>389</v>
      </c>
      <c r="J155" s="243"/>
      <c r="K155" s="215"/>
      <c r="L155" s="242"/>
      <c r="M155" s="242"/>
      <c r="N155" s="215"/>
      <c r="O155" s="215"/>
      <c r="P155" s="215"/>
      <c r="Q155" s="215"/>
      <c r="R155" s="215"/>
      <c r="S155" s="215"/>
      <c r="T155" s="215"/>
      <c r="U155" s="215"/>
    </row>
    <row r="156" spans="1:21" ht="28" x14ac:dyDescent="0.3">
      <c r="A156" s="276">
        <v>19</v>
      </c>
      <c r="B156" s="276" t="s">
        <v>713</v>
      </c>
      <c r="C156" s="277" t="s">
        <v>714</v>
      </c>
      <c r="D156" s="278" t="s">
        <v>743</v>
      </c>
      <c r="E156" s="215" t="s">
        <v>744</v>
      </c>
      <c r="F156" s="215" t="s">
        <v>479</v>
      </c>
      <c r="G156" s="242">
        <f>[2]Sheet4!E48</f>
        <v>45847</v>
      </c>
      <c r="H156" s="234">
        <f t="shared" si="2"/>
        <v>45847</v>
      </c>
      <c r="I156" s="243" t="s">
        <v>389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20</v>
      </c>
      <c r="B157" s="276" t="s">
        <v>713</v>
      </c>
      <c r="C157" s="277" t="s">
        <v>714</v>
      </c>
      <c r="D157" s="278" t="s">
        <v>745</v>
      </c>
      <c r="E157" s="215" t="s">
        <v>746</v>
      </c>
      <c r="F157" s="215" t="s">
        <v>479</v>
      </c>
      <c r="G157" s="242">
        <f>[2]Sheet4!E49</f>
        <v>45870</v>
      </c>
      <c r="H157" s="234">
        <f t="shared" si="2"/>
        <v>45870</v>
      </c>
      <c r="I157" s="243" t="s">
        <v>389</v>
      </c>
      <c r="J157" s="243"/>
      <c r="K157" s="215"/>
      <c r="L157" s="242"/>
      <c r="M157" s="242"/>
      <c r="N157" s="215"/>
      <c r="O157" s="215"/>
      <c r="P157" s="215"/>
      <c r="Q157" s="215"/>
      <c r="R157" s="215"/>
      <c r="S157" s="215"/>
      <c r="T157" s="215"/>
      <c r="U157" s="215"/>
    </row>
    <row r="158" spans="1:21" ht="28" x14ac:dyDescent="0.3">
      <c r="A158" s="276">
        <v>21</v>
      </c>
      <c r="B158" s="276" t="s">
        <v>713</v>
      </c>
      <c r="C158" s="277" t="s">
        <v>714</v>
      </c>
      <c r="D158" s="278" t="s">
        <v>747</v>
      </c>
      <c r="E158" s="215" t="s">
        <v>748</v>
      </c>
      <c r="F158" s="215" t="s">
        <v>469</v>
      </c>
      <c r="G158" s="242">
        <f>[2]Sheet4!E50</f>
        <v>45870</v>
      </c>
      <c r="H158" s="234">
        <f t="shared" si="2"/>
        <v>45870</v>
      </c>
      <c r="I158" s="243" t="s">
        <v>389</v>
      </c>
      <c r="J158" s="243"/>
      <c r="K158" s="215"/>
      <c r="L158" s="242"/>
      <c r="M158" s="242"/>
      <c r="N158" s="215"/>
      <c r="O158" s="215"/>
      <c r="P158" s="215"/>
      <c r="Q158" s="215"/>
      <c r="R158" s="215"/>
      <c r="S158" s="215"/>
      <c r="T158" s="215"/>
      <c r="U158" s="215"/>
    </row>
    <row r="159" spans="1:21" ht="28" x14ac:dyDescent="0.3">
      <c r="A159" s="276">
        <v>22</v>
      </c>
      <c r="B159" s="276" t="s">
        <v>713</v>
      </c>
      <c r="C159" s="277" t="s">
        <v>714</v>
      </c>
      <c r="D159" s="278" t="s">
        <v>749</v>
      </c>
      <c r="E159" s="215" t="s">
        <v>750</v>
      </c>
      <c r="F159" s="215" t="s">
        <v>479</v>
      </c>
      <c r="G159" s="242">
        <f>[2]Sheet4!E51</f>
        <v>45845</v>
      </c>
      <c r="H159" s="234">
        <f t="shared" si="2"/>
        <v>45845</v>
      </c>
      <c r="I159" s="243" t="s">
        <v>389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23</v>
      </c>
      <c r="B160" s="276" t="s">
        <v>713</v>
      </c>
      <c r="C160" s="277" t="s">
        <v>714</v>
      </c>
      <c r="D160" s="278" t="s">
        <v>751</v>
      </c>
      <c r="E160" s="215" t="s">
        <v>752</v>
      </c>
      <c r="F160" s="215" t="s">
        <v>469</v>
      </c>
      <c r="G160" s="242">
        <f>[2]Sheet4!E52</f>
        <v>45845</v>
      </c>
      <c r="H160" s="234">
        <f t="shared" si="2"/>
        <v>45845</v>
      </c>
      <c r="I160" s="243" t="s">
        <v>389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24</v>
      </c>
      <c r="B161" s="276" t="s">
        <v>713</v>
      </c>
      <c r="C161" s="277" t="s">
        <v>714</v>
      </c>
      <c r="D161" s="278" t="s">
        <v>753</v>
      </c>
      <c r="E161" s="215" t="s">
        <v>754</v>
      </c>
      <c r="F161" s="215" t="s">
        <v>479</v>
      </c>
      <c r="G161" s="242">
        <f>[2]Sheet4!E53</f>
        <v>45865</v>
      </c>
      <c r="H161" s="234">
        <f t="shared" si="2"/>
        <v>45865</v>
      </c>
      <c r="I161" s="243" t="s">
        <v>389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25</v>
      </c>
      <c r="B162" s="276" t="s">
        <v>713</v>
      </c>
      <c r="C162" s="277" t="s">
        <v>714</v>
      </c>
      <c r="D162" s="278" t="s">
        <v>755</v>
      </c>
      <c r="E162" s="215" t="s">
        <v>756</v>
      </c>
      <c r="F162" s="215" t="s">
        <v>469</v>
      </c>
      <c r="G162" s="242">
        <f>[2]Sheet4!E54</f>
        <v>45843</v>
      </c>
      <c r="H162" s="234">
        <f t="shared" si="2"/>
        <v>45843</v>
      </c>
      <c r="I162" s="243" t="s">
        <v>389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26</v>
      </c>
      <c r="B163" s="276" t="s">
        <v>713</v>
      </c>
      <c r="C163" s="277" t="s">
        <v>714</v>
      </c>
      <c r="D163" s="278" t="s">
        <v>757</v>
      </c>
      <c r="E163" s="215" t="s">
        <v>758</v>
      </c>
      <c r="F163" s="215" t="s">
        <v>479</v>
      </c>
      <c r="G163" s="242">
        <f>[2]Sheet4!E55</f>
        <v>45840</v>
      </c>
      <c r="H163" s="234">
        <f t="shared" si="2"/>
        <v>45840</v>
      </c>
      <c r="I163" s="243" t="s">
        <v>389</v>
      </c>
      <c r="J163" s="243"/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27</v>
      </c>
      <c r="B164" s="276" t="s">
        <v>713</v>
      </c>
      <c r="C164" s="277" t="s">
        <v>714</v>
      </c>
      <c r="D164" s="278" t="s">
        <v>759</v>
      </c>
      <c r="E164" s="215" t="s">
        <v>760</v>
      </c>
      <c r="F164" s="215" t="s">
        <v>469</v>
      </c>
      <c r="G164" s="242">
        <f>[2]Sheet4!E56</f>
        <v>45822</v>
      </c>
      <c r="H164" s="234">
        <f t="shared" si="2"/>
        <v>45822</v>
      </c>
      <c r="I164" s="243" t="s">
        <v>389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28</v>
      </c>
      <c r="B165" s="276" t="s">
        <v>713</v>
      </c>
      <c r="C165" s="277" t="s">
        <v>714</v>
      </c>
      <c r="D165" s="278" t="s">
        <v>761</v>
      </c>
      <c r="E165" s="215" t="s">
        <v>762</v>
      </c>
      <c r="F165" s="215" t="s">
        <v>479</v>
      </c>
      <c r="G165" s="242">
        <f>[2]Sheet4!E57</f>
        <v>45840</v>
      </c>
      <c r="H165" s="234">
        <f t="shared" si="2"/>
        <v>45840</v>
      </c>
      <c r="I165" s="243" t="s">
        <v>389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29</v>
      </c>
      <c r="B166" s="276" t="s">
        <v>713</v>
      </c>
      <c r="C166" s="277" t="s">
        <v>714</v>
      </c>
      <c r="D166" s="278" t="s">
        <v>763</v>
      </c>
      <c r="E166" s="215" t="s">
        <v>764</v>
      </c>
      <c r="F166" s="215" t="s">
        <v>479</v>
      </c>
      <c r="G166" s="242">
        <f>[2]Sheet4!E58</f>
        <v>45847</v>
      </c>
      <c r="H166" s="234">
        <f t="shared" si="2"/>
        <v>45847</v>
      </c>
      <c r="I166" s="243" t="s">
        <v>389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70" x14ac:dyDescent="0.3">
      <c r="A167" s="276">
        <v>30</v>
      </c>
      <c r="B167" s="276" t="s">
        <v>713</v>
      </c>
      <c r="C167" s="277" t="s">
        <v>714</v>
      </c>
      <c r="D167" s="278" t="s">
        <v>765</v>
      </c>
      <c r="E167" s="215" t="s">
        <v>766</v>
      </c>
      <c r="F167" s="215" t="s">
        <v>479</v>
      </c>
      <c r="G167" s="242">
        <v>45900</v>
      </c>
      <c r="H167" s="234">
        <f t="shared" si="2"/>
        <v>45900</v>
      </c>
      <c r="I167" s="243" t="s">
        <v>389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31</v>
      </c>
      <c r="B168" s="276" t="s">
        <v>713</v>
      </c>
      <c r="C168" s="277" t="s">
        <v>714</v>
      </c>
      <c r="D168" s="278" t="s">
        <v>767</v>
      </c>
      <c r="E168" s="215" t="s">
        <v>768</v>
      </c>
      <c r="F168" s="215" t="s">
        <v>469</v>
      </c>
      <c r="G168" s="242">
        <f>[2]Sheet4!E60</f>
        <v>45813</v>
      </c>
      <c r="H168" s="234">
        <f t="shared" si="2"/>
        <v>45813</v>
      </c>
      <c r="I168" s="243" t="s">
        <v>389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32</v>
      </c>
      <c r="B169" s="276" t="s">
        <v>713</v>
      </c>
      <c r="C169" s="277" t="s">
        <v>714</v>
      </c>
      <c r="D169" s="278" t="s">
        <v>769</v>
      </c>
      <c r="E169" s="215" t="s">
        <v>770</v>
      </c>
      <c r="F169" s="215" t="s">
        <v>469</v>
      </c>
      <c r="G169" s="242">
        <f>[2]Sheet4!E61</f>
        <v>45858</v>
      </c>
      <c r="H169" s="234">
        <f t="shared" si="2"/>
        <v>45858</v>
      </c>
      <c r="I169" s="243" t="s">
        <v>389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33</v>
      </c>
      <c r="B170" s="276" t="s">
        <v>713</v>
      </c>
      <c r="C170" s="277" t="s">
        <v>714</v>
      </c>
      <c r="D170" s="278" t="s">
        <v>771</v>
      </c>
      <c r="E170" s="215" t="s">
        <v>772</v>
      </c>
      <c r="F170" s="215" t="s">
        <v>469</v>
      </c>
      <c r="G170" s="242">
        <f>[2]Sheet4!E62</f>
        <v>45834</v>
      </c>
      <c r="H170" s="234">
        <f t="shared" si="2"/>
        <v>45834</v>
      </c>
      <c r="I170" s="243" t="s">
        <v>389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1</v>
      </c>
      <c r="B171" s="276" t="s">
        <v>713</v>
      </c>
      <c r="C171" s="277" t="s">
        <v>714</v>
      </c>
      <c r="D171" s="278" t="s">
        <v>773</v>
      </c>
      <c r="E171" s="215" t="s">
        <v>774</v>
      </c>
      <c r="F171" s="215" t="s">
        <v>469</v>
      </c>
      <c r="G171" s="242">
        <f>[2]Sheet4!E63</f>
        <v>45840</v>
      </c>
      <c r="H171" s="234">
        <f t="shared" si="2"/>
        <v>45840</v>
      </c>
      <c r="I171" s="243" t="s">
        <v>389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f t="shared" ref="A172:A200" si="3">A171+1</f>
        <v>2</v>
      </c>
      <c r="B172" s="276" t="s">
        <v>713</v>
      </c>
      <c r="C172" s="277" t="s">
        <v>714</v>
      </c>
      <c r="D172" s="278" t="s">
        <v>775</v>
      </c>
      <c r="E172" s="215" t="s">
        <v>776</v>
      </c>
      <c r="F172" s="215" t="s">
        <v>469</v>
      </c>
      <c r="G172" s="242">
        <f>[2]Sheet4!E64</f>
        <v>45962</v>
      </c>
      <c r="H172" s="234">
        <f t="shared" si="2"/>
        <v>45962</v>
      </c>
      <c r="I172" s="243" t="s">
        <v>389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f t="shared" si="3"/>
        <v>3</v>
      </c>
      <c r="B173" s="276" t="s">
        <v>713</v>
      </c>
      <c r="C173" s="277" t="s">
        <v>714</v>
      </c>
      <c r="D173" s="278" t="s">
        <v>777</v>
      </c>
      <c r="E173" s="215" t="s">
        <v>778</v>
      </c>
      <c r="F173" s="215" t="s">
        <v>469</v>
      </c>
      <c r="G173" s="242">
        <f>[2]Sheet4!E65</f>
        <v>45826</v>
      </c>
      <c r="H173" s="234">
        <f t="shared" si="2"/>
        <v>45826</v>
      </c>
      <c r="I173" s="243" t="s">
        <v>389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f t="shared" si="3"/>
        <v>4</v>
      </c>
      <c r="B174" s="276" t="s">
        <v>713</v>
      </c>
      <c r="C174" s="277" t="s">
        <v>714</v>
      </c>
      <c r="D174" s="278" t="s">
        <v>779</v>
      </c>
      <c r="E174" s="215" t="s">
        <v>780</v>
      </c>
      <c r="F174" s="215" t="s">
        <v>469</v>
      </c>
      <c r="G174" s="242">
        <v>45868</v>
      </c>
      <c r="H174" s="234">
        <f t="shared" si="2"/>
        <v>45868</v>
      </c>
      <c r="I174" s="243" t="s">
        <v>389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f t="shared" si="3"/>
        <v>5</v>
      </c>
      <c r="B175" s="276" t="s">
        <v>713</v>
      </c>
      <c r="C175" s="277" t="s">
        <v>714</v>
      </c>
      <c r="D175" s="278" t="s">
        <v>781</v>
      </c>
      <c r="E175" s="215" t="s">
        <v>782</v>
      </c>
      <c r="F175" s="215" t="s">
        <v>469</v>
      </c>
      <c r="G175" s="242">
        <v>45797</v>
      </c>
      <c r="H175" s="242">
        <f>L175</f>
        <v>45790</v>
      </c>
      <c r="I175" s="243" t="s">
        <v>389</v>
      </c>
      <c r="J175" s="243"/>
      <c r="K175" s="215" t="s">
        <v>470</v>
      </c>
      <c r="L175" s="242">
        <v>45790</v>
      </c>
      <c r="M175" s="242">
        <v>45812</v>
      </c>
      <c r="N175" s="215" t="s">
        <v>471</v>
      </c>
      <c r="O175" s="215">
        <f>M175-L175</f>
        <v>22</v>
      </c>
      <c r="P175" s="215">
        <f ca="1">O1-M175</f>
        <v>41</v>
      </c>
      <c r="Q175" s="215"/>
      <c r="R175" s="215" t="s">
        <v>495</v>
      </c>
      <c r="S175" s="215" t="str">
        <f>N175</f>
        <v>CAT - III</v>
      </c>
      <c r="T175" s="215" t="s">
        <v>473</v>
      </c>
      <c r="U175" s="215">
        <f ca="1">U1-L175</f>
        <v>63</v>
      </c>
    </row>
    <row r="176" spans="1:21" x14ac:dyDescent="0.3">
      <c r="A176" s="276">
        <f t="shared" si="3"/>
        <v>6</v>
      </c>
      <c r="B176" s="276" t="s">
        <v>713</v>
      </c>
      <c r="C176" s="277" t="s">
        <v>783</v>
      </c>
      <c r="D176" s="278" t="s">
        <v>784</v>
      </c>
      <c r="E176" s="215" t="s">
        <v>785</v>
      </c>
      <c r="F176" s="215" t="s">
        <v>469</v>
      </c>
      <c r="G176" s="242">
        <f>[2]Sheet4!E68</f>
        <v>45814</v>
      </c>
      <c r="H176" s="242">
        <f>L176</f>
        <v>45804</v>
      </c>
      <c r="I176" s="243" t="s">
        <v>389</v>
      </c>
      <c r="J176" s="243"/>
      <c r="K176" s="215" t="s">
        <v>470</v>
      </c>
      <c r="L176" s="242">
        <v>45804</v>
      </c>
      <c r="M176" s="242"/>
      <c r="N176" s="215"/>
      <c r="O176" s="215">
        <f ca="1">O1-L176</f>
        <v>49</v>
      </c>
      <c r="P176" s="215"/>
      <c r="Q176" s="215"/>
      <c r="R176" s="215" t="s">
        <v>495</v>
      </c>
      <c r="S176" s="215"/>
      <c r="T176" s="215" t="s">
        <v>473</v>
      </c>
      <c r="U176" s="215">
        <f ca="1">U1-L176</f>
        <v>49</v>
      </c>
    </row>
    <row r="177" spans="1:21" x14ac:dyDescent="0.3">
      <c r="A177" s="276">
        <f t="shared" si="3"/>
        <v>7</v>
      </c>
      <c r="B177" s="276" t="s">
        <v>713</v>
      </c>
      <c r="C177" s="277" t="s">
        <v>783</v>
      </c>
      <c r="D177" s="278" t="s">
        <v>786</v>
      </c>
      <c r="E177" s="215" t="s">
        <v>787</v>
      </c>
      <c r="F177" s="215" t="s">
        <v>479</v>
      </c>
      <c r="G177" s="242">
        <f>[2]Sheet4!E69</f>
        <v>45834</v>
      </c>
      <c r="H177" s="242">
        <f>H144</f>
        <v>45834</v>
      </c>
      <c r="I177" s="243" t="s">
        <v>389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x14ac:dyDescent="0.3">
      <c r="A178" s="276">
        <f t="shared" si="3"/>
        <v>8</v>
      </c>
      <c r="B178" s="276" t="s">
        <v>713</v>
      </c>
      <c r="C178" s="277" t="s">
        <v>783</v>
      </c>
      <c r="D178" s="278" t="s">
        <v>788</v>
      </c>
      <c r="E178" s="215" t="s">
        <v>789</v>
      </c>
      <c r="F178" s="215" t="s">
        <v>469</v>
      </c>
      <c r="G178" s="242">
        <f>[2]Sheet4!E70</f>
        <v>45814</v>
      </c>
      <c r="H178" s="242">
        <f>H145</f>
        <v>45817</v>
      </c>
      <c r="I178" s="243" t="s">
        <v>389</v>
      </c>
      <c r="J178" s="243"/>
      <c r="K178" s="215" t="s">
        <v>470</v>
      </c>
      <c r="L178" s="242">
        <v>45817</v>
      </c>
      <c r="M178" s="242"/>
      <c r="N178" s="215"/>
      <c r="O178" s="215"/>
      <c r="P178" s="215"/>
      <c r="Q178" s="215"/>
      <c r="R178" s="215" t="s">
        <v>495</v>
      </c>
      <c r="S178" s="215"/>
      <c r="T178" s="215" t="s">
        <v>473</v>
      </c>
      <c r="U178" s="215"/>
    </row>
    <row r="179" spans="1:21" x14ac:dyDescent="0.3">
      <c r="A179" s="276">
        <f t="shared" si="3"/>
        <v>9</v>
      </c>
      <c r="B179" s="276" t="s">
        <v>713</v>
      </c>
      <c r="C179" s="277" t="s">
        <v>783</v>
      </c>
      <c r="D179" s="278" t="s">
        <v>790</v>
      </c>
      <c r="E179" s="215" t="s">
        <v>791</v>
      </c>
      <c r="F179" s="215" t="s">
        <v>469</v>
      </c>
      <c r="G179" s="242">
        <f>[2]Sheet4!E71</f>
        <v>45814</v>
      </c>
      <c r="H179" s="242">
        <f>H146</f>
        <v>45817</v>
      </c>
      <c r="I179" s="243" t="s">
        <v>389</v>
      </c>
      <c r="J179" s="243"/>
      <c r="K179" s="215" t="s">
        <v>470</v>
      </c>
      <c r="L179" s="242">
        <v>45817</v>
      </c>
      <c r="M179" s="242"/>
      <c r="N179" s="215"/>
      <c r="O179" s="215"/>
      <c r="P179" s="215"/>
      <c r="Q179" s="215"/>
      <c r="R179" s="215" t="s">
        <v>495</v>
      </c>
      <c r="S179" s="215"/>
      <c r="T179" s="215" t="s">
        <v>473</v>
      </c>
      <c r="U179" s="215"/>
    </row>
    <row r="180" spans="1:21" x14ac:dyDescent="0.3">
      <c r="A180" s="276">
        <f t="shared" si="3"/>
        <v>10</v>
      </c>
      <c r="B180" s="276" t="s">
        <v>713</v>
      </c>
      <c r="C180" s="277" t="s">
        <v>783</v>
      </c>
      <c r="D180" s="278" t="s">
        <v>792</v>
      </c>
      <c r="E180" s="215" t="s">
        <v>793</v>
      </c>
      <c r="F180" s="215" t="s">
        <v>469</v>
      </c>
      <c r="G180" s="242">
        <f>[2]Sheet4!E72</f>
        <v>45826</v>
      </c>
      <c r="H180" s="234">
        <f t="shared" ref="H180:H195" si="4">G180</f>
        <v>45826</v>
      </c>
      <c r="I180" s="243" t="s">
        <v>389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x14ac:dyDescent="0.3">
      <c r="A181" s="276">
        <f t="shared" si="3"/>
        <v>11</v>
      </c>
      <c r="B181" s="276" t="s">
        <v>713</v>
      </c>
      <c r="C181" s="277" t="s">
        <v>783</v>
      </c>
      <c r="D181" s="278" t="s">
        <v>794</v>
      </c>
      <c r="E181" s="215" t="s">
        <v>795</v>
      </c>
      <c r="F181" s="215" t="s">
        <v>479</v>
      </c>
      <c r="G181" s="242">
        <f>[2]Sheet4!E73</f>
        <v>45834</v>
      </c>
      <c r="H181" s="234">
        <f t="shared" si="4"/>
        <v>45834</v>
      </c>
      <c r="I181" s="243" t="s">
        <v>389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x14ac:dyDescent="0.3">
      <c r="A182" s="276">
        <f t="shared" si="3"/>
        <v>12</v>
      </c>
      <c r="B182" s="276" t="s">
        <v>713</v>
      </c>
      <c r="C182" s="277" t="s">
        <v>783</v>
      </c>
      <c r="D182" s="278" t="s">
        <v>796</v>
      </c>
      <c r="E182" s="215" t="s">
        <v>797</v>
      </c>
      <c r="F182" s="215" t="s">
        <v>479</v>
      </c>
      <c r="G182" s="242">
        <f>[2]Sheet4!E74</f>
        <v>45848</v>
      </c>
      <c r="H182" s="234">
        <f t="shared" si="4"/>
        <v>45848</v>
      </c>
      <c r="I182" s="243" t="s">
        <v>389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x14ac:dyDescent="0.3">
      <c r="A183" s="276">
        <f t="shared" si="3"/>
        <v>13</v>
      </c>
      <c r="B183" s="276" t="s">
        <v>713</v>
      </c>
      <c r="C183" s="277" t="s">
        <v>783</v>
      </c>
      <c r="D183" s="278" t="s">
        <v>798</v>
      </c>
      <c r="E183" s="215" t="s">
        <v>799</v>
      </c>
      <c r="F183" s="215" t="s">
        <v>469</v>
      </c>
      <c r="G183" s="242">
        <f>[2]Sheet4!E75</f>
        <v>45824</v>
      </c>
      <c r="H183" s="234">
        <f t="shared" si="4"/>
        <v>45824</v>
      </c>
      <c r="I183" s="243" t="s">
        <v>389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x14ac:dyDescent="0.3">
      <c r="A184" s="276">
        <f t="shared" si="3"/>
        <v>14</v>
      </c>
      <c r="B184" s="276" t="s">
        <v>713</v>
      </c>
      <c r="C184" s="277" t="s">
        <v>783</v>
      </c>
      <c r="D184" s="278" t="s">
        <v>800</v>
      </c>
      <c r="E184" s="215" t="s">
        <v>801</v>
      </c>
      <c r="F184" s="215" t="s">
        <v>469</v>
      </c>
      <c r="G184" s="242">
        <f>[2]Sheet4!E76</f>
        <v>45826</v>
      </c>
      <c r="H184" s="234">
        <f t="shared" si="4"/>
        <v>45826</v>
      </c>
      <c r="I184" s="243" t="s">
        <v>389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x14ac:dyDescent="0.3">
      <c r="A185" s="276">
        <f t="shared" si="3"/>
        <v>15</v>
      </c>
      <c r="B185" s="276" t="s">
        <v>713</v>
      </c>
      <c r="C185" s="277" t="s">
        <v>783</v>
      </c>
      <c r="D185" s="278" t="s">
        <v>802</v>
      </c>
      <c r="E185" s="215" t="s">
        <v>803</v>
      </c>
      <c r="F185" s="215" t="s">
        <v>469</v>
      </c>
      <c r="G185" s="242">
        <f>[2]Sheet4!E77</f>
        <v>45826</v>
      </c>
      <c r="H185" s="234">
        <f t="shared" si="4"/>
        <v>45826</v>
      </c>
      <c r="I185" s="243" t="s">
        <v>389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x14ac:dyDescent="0.3">
      <c r="A186" s="276">
        <f t="shared" si="3"/>
        <v>16</v>
      </c>
      <c r="B186" s="276" t="s">
        <v>713</v>
      </c>
      <c r="C186" s="277" t="s">
        <v>783</v>
      </c>
      <c r="D186" s="278" t="s">
        <v>804</v>
      </c>
      <c r="E186" s="215" t="s">
        <v>805</v>
      </c>
      <c r="F186" s="215" t="s">
        <v>469</v>
      </c>
      <c r="G186" s="242">
        <f>[2]Sheet4!E78</f>
        <v>45826</v>
      </c>
      <c r="H186" s="234">
        <f t="shared" si="4"/>
        <v>45826</v>
      </c>
      <c r="I186" s="243" t="s">
        <v>389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x14ac:dyDescent="0.3">
      <c r="A187" s="276">
        <f t="shared" si="3"/>
        <v>17</v>
      </c>
      <c r="B187" s="276" t="s">
        <v>713</v>
      </c>
      <c r="C187" s="277" t="s">
        <v>783</v>
      </c>
      <c r="D187" s="278" t="s">
        <v>806</v>
      </c>
      <c r="E187" s="215" t="s">
        <v>807</v>
      </c>
      <c r="F187" s="215" t="s">
        <v>469</v>
      </c>
      <c r="G187" s="242">
        <f>[2]Sheet4!E79</f>
        <v>45833</v>
      </c>
      <c r="H187" s="234">
        <f t="shared" si="4"/>
        <v>45833</v>
      </c>
      <c r="I187" s="243" t="s">
        <v>389</v>
      </c>
      <c r="J187" s="243"/>
      <c r="K187" s="215"/>
      <c r="L187" s="242"/>
      <c r="M187" s="242"/>
      <c r="N187" s="215"/>
      <c r="O187" s="215"/>
      <c r="P187" s="215"/>
      <c r="Q187" s="215"/>
      <c r="R187" s="215"/>
      <c r="S187" s="215"/>
      <c r="T187" s="215"/>
      <c r="U187" s="215"/>
    </row>
    <row r="188" spans="1:21" x14ac:dyDescent="0.3">
      <c r="A188" s="276">
        <f t="shared" si="3"/>
        <v>18</v>
      </c>
      <c r="B188" s="276" t="s">
        <v>713</v>
      </c>
      <c r="C188" s="277" t="s">
        <v>783</v>
      </c>
      <c r="D188" s="278" t="s">
        <v>808</v>
      </c>
      <c r="E188" s="215" t="s">
        <v>809</v>
      </c>
      <c r="F188" s="215" t="s">
        <v>479</v>
      </c>
      <c r="G188" s="242">
        <f>[2]Sheet4!E80</f>
        <v>45870</v>
      </c>
      <c r="H188" s="234">
        <f t="shared" si="4"/>
        <v>45870</v>
      </c>
      <c r="I188" s="243" t="s">
        <v>389</v>
      </c>
      <c r="J188" s="243"/>
      <c r="K188" s="215"/>
      <c r="L188" s="242"/>
      <c r="M188" s="242"/>
      <c r="N188" s="215"/>
      <c r="O188" s="215"/>
      <c r="P188" s="215"/>
      <c r="Q188" s="215"/>
      <c r="R188" s="215"/>
      <c r="S188" s="215"/>
      <c r="T188" s="215"/>
      <c r="U188" s="215"/>
    </row>
    <row r="189" spans="1:21" x14ac:dyDescent="0.3">
      <c r="A189" s="276">
        <f t="shared" si="3"/>
        <v>19</v>
      </c>
      <c r="B189" s="276" t="s">
        <v>713</v>
      </c>
      <c r="C189" s="277" t="s">
        <v>783</v>
      </c>
      <c r="D189" s="278" t="s">
        <v>810</v>
      </c>
      <c r="E189" s="215" t="s">
        <v>811</v>
      </c>
      <c r="F189" s="215" t="s">
        <v>479</v>
      </c>
      <c r="G189" s="242">
        <f>[2]Sheet4!E81</f>
        <v>45845</v>
      </c>
      <c r="H189" s="234">
        <f t="shared" si="4"/>
        <v>45845</v>
      </c>
      <c r="I189" s="243" t="s">
        <v>389</v>
      </c>
      <c r="J189" s="243"/>
      <c r="K189" s="215"/>
      <c r="L189" s="242"/>
      <c r="M189" s="242"/>
      <c r="N189" s="215"/>
      <c r="O189" s="215"/>
      <c r="P189" s="215"/>
      <c r="Q189" s="215"/>
      <c r="R189" s="215"/>
      <c r="S189" s="215"/>
      <c r="T189" s="215"/>
      <c r="U189" s="215"/>
    </row>
    <row r="190" spans="1:21" x14ac:dyDescent="0.3">
      <c r="A190" s="276">
        <f t="shared" si="3"/>
        <v>20</v>
      </c>
      <c r="B190" s="276" t="s">
        <v>713</v>
      </c>
      <c r="C190" s="277" t="s">
        <v>783</v>
      </c>
      <c r="D190" s="278" t="s">
        <v>812</v>
      </c>
      <c r="E190" s="215" t="s">
        <v>813</v>
      </c>
      <c r="F190" s="215" t="s">
        <v>479</v>
      </c>
      <c r="G190" s="242">
        <f>[2]Sheet4!E82</f>
        <v>45845</v>
      </c>
      <c r="H190" s="234">
        <f t="shared" si="4"/>
        <v>45845</v>
      </c>
      <c r="I190" s="243" t="s">
        <v>389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s="287" customFormat="1" ht="28" x14ac:dyDescent="0.3">
      <c r="A191" s="276">
        <f t="shared" si="3"/>
        <v>21</v>
      </c>
      <c r="B191" s="276" t="s">
        <v>713</v>
      </c>
      <c r="C191" s="277" t="s">
        <v>783</v>
      </c>
      <c r="D191" s="278" t="s">
        <v>814</v>
      </c>
      <c r="E191" s="215" t="s">
        <v>815</v>
      </c>
      <c r="F191" s="215" t="s">
        <v>479</v>
      </c>
      <c r="G191" s="242">
        <f>[2]Sheet4!E83</f>
        <v>45865</v>
      </c>
      <c r="H191" s="234">
        <f t="shared" si="4"/>
        <v>45865</v>
      </c>
      <c r="I191" s="243" t="s">
        <v>389</v>
      </c>
      <c r="J191" s="243"/>
      <c r="K191" s="286"/>
      <c r="L191" s="242"/>
      <c r="M191" s="242"/>
      <c r="N191" s="286"/>
      <c r="O191" s="215"/>
      <c r="P191" s="215"/>
      <c r="Q191" s="286"/>
      <c r="R191" s="286"/>
      <c r="S191" s="286"/>
      <c r="T191" s="286"/>
      <c r="U191" s="286"/>
    </row>
    <row r="192" spans="1:21" x14ac:dyDescent="0.3">
      <c r="A192" s="276">
        <f t="shared" si="3"/>
        <v>22</v>
      </c>
      <c r="B192" s="276" t="s">
        <v>713</v>
      </c>
      <c r="C192" s="277" t="s">
        <v>783</v>
      </c>
      <c r="D192" s="278" t="s">
        <v>816</v>
      </c>
      <c r="E192" s="215" t="s">
        <v>817</v>
      </c>
      <c r="F192" s="215" t="s">
        <v>469</v>
      </c>
      <c r="G192" s="242">
        <f>[2]Sheet4!E84</f>
        <v>45843</v>
      </c>
      <c r="H192" s="234">
        <f t="shared" si="4"/>
        <v>45843</v>
      </c>
      <c r="I192" s="243" t="s">
        <v>389</v>
      </c>
      <c r="J192" s="243"/>
      <c r="K192" s="215"/>
      <c r="L192" s="242"/>
      <c r="M192" s="242"/>
      <c r="N192" s="215"/>
      <c r="O192" s="215"/>
      <c r="P192" s="215"/>
      <c r="Q192" s="215"/>
      <c r="R192" s="215"/>
      <c r="S192" s="215"/>
      <c r="T192" s="215"/>
      <c r="U192" s="215"/>
    </row>
    <row r="193" spans="1:21" x14ac:dyDescent="0.3">
      <c r="A193" s="276">
        <f t="shared" si="3"/>
        <v>23</v>
      </c>
      <c r="B193" s="276" t="s">
        <v>713</v>
      </c>
      <c r="C193" s="277" t="s">
        <v>783</v>
      </c>
      <c r="D193" s="278" t="s">
        <v>818</v>
      </c>
      <c r="E193" s="215" t="s">
        <v>819</v>
      </c>
      <c r="F193" s="215" t="s">
        <v>469</v>
      </c>
      <c r="G193" s="242">
        <f>[2]Sheet4!E85</f>
        <v>45822</v>
      </c>
      <c r="H193" s="234">
        <f t="shared" si="4"/>
        <v>45822</v>
      </c>
      <c r="I193" s="243" t="s">
        <v>389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3"/>
        <v>24</v>
      </c>
      <c r="B194" s="276" t="s">
        <v>713</v>
      </c>
      <c r="C194" s="277" t="s">
        <v>783</v>
      </c>
      <c r="D194" s="278" t="s">
        <v>820</v>
      </c>
      <c r="E194" s="215" t="s">
        <v>821</v>
      </c>
      <c r="F194" s="214" t="s">
        <v>479</v>
      </c>
      <c r="G194" s="242">
        <f>[2]Sheet4!E86</f>
        <v>45840</v>
      </c>
      <c r="H194" s="234">
        <f t="shared" si="4"/>
        <v>45840</v>
      </c>
      <c r="I194" s="243" t="s">
        <v>389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3"/>
        <v>25</v>
      </c>
      <c r="B195" s="276" t="s">
        <v>713</v>
      </c>
      <c r="C195" s="277" t="s">
        <v>783</v>
      </c>
      <c r="D195" s="278" t="s">
        <v>822</v>
      </c>
      <c r="E195" s="215" t="s">
        <v>823</v>
      </c>
      <c r="F195" s="215" t="s">
        <v>469</v>
      </c>
      <c r="G195" s="242">
        <f>[2]Sheet4!E87</f>
        <v>45870</v>
      </c>
      <c r="H195" s="234">
        <f t="shared" si="4"/>
        <v>45870</v>
      </c>
      <c r="I195" s="243" t="s">
        <v>389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458">
        <f t="shared" si="3"/>
        <v>26</v>
      </c>
      <c r="B196" s="276" t="s">
        <v>713</v>
      </c>
      <c r="C196" s="277" t="s">
        <v>783</v>
      </c>
      <c r="D196" s="278" t="s">
        <v>824</v>
      </c>
      <c r="E196" s="215" t="s">
        <v>825</v>
      </c>
      <c r="F196" s="215" t="s">
        <v>469</v>
      </c>
      <c r="G196" s="242">
        <f>[2]Sheet4!E88</f>
        <v>45813</v>
      </c>
      <c r="H196" s="234">
        <v>45823</v>
      </c>
      <c r="I196" s="243" t="s">
        <v>389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460"/>
      <c r="B197" s="276" t="s">
        <v>713</v>
      </c>
      <c r="C197" s="277" t="s">
        <v>783</v>
      </c>
      <c r="D197" s="278" t="s">
        <v>826</v>
      </c>
      <c r="E197" s="215" t="s">
        <v>827</v>
      </c>
      <c r="F197" s="215" t="s">
        <v>479</v>
      </c>
      <c r="G197" s="242">
        <f>[2]Sheet4!E89</f>
        <v>45858</v>
      </c>
      <c r="H197" s="234">
        <f>G197</f>
        <v>45858</v>
      </c>
      <c r="I197" s="243" t="s">
        <v>389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>A196+1</f>
        <v>27</v>
      </c>
      <c r="B198" s="276" t="s">
        <v>713</v>
      </c>
      <c r="C198" s="277" t="s">
        <v>783</v>
      </c>
      <c r="D198" s="278" t="s">
        <v>828</v>
      </c>
      <c r="E198" s="215" t="s">
        <v>829</v>
      </c>
      <c r="F198" s="215" t="s">
        <v>479</v>
      </c>
      <c r="G198" s="242">
        <f>[2]Sheet4!E90</f>
        <v>45834</v>
      </c>
      <c r="H198" s="234">
        <f>G198</f>
        <v>45834</v>
      </c>
      <c r="I198" s="243" t="s">
        <v>389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ht="28" x14ac:dyDescent="0.3">
      <c r="A199" s="281">
        <f t="shared" si="3"/>
        <v>28</v>
      </c>
      <c r="B199" s="276" t="s">
        <v>713</v>
      </c>
      <c r="C199" s="277" t="s">
        <v>783</v>
      </c>
      <c r="D199" s="278" t="s">
        <v>830</v>
      </c>
      <c r="E199" s="215" t="s">
        <v>831</v>
      </c>
      <c r="F199" s="215" t="s">
        <v>479</v>
      </c>
      <c r="G199" s="242">
        <f>[2]Sheet4!E91</f>
        <v>45840</v>
      </c>
      <c r="H199" s="234">
        <f>G199</f>
        <v>45840</v>
      </c>
      <c r="I199" s="243" t="s">
        <v>389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513">
        <f t="shared" si="3"/>
        <v>29</v>
      </c>
      <c r="B200" s="276" t="s">
        <v>713</v>
      </c>
      <c r="C200" s="277" t="s">
        <v>783</v>
      </c>
      <c r="D200" s="278" t="s">
        <v>832</v>
      </c>
      <c r="E200" s="215" t="s">
        <v>833</v>
      </c>
      <c r="F200" s="215" t="s">
        <v>469</v>
      </c>
      <c r="G200" s="242">
        <f>[2]Sheet4!E92</f>
        <v>45826</v>
      </c>
      <c r="H200" s="234">
        <f>G200</f>
        <v>45826</v>
      </c>
      <c r="I200" s="243" t="s">
        <v>389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513"/>
      <c r="B201" s="276" t="s">
        <v>713</v>
      </c>
      <c r="C201" s="461" t="s">
        <v>783</v>
      </c>
      <c r="D201" s="451" t="s">
        <v>834</v>
      </c>
      <c r="E201" s="427" t="s">
        <v>835</v>
      </c>
      <c r="F201" s="427" t="s">
        <v>469</v>
      </c>
      <c r="G201" s="423">
        <v>45793</v>
      </c>
      <c r="H201" s="423">
        <f>L201</f>
        <v>45793</v>
      </c>
      <c r="I201" s="486" t="s">
        <v>389</v>
      </c>
      <c r="J201" s="486"/>
      <c r="K201" s="215" t="s">
        <v>470</v>
      </c>
      <c r="L201" s="242">
        <v>45793</v>
      </c>
      <c r="M201" s="242">
        <v>45807</v>
      </c>
      <c r="N201" s="215"/>
      <c r="O201" s="215">
        <f>M201-L201</f>
        <v>14</v>
      </c>
      <c r="P201" s="215">
        <f ca="1">O1-M201</f>
        <v>46</v>
      </c>
      <c r="Q201" s="427"/>
      <c r="R201" s="427" t="s">
        <v>502</v>
      </c>
      <c r="S201" s="427"/>
      <c r="T201" s="427" t="s">
        <v>476</v>
      </c>
      <c r="U201" s="427">
        <f ca="1">U1-M201</f>
        <v>46</v>
      </c>
    </row>
    <row r="202" spans="1:21" x14ac:dyDescent="0.3">
      <c r="A202" s="290"/>
      <c r="B202" s="276"/>
      <c r="C202" s="463"/>
      <c r="D202" s="452"/>
      <c r="E202" s="429"/>
      <c r="F202" s="429"/>
      <c r="G202" s="425"/>
      <c r="H202" s="425"/>
      <c r="I202" s="487"/>
      <c r="J202" s="487"/>
      <c r="K202" s="215" t="s">
        <v>472</v>
      </c>
      <c r="L202" s="242"/>
      <c r="M202" s="242"/>
      <c r="N202" s="215"/>
      <c r="O202" s="215"/>
      <c r="P202" s="215"/>
      <c r="Q202" s="429"/>
      <c r="R202" s="429"/>
      <c r="S202" s="429"/>
      <c r="T202" s="429"/>
      <c r="U202" s="429"/>
    </row>
    <row r="203" spans="1:21" x14ac:dyDescent="0.3">
      <c r="B203" s="276" t="s">
        <v>713</v>
      </c>
      <c r="C203" s="277" t="s">
        <v>783</v>
      </c>
      <c r="D203" s="278" t="s">
        <v>836</v>
      </c>
      <c r="E203" s="215" t="s">
        <v>837</v>
      </c>
      <c r="F203" s="241" t="s">
        <v>469</v>
      </c>
      <c r="G203" s="242">
        <v>45868</v>
      </c>
      <c r="H203" s="234">
        <f>G203</f>
        <v>45868</v>
      </c>
      <c r="I203" s="243" t="s">
        <v>389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x14ac:dyDescent="0.3">
      <c r="B204" s="281" t="s">
        <v>713</v>
      </c>
      <c r="C204" s="282" t="s">
        <v>783</v>
      </c>
      <c r="D204" s="289" t="s">
        <v>838</v>
      </c>
      <c r="E204" s="267" t="s">
        <v>839</v>
      </c>
      <c r="F204" s="272" t="s">
        <v>469</v>
      </c>
      <c r="G204" s="266">
        <v>45826</v>
      </c>
      <c r="H204" s="234">
        <f>G204</f>
        <v>45826</v>
      </c>
      <c r="I204" s="280" t="s">
        <v>389</v>
      </c>
      <c r="J204" s="280"/>
      <c r="K204" s="267"/>
      <c r="L204" s="266"/>
      <c r="M204" s="266"/>
      <c r="N204" s="267"/>
      <c r="O204" s="267"/>
      <c r="P204" s="267"/>
      <c r="Q204" s="267"/>
      <c r="R204" s="267"/>
      <c r="S204" s="267"/>
      <c r="T204" s="267"/>
      <c r="U204" s="267"/>
    </row>
    <row r="205" spans="1:21" s="290" customFormat="1" x14ac:dyDescent="0.3">
      <c r="A205" s="291"/>
      <c r="B205" s="288" t="s">
        <v>713</v>
      </c>
      <c r="C205" s="508" t="s">
        <v>783</v>
      </c>
      <c r="D205" s="509" t="s">
        <v>840</v>
      </c>
      <c r="E205" s="507" t="s">
        <v>839</v>
      </c>
      <c r="F205" s="507" t="s">
        <v>469</v>
      </c>
      <c r="G205" s="510">
        <v>45803</v>
      </c>
      <c r="H205" s="511">
        <f>L205</f>
        <v>45803</v>
      </c>
      <c r="I205" s="506" t="s">
        <v>389</v>
      </c>
      <c r="J205" s="506"/>
      <c r="K205" s="228" t="s">
        <v>470</v>
      </c>
      <c r="L205" s="292">
        <v>45803</v>
      </c>
      <c r="M205" s="292">
        <v>45810</v>
      </c>
      <c r="N205" s="228"/>
      <c r="O205" s="228">
        <f>M205-L205</f>
        <v>7</v>
      </c>
      <c r="P205" s="228">
        <f ca="1">O1-M205</f>
        <v>43</v>
      </c>
      <c r="Q205" s="507"/>
      <c r="R205" s="507" t="s">
        <v>502</v>
      </c>
      <c r="S205" s="507"/>
      <c r="T205" s="507" t="s">
        <v>476</v>
      </c>
      <c r="U205" s="507"/>
    </row>
    <row r="206" spans="1:21" s="290" customFormat="1" x14ac:dyDescent="0.3">
      <c r="A206" s="291"/>
      <c r="B206" s="228"/>
      <c r="C206" s="508"/>
      <c r="D206" s="509"/>
      <c r="E206" s="507"/>
      <c r="F206" s="507"/>
      <c r="G206" s="510"/>
      <c r="H206" s="512"/>
      <c r="I206" s="506"/>
      <c r="J206" s="506"/>
      <c r="K206" s="228" t="s">
        <v>472</v>
      </c>
      <c r="L206" s="292"/>
      <c r="M206" s="292"/>
      <c r="N206" s="228"/>
      <c r="O206" s="228"/>
      <c r="P206" s="228"/>
      <c r="Q206" s="507"/>
      <c r="R206" s="507"/>
      <c r="S206" s="507"/>
      <c r="T206" s="507"/>
      <c r="U206" s="507"/>
    </row>
    <row r="207" spans="1:21" s="290" customFormat="1" x14ac:dyDescent="0.3">
      <c r="A207" s="291"/>
      <c r="L207" s="293"/>
      <c r="M207" s="293"/>
    </row>
  </sheetData>
  <autoFilter ref="A2:AB206" xr:uid="{3231EE02-D3A7-4921-9CFE-BCAE4C68606C}"/>
  <mergeCells count="272"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  <mergeCell ref="B7:B8"/>
    <mergeCell ref="C7:C8"/>
    <mergeCell ref="D7:D8"/>
    <mergeCell ref="E7:E8"/>
    <mergeCell ref="F7:F8"/>
    <mergeCell ref="H3:H6"/>
    <mergeCell ref="Q3:Q6"/>
    <mergeCell ref="R3:R6"/>
    <mergeCell ref="S3:S6"/>
    <mergeCell ref="A18:A20"/>
    <mergeCell ref="B18:B20"/>
    <mergeCell ref="C18:C20"/>
    <mergeCell ref="D18:D20"/>
    <mergeCell ref="E18:E20"/>
    <mergeCell ref="F18:F20"/>
    <mergeCell ref="G18:G20"/>
    <mergeCell ref="U7:U8"/>
    <mergeCell ref="A13:A14"/>
    <mergeCell ref="B13:B14"/>
    <mergeCell ref="C13:C14"/>
    <mergeCell ref="D13:D14"/>
    <mergeCell ref="E13:E14"/>
    <mergeCell ref="F13:F14"/>
    <mergeCell ref="G13:G14"/>
    <mergeCell ref="H13:H14"/>
    <mergeCell ref="R13:R14"/>
    <mergeCell ref="G7:G8"/>
    <mergeCell ref="H7:H8"/>
    <mergeCell ref="Q7:Q8"/>
    <mergeCell ref="R7:R8"/>
    <mergeCell ref="S7:S8"/>
    <mergeCell ref="T7:T8"/>
    <mergeCell ref="A7:A8"/>
    <mergeCell ref="H18:H20"/>
    <mergeCell ref="Q18:Q20"/>
    <mergeCell ref="R18:R20"/>
    <mergeCell ref="S18:S20"/>
    <mergeCell ref="T18:T20"/>
    <mergeCell ref="U18:U20"/>
    <mergeCell ref="S13:S14"/>
    <mergeCell ref="T13:T14"/>
    <mergeCell ref="U13:U14"/>
    <mergeCell ref="U24:U26"/>
    <mergeCell ref="A29:A32"/>
    <mergeCell ref="B29:B32"/>
    <mergeCell ref="C29:C32"/>
    <mergeCell ref="D29:D32"/>
    <mergeCell ref="E29:E32"/>
    <mergeCell ref="F29:F32"/>
    <mergeCell ref="G29:G32"/>
    <mergeCell ref="H29:H32"/>
    <mergeCell ref="Q29:Q32"/>
    <mergeCell ref="G24:G26"/>
    <mergeCell ref="H24:H26"/>
    <mergeCell ref="Q24:Q26"/>
    <mergeCell ref="R24:R26"/>
    <mergeCell ref="S24:S26"/>
    <mergeCell ref="T24:T26"/>
    <mergeCell ref="A24:A26"/>
    <mergeCell ref="B24:B26"/>
    <mergeCell ref="C24:C26"/>
    <mergeCell ref="D24:D26"/>
    <mergeCell ref="E24:E26"/>
    <mergeCell ref="F24:F26"/>
    <mergeCell ref="R29:R32"/>
    <mergeCell ref="S29:S32"/>
    <mergeCell ref="T29:T32"/>
    <mergeCell ref="U29:U32"/>
    <mergeCell ref="A34:A35"/>
    <mergeCell ref="B34:B35"/>
    <mergeCell ref="C34:C35"/>
    <mergeCell ref="D34:D35"/>
    <mergeCell ref="E34:E35"/>
    <mergeCell ref="F34:F35"/>
    <mergeCell ref="A41:A42"/>
    <mergeCell ref="B41:B42"/>
    <mergeCell ref="C41:C42"/>
    <mergeCell ref="D41:D42"/>
    <mergeCell ref="E41:E42"/>
    <mergeCell ref="F41:F42"/>
    <mergeCell ref="U34:U35"/>
    <mergeCell ref="A36:A38"/>
    <mergeCell ref="B36:B38"/>
    <mergeCell ref="C36:C38"/>
    <mergeCell ref="D36:D38"/>
    <mergeCell ref="E36:E38"/>
    <mergeCell ref="F36:F38"/>
    <mergeCell ref="G36:G38"/>
    <mergeCell ref="H36:H38"/>
    <mergeCell ref="Q36:Q38"/>
    <mergeCell ref="G34:G35"/>
    <mergeCell ref="H34:H35"/>
    <mergeCell ref="Q34:Q35"/>
    <mergeCell ref="R34:R35"/>
    <mergeCell ref="S34:S35"/>
    <mergeCell ref="T34:T35"/>
    <mergeCell ref="G41:G42"/>
    <mergeCell ref="H41:H42"/>
    <mergeCell ref="R41:R42"/>
    <mergeCell ref="S41:S42"/>
    <mergeCell ref="T41:T42"/>
    <mergeCell ref="U41:U42"/>
    <mergeCell ref="R36:R38"/>
    <mergeCell ref="S36:S38"/>
    <mergeCell ref="T36:T38"/>
    <mergeCell ref="U36:U38"/>
    <mergeCell ref="S62:S63"/>
    <mergeCell ref="T62:T63"/>
    <mergeCell ref="U62:U63"/>
    <mergeCell ref="A62:A63"/>
    <mergeCell ref="C62:C63"/>
    <mergeCell ref="D62:D63"/>
    <mergeCell ref="E62:E63"/>
    <mergeCell ref="F62:F63"/>
    <mergeCell ref="I62:I63"/>
    <mergeCell ref="A64:A66"/>
    <mergeCell ref="B64:B66"/>
    <mergeCell ref="C64:C66"/>
    <mergeCell ref="D64:D66"/>
    <mergeCell ref="E64:E66"/>
    <mergeCell ref="F64:F66"/>
    <mergeCell ref="J62:J63"/>
    <mergeCell ref="Q62:Q63"/>
    <mergeCell ref="R62:R63"/>
    <mergeCell ref="Q96:Q97"/>
    <mergeCell ref="R96:R97"/>
    <mergeCell ref="S96:S97"/>
    <mergeCell ref="T96:T97"/>
    <mergeCell ref="R99:R100"/>
    <mergeCell ref="U64:U66"/>
    <mergeCell ref="B92:B95"/>
    <mergeCell ref="C92:C95"/>
    <mergeCell ref="D92:D95"/>
    <mergeCell ref="E92:E95"/>
    <mergeCell ref="F92:F95"/>
    <mergeCell ref="G92:G95"/>
    <mergeCell ref="H92:H95"/>
    <mergeCell ref="Q92:Q95"/>
    <mergeCell ref="R92:R95"/>
    <mergeCell ref="G64:G66"/>
    <mergeCell ref="H64:H66"/>
    <mergeCell ref="Q64:Q66"/>
    <mergeCell ref="R64:R66"/>
    <mergeCell ref="S64:S66"/>
    <mergeCell ref="T64:T66"/>
    <mergeCell ref="S92:S95"/>
    <mergeCell ref="T92:T95"/>
    <mergeCell ref="U92:U95"/>
    <mergeCell ref="U127:U128"/>
    <mergeCell ref="I127:I128"/>
    <mergeCell ref="J127:J128"/>
    <mergeCell ref="Q127:Q128"/>
    <mergeCell ref="R127:R128"/>
    <mergeCell ref="A94:A95"/>
    <mergeCell ref="B96:B97"/>
    <mergeCell ref="C96:C97"/>
    <mergeCell ref="D96:D97"/>
    <mergeCell ref="E96:E97"/>
    <mergeCell ref="F96:F97"/>
    <mergeCell ref="G96:G97"/>
    <mergeCell ref="U96:U97"/>
    <mergeCell ref="B99:B100"/>
    <mergeCell ref="C99:C100"/>
    <mergeCell ref="D99:D100"/>
    <mergeCell ref="E99:E100"/>
    <mergeCell ref="F99:F100"/>
    <mergeCell ref="G99:G100"/>
    <mergeCell ref="H99:H100"/>
    <mergeCell ref="J99:J100"/>
    <mergeCell ref="Q99:Q100"/>
    <mergeCell ref="H96:H97"/>
    <mergeCell ref="J96:J97"/>
    <mergeCell ref="G125:G126"/>
    <mergeCell ref="H125:H126"/>
    <mergeCell ref="S99:S100"/>
    <mergeCell ref="T99:T100"/>
    <mergeCell ref="U99:U100"/>
    <mergeCell ref="A120:A121"/>
    <mergeCell ref="B125:B126"/>
    <mergeCell ref="C125:C126"/>
    <mergeCell ref="D125:D126"/>
    <mergeCell ref="E125:E126"/>
    <mergeCell ref="F125:F126"/>
    <mergeCell ref="S125:S126"/>
    <mergeCell ref="T125:T126"/>
    <mergeCell ref="U125:U126"/>
    <mergeCell ref="I125:I126"/>
    <mergeCell ref="J125:J126"/>
    <mergeCell ref="Q125:Q126"/>
    <mergeCell ref="R125:R126"/>
    <mergeCell ref="S127:S128"/>
    <mergeCell ref="T127:T128"/>
    <mergeCell ref="S133:S134"/>
    <mergeCell ref="T133:T134"/>
    <mergeCell ref="A127:A128"/>
    <mergeCell ref="C127:C128"/>
    <mergeCell ref="D127:D128"/>
    <mergeCell ref="E127:E128"/>
    <mergeCell ref="F127:F128"/>
    <mergeCell ref="G127:G128"/>
    <mergeCell ref="A130:A131"/>
    <mergeCell ref="C133:C134"/>
    <mergeCell ref="D133:D134"/>
    <mergeCell ref="E133:E134"/>
    <mergeCell ref="F133:F134"/>
    <mergeCell ref="G133:G134"/>
    <mergeCell ref="H133:H134"/>
    <mergeCell ref="Q133:Q134"/>
    <mergeCell ref="R133:R134"/>
    <mergeCell ref="H127:H128"/>
    <mergeCell ref="T138:T139"/>
    <mergeCell ref="U138:U139"/>
    <mergeCell ref="R136:R137"/>
    <mergeCell ref="S136:S137"/>
    <mergeCell ref="T136:T137"/>
    <mergeCell ref="U136:U137"/>
    <mergeCell ref="B138:B139"/>
    <mergeCell ref="C138:C139"/>
    <mergeCell ref="D138:D139"/>
    <mergeCell ref="E138:E139"/>
    <mergeCell ref="F138:F139"/>
    <mergeCell ref="G138:G139"/>
    <mergeCell ref="B136:B137"/>
    <mergeCell ref="C136:C137"/>
    <mergeCell ref="D136:D137"/>
    <mergeCell ref="E136:E137"/>
    <mergeCell ref="F136:F137"/>
    <mergeCell ref="G136:G137"/>
    <mergeCell ref="H136:H137"/>
    <mergeCell ref="Q136:Q137"/>
    <mergeCell ref="S138:S139"/>
    <mergeCell ref="A196:A197"/>
    <mergeCell ref="A200:A201"/>
    <mergeCell ref="C201:C202"/>
    <mergeCell ref="D201:D202"/>
    <mergeCell ref="E201:E202"/>
    <mergeCell ref="F201:F202"/>
    <mergeCell ref="H138:H139"/>
    <mergeCell ref="Q138:Q139"/>
    <mergeCell ref="R138:R139"/>
    <mergeCell ref="C205:C206"/>
    <mergeCell ref="D205:D206"/>
    <mergeCell ref="E205:E206"/>
    <mergeCell ref="F205:F206"/>
    <mergeCell ref="G205:G206"/>
    <mergeCell ref="H205:H206"/>
    <mergeCell ref="I205:I206"/>
    <mergeCell ref="G201:G202"/>
    <mergeCell ref="H201:H202"/>
    <mergeCell ref="I201:I202"/>
    <mergeCell ref="J205:J206"/>
    <mergeCell ref="Q205:Q206"/>
    <mergeCell ref="R205:R206"/>
    <mergeCell ref="S205:S206"/>
    <mergeCell ref="T205:T206"/>
    <mergeCell ref="U205:U206"/>
    <mergeCell ref="S201:S202"/>
    <mergeCell ref="T201:T202"/>
    <mergeCell ref="U201:U202"/>
    <mergeCell ref="J201:J202"/>
    <mergeCell ref="Q201:Q202"/>
    <mergeCell ref="R201:R202"/>
  </mergeCells>
  <dataValidations count="1">
    <dataValidation type="list" allowBlank="1" showInputMessage="1" showErrorMessage="1" sqref="F39:F41 F3 F195:F201 F67:F92 F7 F9:F13 F138 F140:F193 F15:F18 F34 F21:F24 F96 F135:F136 F36:F37 F98:F125 F27:F29 F127 F129:F133 F43:F62 F64" xr:uid="{F436A11D-18D7-4AD4-AD7B-E3C51E939B6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366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343</v>
      </c>
      <c r="C2" s="134">
        <v>45783</v>
      </c>
      <c r="D2" s="188">
        <f>C2</f>
        <v>45783</v>
      </c>
      <c r="E2" s="189" t="s">
        <v>421</v>
      </c>
    </row>
    <row r="3" spans="1:9" x14ac:dyDescent="0.4">
      <c r="A3" s="135">
        <v>2</v>
      </c>
      <c r="B3" s="133" t="s">
        <v>344</v>
      </c>
      <c r="C3" s="134">
        <v>45803</v>
      </c>
      <c r="D3" s="188">
        <v>45807</v>
      </c>
      <c r="E3" s="189" t="s">
        <v>423</v>
      </c>
    </row>
    <row r="4" spans="1:9" x14ac:dyDescent="0.4">
      <c r="A4" s="124">
        <v>3</v>
      </c>
      <c r="B4" s="125" t="s">
        <v>345</v>
      </c>
      <c r="C4" s="126">
        <v>45816</v>
      </c>
      <c r="D4" s="184">
        <f t="shared" ref="D4:D21" si="0">C4</f>
        <v>45816</v>
      </c>
      <c r="E4" s="140"/>
    </row>
    <row r="5" spans="1:9" x14ac:dyDescent="0.4">
      <c r="A5" s="124">
        <v>4</v>
      </c>
      <c r="B5" s="125" t="s">
        <v>346</v>
      </c>
      <c r="C5" s="126">
        <v>45805</v>
      </c>
      <c r="D5" s="184">
        <v>45817</v>
      </c>
      <c r="E5" s="140"/>
    </row>
    <row r="6" spans="1:9" x14ac:dyDescent="0.4">
      <c r="A6" s="124">
        <v>5</v>
      </c>
      <c r="B6" s="125" t="s">
        <v>347</v>
      </c>
      <c r="C6" s="126">
        <v>45805</v>
      </c>
      <c r="D6" s="184">
        <v>45817</v>
      </c>
      <c r="E6" s="140"/>
    </row>
    <row r="7" spans="1:9" x14ac:dyDescent="0.4">
      <c r="A7" s="124">
        <v>6</v>
      </c>
      <c r="B7" s="125" t="s">
        <v>348</v>
      </c>
      <c r="C7" s="126">
        <v>45820</v>
      </c>
      <c r="D7" s="184">
        <f t="shared" si="0"/>
        <v>45820</v>
      </c>
      <c r="E7" s="140"/>
    </row>
    <row r="8" spans="1:9" x14ac:dyDescent="0.4">
      <c r="A8" s="124">
        <v>7</v>
      </c>
      <c r="B8" s="125" t="s">
        <v>349</v>
      </c>
      <c r="C8" s="126">
        <v>45814</v>
      </c>
      <c r="D8" s="184">
        <v>45818</v>
      </c>
      <c r="E8" s="140"/>
    </row>
    <row r="9" spans="1:9" x14ac:dyDescent="0.4">
      <c r="A9" s="135">
        <v>8</v>
      </c>
      <c r="B9" s="133" t="s">
        <v>350</v>
      </c>
      <c r="C9" s="134">
        <v>45797</v>
      </c>
      <c r="D9" s="188">
        <v>45790</v>
      </c>
      <c r="E9" s="189" t="s">
        <v>423</v>
      </c>
    </row>
    <row r="10" spans="1:9" x14ac:dyDescent="0.4">
      <c r="A10" s="124">
        <v>9</v>
      </c>
      <c r="B10" s="125" t="s">
        <v>352</v>
      </c>
      <c r="C10" s="126">
        <v>45788</v>
      </c>
      <c r="D10" s="184">
        <f>Ordering!E11+7</f>
        <v>45845</v>
      </c>
      <c r="E10" s="140"/>
    </row>
    <row r="11" spans="1:9" x14ac:dyDescent="0.4">
      <c r="A11" s="124">
        <v>10</v>
      </c>
      <c r="B11" s="125" t="s">
        <v>353</v>
      </c>
      <c r="C11" s="126">
        <v>45813</v>
      </c>
      <c r="D11" s="184">
        <v>45818</v>
      </c>
      <c r="E11" s="140"/>
      <c r="G11" s="191"/>
      <c r="H11"/>
      <c r="I11" s="191"/>
    </row>
    <row r="12" spans="1:9" x14ac:dyDescent="0.4">
      <c r="A12" s="124">
        <v>11</v>
      </c>
      <c r="B12" s="125" t="s">
        <v>354</v>
      </c>
      <c r="C12" s="126">
        <v>45799</v>
      </c>
      <c r="D12" s="184">
        <f>Ordering!E13+7</f>
        <v>45852</v>
      </c>
      <c r="E12" s="140"/>
      <c r="H12"/>
    </row>
    <row r="13" spans="1:9" x14ac:dyDescent="0.4">
      <c r="A13" s="124">
        <v>12</v>
      </c>
      <c r="B13" s="125" t="s">
        <v>355</v>
      </c>
      <c r="C13" s="126">
        <v>45791</v>
      </c>
      <c r="D13" s="184">
        <f>Ordering!E14+7</f>
        <v>45852</v>
      </c>
      <c r="E13" s="140"/>
    </row>
    <row r="14" spans="1:9" x14ac:dyDescent="0.4">
      <c r="A14" s="124">
        <v>13</v>
      </c>
      <c r="B14" s="125" t="s">
        <v>356</v>
      </c>
      <c r="C14" s="126">
        <v>45813</v>
      </c>
      <c r="D14" s="184">
        <v>45820</v>
      </c>
      <c r="E14" s="140"/>
    </row>
    <row r="15" spans="1:9" x14ac:dyDescent="0.4">
      <c r="A15" s="124">
        <v>14</v>
      </c>
      <c r="B15" s="125" t="s">
        <v>357</v>
      </c>
      <c r="C15" s="126">
        <v>45805</v>
      </c>
      <c r="D15" s="184">
        <f>Ordering!E16+7</f>
        <v>45852</v>
      </c>
      <c r="E15" s="140"/>
    </row>
    <row r="16" spans="1:9" x14ac:dyDescent="0.4">
      <c r="A16" s="124">
        <v>15</v>
      </c>
      <c r="B16" s="125" t="s">
        <v>358</v>
      </c>
      <c r="C16" s="126">
        <v>45805</v>
      </c>
      <c r="D16" s="184">
        <f>Ordering!E17+7</f>
        <v>45852</v>
      </c>
      <c r="E16" s="140"/>
    </row>
    <row r="17" spans="1:5" x14ac:dyDescent="0.4">
      <c r="A17" s="124">
        <v>16</v>
      </c>
      <c r="B17" s="125" t="s">
        <v>359</v>
      </c>
      <c r="C17" s="126">
        <v>45805</v>
      </c>
      <c r="D17" s="184">
        <f>Ordering!E18+7</f>
        <v>45822</v>
      </c>
      <c r="E17" s="140"/>
    </row>
    <row r="18" spans="1:5" x14ac:dyDescent="0.4">
      <c r="A18" s="124">
        <v>17</v>
      </c>
      <c r="B18" s="125" t="s">
        <v>360</v>
      </c>
      <c r="C18" s="126">
        <v>45813</v>
      </c>
      <c r="D18" s="184">
        <f>Ordering!E19+7</f>
        <v>45842</v>
      </c>
      <c r="E18" s="140"/>
    </row>
    <row r="19" spans="1:5" x14ac:dyDescent="0.4">
      <c r="A19" s="124">
        <v>18</v>
      </c>
      <c r="B19" s="125" t="s">
        <v>361</v>
      </c>
      <c r="C19" s="126">
        <v>45820</v>
      </c>
      <c r="D19" s="184">
        <f t="shared" si="0"/>
        <v>45820</v>
      </c>
      <c r="E19" s="140"/>
    </row>
    <row r="20" spans="1:5" x14ac:dyDescent="0.4">
      <c r="A20" s="124">
        <v>19</v>
      </c>
      <c r="B20" s="125" t="s">
        <v>362</v>
      </c>
      <c r="C20" s="126">
        <v>45839</v>
      </c>
      <c r="D20" s="184">
        <f t="shared" si="0"/>
        <v>45839</v>
      </c>
      <c r="E20" s="140"/>
    </row>
    <row r="21" spans="1:5" s="131" customFormat="1" ht="32" x14ac:dyDescent="0.35">
      <c r="A21" s="128">
        <v>20</v>
      </c>
      <c r="B21" s="129" t="s">
        <v>363</v>
      </c>
      <c r="C21" s="130">
        <v>45900</v>
      </c>
      <c r="D21" s="185">
        <f t="shared" si="0"/>
        <v>45900</v>
      </c>
      <c r="E21" s="186"/>
    </row>
    <row r="22" spans="1:5" x14ac:dyDescent="0.4">
      <c r="A22" s="122" t="s">
        <v>316</v>
      </c>
      <c r="B22" s="122" t="s">
        <v>390</v>
      </c>
      <c r="C22" s="122" t="s">
        <v>365</v>
      </c>
      <c r="D22" s="122" t="s">
        <v>318</v>
      </c>
      <c r="E22" s="122" t="s">
        <v>301</v>
      </c>
    </row>
    <row r="23" spans="1:5" s="131" customFormat="1" x14ac:dyDescent="0.35">
      <c r="A23" s="137">
        <v>1</v>
      </c>
      <c r="B23" s="139" t="s">
        <v>367</v>
      </c>
      <c r="C23" s="138">
        <v>45701</v>
      </c>
      <c r="D23" s="137" t="s">
        <v>368</v>
      </c>
      <c r="E23" s="152" t="s">
        <v>368</v>
      </c>
    </row>
    <row r="24" spans="1:5" s="131" customFormat="1" x14ac:dyDescent="0.35">
      <c r="A24" s="144">
        <v>2</v>
      </c>
      <c r="B24" s="145" t="s">
        <v>369</v>
      </c>
      <c r="C24" s="146">
        <v>45780</v>
      </c>
      <c r="D24" s="146">
        <f>C24</f>
        <v>45780</v>
      </c>
      <c r="E24" s="152" t="s">
        <v>442</v>
      </c>
    </row>
    <row r="25" spans="1:5" s="131" customFormat="1" x14ac:dyDescent="0.35">
      <c r="A25" s="128">
        <v>3</v>
      </c>
      <c r="B25" s="129" t="s">
        <v>370</v>
      </c>
      <c r="C25" s="130">
        <v>45823</v>
      </c>
      <c r="D25" s="130">
        <f>C25</f>
        <v>45823</v>
      </c>
      <c r="E25" s="211" t="s">
        <v>443</v>
      </c>
    </row>
    <row r="26" spans="1:5" s="131" customFormat="1" x14ac:dyDescent="0.35">
      <c r="A26" s="137">
        <v>4</v>
      </c>
      <c r="B26" s="139" t="s">
        <v>371</v>
      </c>
      <c r="C26" s="137" t="s">
        <v>372</v>
      </c>
      <c r="D26" s="138" t="s">
        <v>368</v>
      </c>
      <c r="E26" s="152" t="s">
        <v>399</v>
      </c>
    </row>
    <row r="27" spans="1:5" s="131" customFormat="1" x14ac:dyDescent="0.35">
      <c r="A27" s="128">
        <v>5</v>
      </c>
      <c r="B27" s="129" t="s">
        <v>373</v>
      </c>
      <c r="C27" s="130">
        <v>45812</v>
      </c>
      <c r="D27" s="130">
        <v>45828</v>
      </c>
      <c r="E27" s="190"/>
    </row>
    <row r="28" spans="1:5" s="131" customFormat="1" x14ac:dyDescent="0.35">
      <c r="A28" s="128">
        <v>6</v>
      </c>
      <c r="B28" s="129" t="s">
        <v>374</v>
      </c>
      <c r="C28" s="130">
        <v>45777</v>
      </c>
      <c r="D28" s="130">
        <v>45804</v>
      </c>
      <c r="E28" s="211" t="s">
        <v>444</v>
      </c>
    </row>
    <row r="29" spans="1:5" s="131" customFormat="1" hidden="1" x14ac:dyDescent="0.35">
      <c r="A29" s="128">
        <v>7</v>
      </c>
      <c r="B29" s="129" t="s">
        <v>375</v>
      </c>
      <c r="C29" s="130">
        <v>45794</v>
      </c>
      <c r="D29" s="130">
        <f t="shared" ref="D29:D31" si="1">C29</f>
        <v>45794</v>
      </c>
      <c r="E29" s="190"/>
    </row>
    <row r="30" spans="1:5" s="131" customFormat="1" ht="32" x14ac:dyDescent="0.35">
      <c r="A30" s="128">
        <v>8</v>
      </c>
      <c r="B30" s="129" t="s">
        <v>376</v>
      </c>
      <c r="C30" s="130">
        <v>45807</v>
      </c>
      <c r="D30" s="130">
        <f>D28+15</f>
        <v>45819</v>
      </c>
      <c r="E30" s="190"/>
    </row>
    <row r="31" spans="1:5" s="131" customFormat="1" ht="32" x14ac:dyDescent="0.35">
      <c r="A31" s="128">
        <v>9</v>
      </c>
      <c r="B31" s="129" t="s">
        <v>377</v>
      </c>
      <c r="C31" s="130">
        <v>45816</v>
      </c>
      <c r="D31" s="130">
        <f t="shared" si="1"/>
        <v>45816</v>
      </c>
      <c r="E31" s="190"/>
    </row>
    <row r="32" spans="1:5" s="131" customFormat="1" x14ac:dyDescent="0.35">
      <c r="A32" s="128">
        <v>10</v>
      </c>
      <c r="B32" s="129" t="s">
        <v>378</v>
      </c>
      <c r="C32" s="130">
        <v>45772</v>
      </c>
      <c r="D32" s="130">
        <v>45787</v>
      </c>
      <c r="E32" s="183" t="s">
        <v>445</v>
      </c>
    </row>
    <row r="33" spans="1:5" s="131" customFormat="1" x14ac:dyDescent="0.35">
      <c r="A33" s="192">
        <v>11</v>
      </c>
      <c r="B33" s="193" t="s">
        <v>379</v>
      </c>
      <c r="C33" s="194">
        <v>45772</v>
      </c>
      <c r="D33" s="194">
        <v>45773</v>
      </c>
      <c r="E33" s="152" t="s">
        <v>424</v>
      </c>
    </row>
    <row r="34" spans="1:5" s="131" customFormat="1" x14ac:dyDescent="0.35">
      <c r="A34" s="128">
        <v>12</v>
      </c>
      <c r="B34" s="129" t="s">
        <v>380</v>
      </c>
      <c r="C34" s="130">
        <v>45783</v>
      </c>
      <c r="D34" s="130">
        <v>45795</v>
      </c>
      <c r="E34" s="152" t="s">
        <v>426</v>
      </c>
    </row>
    <row r="35" spans="1:5" s="131" customFormat="1" ht="32" x14ac:dyDescent="0.35">
      <c r="A35" s="128">
        <v>13</v>
      </c>
      <c r="B35" s="129" t="s">
        <v>381</v>
      </c>
      <c r="C35" s="130">
        <v>45811</v>
      </c>
      <c r="D35" s="130">
        <v>45823</v>
      </c>
      <c r="E35" s="190"/>
    </row>
    <row r="36" spans="1:5" s="131" customFormat="1" ht="32" x14ac:dyDescent="0.35">
      <c r="A36" s="128">
        <v>14</v>
      </c>
      <c r="B36" s="129" t="s">
        <v>382</v>
      </c>
      <c r="C36" s="130">
        <v>45808</v>
      </c>
      <c r="D36" s="130">
        <v>45823</v>
      </c>
      <c r="E36" s="190"/>
    </row>
    <row r="37" spans="1:5" s="131" customFormat="1" ht="32" x14ac:dyDescent="0.35">
      <c r="A37" s="128">
        <v>15</v>
      </c>
      <c r="B37" s="129" t="s">
        <v>383</v>
      </c>
      <c r="C37" s="130">
        <v>45808</v>
      </c>
      <c r="D37" s="130">
        <v>45828</v>
      </c>
      <c r="E37" s="190"/>
    </row>
    <row r="38" spans="1:5" s="131" customFormat="1" ht="32" x14ac:dyDescent="0.35">
      <c r="A38" s="137">
        <v>16</v>
      </c>
      <c r="B38" s="139" t="s">
        <v>384</v>
      </c>
      <c r="C38" s="138">
        <v>45719</v>
      </c>
      <c r="D38" s="138" t="s">
        <v>368</v>
      </c>
      <c r="E38" s="152" t="s">
        <v>420</v>
      </c>
    </row>
    <row r="39" spans="1:5" s="131" customFormat="1" x14ac:dyDescent="0.35">
      <c r="A39" s="144">
        <v>17</v>
      </c>
      <c r="B39" s="145" t="s">
        <v>385</v>
      </c>
      <c r="C39" s="146">
        <v>45762</v>
      </c>
      <c r="D39" s="146"/>
      <c r="E39" s="183" t="s">
        <v>419</v>
      </c>
    </row>
    <row r="40" spans="1:5" s="131" customFormat="1" x14ac:dyDescent="0.35">
      <c r="A40" s="128">
        <v>18</v>
      </c>
      <c r="B40" s="129" t="s">
        <v>386</v>
      </c>
      <c r="C40" s="130">
        <v>45772</v>
      </c>
      <c r="D40" s="130">
        <v>45787</v>
      </c>
      <c r="E40" s="183" t="s">
        <v>422</v>
      </c>
    </row>
    <row r="41" spans="1:5" s="131" customFormat="1" ht="32" x14ac:dyDescent="0.35">
      <c r="A41" s="144">
        <v>19</v>
      </c>
      <c r="B41" s="145" t="s">
        <v>387</v>
      </c>
      <c r="C41" s="146">
        <v>45772</v>
      </c>
      <c r="D41" s="146"/>
      <c r="E41" s="183" t="s">
        <v>427</v>
      </c>
    </row>
    <row r="42" spans="1:5" s="131" customFormat="1" ht="32" x14ac:dyDescent="0.35">
      <c r="A42" s="128">
        <v>20</v>
      </c>
      <c r="B42" s="129" t="s">
        <v>388</v>
      </c>
      <c r="C42" s="130">
        <v>45797</v>
      </c>
      <c r="D42" s="130">
        <v>45814</v>
      </c>
      <c r="E42" s="190"/>
    </row>
    <row r="43" spans="1:5" s="131" customFormat="1" x14ac:dyDescent="0.35">
      <c r="A43" s="128">
        <v>19</v>
      </c>
      <c r="B43" s="129" t="s">
        <v>396</v>
      </c>
      <c r="C43" s="130"/>
      <c r="D43" s="130"/>
      <c r="E43" s="183" t="s">
        <v>442</v>
      </c>
    </row>
    <row r="44" spans="1:5" s="131" customFormat="1" ht="32" x14ac:dyDescent="0.35">
      <c r="A44" s="128">
        <v>20</v>
      </c>
      <c r="B44" s="129" t="s">
        <v>397</v>
      </c>
      <c r="C44" s="130"/>
      <c r="D44" s="130"/>
      <c r="E44" s="183" t="s">
        <v>442</v>
      </c>
    </row>
    <row r="45" spans="1:5" s="131" customFormat="1" ht="32" x14ac:dyDescent="0.35">
      <c r="A45" s="132" t="s">
        <v>316</v>
      </c>
      <c r="B45" s="132" t="s">
        <v>392</v>
      </c>
      <c r="C45" s="132" t="s">
        <v>305</v>
      </c>
      <c r="D45" s="132" t="s">
        <v>391</v>
      </c>
      <c r="E45" s="132" t="s">
        <v>301</v>
      </c>
    </row>
    <row r="46" spans="1:5" x14ac:dyDescent="0.4">
      <c r="A46" s="124">
        <v>1</v>
      </c>
      <c r="B46" s="125" t="s">
        <v>343</v>
      </c>
      <c r="C46" s="126">
        <v>45785</v>
      </c>
      <c r="D46" s="126">
        <v>45956</v>
      </c>
      <c r="E46" s="140"/>
    </row>
    <row r="47" spans="1:5" x14ac:dyDescent="0.4">
      <c r="A47" s="124">
        <v>2</v>
      </c>
      <c r="B47" s="125" t="s">
        <v>344</v>
      </c>
      <c r="C47" s="126">
        <v>45805</v>
      </c>
      <c r="D47" s="126">
        <v>45986</v>
      </c>
      <c r="E47" s="140"/>
    </row>
    <row r="48" spans="1:5" x14ac:dyDescent="0.4">
      <c r="A48" s="124">
        <v>3</v>
      </c>
      <c r="B48" s="125" t="s">
        <v>345</v>
      </c>
      <c r="C48" s="126">
        <v>45818</v>
      </c>
      <c r="D48" s="126">
        <v>45969</v>
      </c>
      <c r="E48" s="140"/>
    </row>
    <row r="49" spans="1:5" x14ac:dyDescent="0.4">
      <c r="A49" s="124">
        <v>4</v>
      </c>
      <c r="B49" s="125" t="s">
        <v>346</v>
      </c>
      <c r="C49" s="126">
        <v>45807</v>
      </c>
      <c r="D49" s="126">
        <v>45958</v>
      </c>
      <c r="E49" s="140"/>
    </row>
    <row r="50" spans="1:5" x14ac:dyDescent="0.4">
      <c r="A50" s="124">
        <v>5</v>
      </c>
      <c r="B50" s="125" t="s">
        <v>347</v>
      </c>
      <c r="C50" s="126">
        <v>45807</v>
      </c>
      <c r="D50" s="126">
        <v>45958</v>
      </c>
      <c r="E50" s="140"/>
    </row>
    <row r="51" spans="1:5" x14ac:dyDescent="0.4">
      <c r="A51" s="124">
        <v>6</v>
      </c>
      <c r="B51" s="125" t="s">
        <v>348</v>
      </c>
      <c r="C51" s="126">
        <v>45822</v>
      </c>
      <c r="D51" s="126">
        <v>45943</v>
      </c>
      <c r="E51" s="140"/>
    </row>
    <row r="52" spans="1:5" x14ac:dyDescent="0.4">
      <c r="A52" s="124">
        <v>7</v>
      </c>
      <c r="B52" s="125" t="s">
        <v>349</v>
      </c>
      <c r="C52" s="126">
        <v>45816</v>
      </c>
      <c r="D52" s="126">
        <v>45937</v>
      </c>
      <c r="E52" s="140"/>
    </row>
    <row r="53" spans="1:5" x14ac:dyDescent="0.4">
      <c r="A53" s="124">
        <v>8</v>
      </c>
      <c r="B53" s="125" t="s">
        <v>350</v>
      </c>
      <c r="C53" s="126">
        <v>45799</v>
      </c>
      <c r="D53" s="126">
        <v>45919</v>
      </c>
      <c r="E53" s="140"/>
    </row>
    <row r="54" spans="1:5" x14ac:dyDescent="0.4">
      <c r="A54" s="124">
        <v>9</v>
      </c>
      <c r="B54" s="125" t="s">
        <v>352</v>
      </c>
      <c r="C54" s="126">
        <v>45790</v>
      </c>
      <c r="D54" s="126">
        <v>45910</v>
      </c>
      <c r="E54" s="140"/>
    </row>
    <row r="55" spans="1:5" x14ac:dyDescent="0.4">
      <c r="A55" s="124">
        <v>10</v>
      </c>
      <c r="B55" s="125" t="s">
        <v>353</v>
      </c>
      <c r="C55" s="126">
        <v>45815</v>
      </c>
      <c r="D55" s="126">
        <v>45936</v>
      </c>
      <c r="E55" s="140"/>
    </row>
    <row r="56" spans="1:5" x14ac:dyDescent="0.4">
      <c r="A56" s="124">
        <v>11</v>
      </c>
      <c r="B56" s="125" t="s">
        <v>354</v>
      </c>
      <c r="C56" s="126">
        <v>45801</v>
      </c>
      <c r="D56" s="126">
        <v>45921</v>
      </c>
      <c r="E56" s="140"/>
    </row>
    <row r="57" spans="1:5" x14ac:dyDescent="0.4">
      <c r="A57" s="124">
        <v>12</v>
      </c>
      <c r="B57" s="125" t="s">
        <v>355</v>
      </c>
      <c r="C57" s="126">
        <v>45793</v>
      </c>
      <c r="D57" s="126">
        <v>45913</v>
      </c>
      <c r="E57" s="140"/>
    </row>
    <row r="58" spans="1:5" x14ac:dyDescent="0.4">
      <c r="A58" s="124">
        <v>13</v>
      </c>
      <c r="B58" s="125" t="s">
        <v>356</v>
      </c>
      <c r="C58" s="126">
        <v>45815</v>
      </c>
      <c r="D58" s="126">
        <v>45936</v>
      </c>
      <c r="E58" s="140"/>
    </row>
    <row r="59" spans="1:5" x14ac:dyDescent="0.4">
      <c r="A59" s="124">
        <v>14</v>
      </c>
      <c r="B59" s="125" t="s">
        <v>357</v>
      </c>
      <c r="C59" s="126">
        <v>45807</v>
      </c>
      <c r="D59" s="126">
        <v>45927</v>
      </c>
      <c r="E59" s="140"/>
    </row>
    <row r="60" spans="1:5" x14ac:dyDescent="0.4">
      <c r="A60" s="124">
        <v>15</v>
      </c>
      <c r="B60" s="125" t="s">
        <v>358</v>
      </c>
      <c r="C60" s="126">
        <v>45807</v>
      </c>
      <c r="D60" s="126">
        <v>45927</v>
      </c>
      <c r="E60" s="140"/>
    </row>
    <row r="61" spans="1:5" x14ac:dyDescent="0.4">
      <c r="A61" s="124">
        <v>16</v>
      </c>
      <c r="B61" s="125" t="s">
        <v>359</v>
      </c>
      <c r="C61" s="126">
        <v>45807</v>
      </c>
      <c r="D61" s="126">
        <v>45927</v>
      </c>
      <c r="E61" s="140"/>
    </row>
    <row r="62" spans="1:5" x14ac:dyDescent="0.4">
      <c r="A62" s="124">
        <v>17</v>
      </c>
      <c r="B62" s="125" t="s">
        <v>360</v>
      </c>
      <c r="C62" s="126">
        <v>45815</v>
      </c>
      <c r="D62" s="126">
        <v>45936</v>
      </c>
      <c r="E62" s="140"/>
    </row>
    <row r="63" spans="1:5" x14ac:dyDescent="0.4">
      <c r="A63" s="124">
        <v>18</v>
      </c>
      <c r="B63" s="125" t="s">
        <v>361</v>
      </c>
      <c r="C63" s="126">
        <v>45822</v>
      </c>
      <c r="D63" s="126">
        <v>45943</v>
      </c>
      <c r="E63" s="140"/>
    </row>
    <row r="64" spans="1:5" x14ac:dyDescent="0.4">
      <c r="A64" s="124">
        <v>19</v>
      </c>
      <c r="B64" s="125" t="s">
        <v>362</v>
      </c>
      <c r="C64" s="126">
        <v>45841</v>
      </c>
      <c r="D64" s="126">
        <v>45992</v>
      </c>
      <c r="E64" s="140"/>
    </row>
    <row r="65" spans="1:5" s="131" customFormat="1" ht="32" x14ac:dyDescent="0.35">
      <c r="A65" s="128">
        <v>20</v>
      </c>
      <c r="B65" s="129" t="s">
        <v>363</v>
      </c>
      <c r="C65" s="130">
        <v>45902</v>
      </c>
      <c r="D65" s="130">
        <v>46022</v>
      </c>
      <c r="E65" s="18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523" t="s">
        <v>297</v>
      </c>
      <c r="B1" s="524"/>
      <c r="C1" s="524"/>
      <c r="D1" s="524"/>
      <c r="E1" s="524"/>
      <c r="F1" s="525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45853</v>
      </c>
      <c r="E1" s="121"/>
      <c r="F1" s="121"/>
      <c r="G1" s="121"/>
      <c r="H1" s="121"/>
      <c r="S1" s="159" t="s">
        <v>401</v>
      </c>
    </row>
    <row r="2" spans="2:64" s="22" customFormat="1" ht="72" customHeight="1" x14ac:dyDescent="0.35">
      <c r="B2" s="493" t="s">
        <v>96</v>
      </c>
      <c r="C2" s="494" t="s">
        <v>97</v>
      </c>
      <c r="D2" s="490" t="s">
        <v>98</v>
      </c>
      <c r="E2" s="500" t="s">
        <v>306</v>
      </c>
      <c r="F2" s="500" t="s">
        <v>307</v>
      </c>
      <c r="G2" s="500" t="s">
        <v>308</v>
      </c>
      <c r="H2" s="500" t="s">
        <v>309</v>
      </c>
      <c r="I2" s="494" t="s">
        <v>99</v>
      </c>
      <c r="J2" s="488" t="s">
        <v>1</v>
      </c>
      <c r="K2" s="526" t="s">
        <v>100</v>
      </c>
      <c r="L2" s="526" t="s">
        <v>101</v>
      </c>
      <c r="M2" s="490" t="s">
        <v>102</v>
      </c>
      <c r="N2" s="490" t="s">
        <v>103</v>
      </c>
      <c r="O2" s="490" t="s">
        <v>255</v>
      </c>
      <c r="P2" s="488" t="s">
        <v>104</v>
      </c>
      <c r="Q2" s="488" t="s">
        <v>105</v>
      </c>
      <c r="R2" s="489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493"/>
      <c r="C3" s="494"/>
      <c r="D3" s="490"/>
      <c r="E3" s="501"/>
      <c r="F3" s="501"/>
      <c r="G3" s="501"/>
      <c r="H3" s="501"/>
      <c r="I3" s="494"/>
      <c r="J3" s="488"/>
      <c r="K3" s="527"/>
      <c r="L3" s="527"/>
      <c r="M3" s="490"/>
      <c r="N3" s="490"/>
      <c r="O3" s="490"/>
      <c r="P3" s="488"/>
      <c r="Q3" s="488"/>
      <c r="R3" s="489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7" t="s">
        <v>106</v>
      </c>
      <c r="C4" s="60">
        <v>1</v>
      </c>
      <c r="D4" s="148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8">
        <f t="shared" ref="P4:P11" si="2">SUMIF($S$2:$AR$2,"&lt;="&amp;$D$1,S4:AR4)</f>
        <v>256</v>
      </c>
      <c r="Q4" s="158">
        <f t="shared" ref="Q4:Q67" si="3">J4-P4</f>
        <v>774</v>
      </c>
      <c r="R4" s="158">
        <f t="shared" ref="R4" si="4">SUM(S4:XFD4)</f>
        <v>256</v>
      </c>
      <c r="S4" s="149">
        <v>0</v>
      </c>
      <c r="T4" s="149">
        <v>0</v>
      </c>
      <c r="U4" s="149"/>
      <c r="V4" s="149"/>
      <c r="W4" s="149"/>
      <c r="X4" s="153">
        <v>1.5</v>
      </c>
      <c r="Y4" s="153">
        <v>3.5</v>
      </c>
      <c r="Z4" s="153">
        <v>4</v>
      </c>
      <c r="AA4" s="153">
        <v>4</v>
      </c>
      <c r="AB4" s="153">
        <v>4</v>
      </c>
      <c r="AC4" s="153">
        <v>4</v>
      </c>
      <c r="AD4" s="153">
        <v>3</v>
      </c>
      <c r="AE4" s="153">
        <v>2</v>
      </c>
      <c r="AF4" s="153"/>
      <c r="AG4" s="153"/>
      <c r="AH4" s="153">
        <v>20</v>
      </c>
      <c r="AI4" s="153">
        <v>20</v>
      </c>
      <c r="AJ4" s="153">
        <v>20</v>
      </c>
      <c r="AK4" s="153">
        <v>20</v>
      </c>
      <c r="AL4" s="153">
        <v>40</v>
      </c>
      <c r="AM4" s="153">
        <v>40</v>
      </c>
      <c r="AN4" s="153">
        <v>30</v>
      </c>
      <c r="AO4" s="153">
        <v>20</v>
      </c>
      <c r="AP4" s="153">
        <v>10</v>
      </c>
      <c r="AQ4" s="149">
        <v>10</v>
      </c>
      <c r="AR4" s="149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</row>
    <row r="5" spans="2:64" x14ac:dyDescent="0.4">
      <c r="B5" s="491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7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491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7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491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4">
        <f t="shared" si="6"/>
        <v>75</v>
      </c>
      <c r="S7" s="157">
        <v>52</v>
      </c>
      <c r="T7" s="157">
        <v>2</v>
      </c>
      <c r="U7" s="157">
        <v>2</v>
      </c>
      <c r="V7" s="157">
        <v>2</v>
      </c>
      <c r="W7" s="157">
        <v>2</v>
      </c>
      <c r="X7" s="157">
        <v>2</v>
      </c>
      <c r="Y7" s="157">
        <v>1</v>
      </c>
      <c r="Z7" s="157">
        <v>1</v>
      </c>
      <c r="AA7" s="157">
        <v>1</v>
      </c>
      <c r="AB7" s="157">
        <v>1</v>
      </c>
      <c r="AC7" s="157">
        <v>1</v>
      </c>
      <c r="AD7" s="157">
        <v>1</v>
      </c>
      <c r="AE7" s="157"/>
      <c r="AF7" s="157">
        <v>1</v>
      </c>
      <c r="AG7" s="157">
        <v>1</v>
      </c>
      <c r="AH7" s="157"/>
      <c r="AI7" s="157"/>
      <c r="AJ7" s="157">
        <v>1</v>
      </c>
      <c r="AK7" s="157">
        <v>1</v>
      </c>
      <c r="AL7" s="157">
        <v>1</v>
      </c>
      <c r="AM7" s="157">
        <v>1</v>
      </c>
      <c r="AN7" s="157">
        <v>1</v>
      </c>
      <c r="AO7" s="157"/>
      <c r="AP7" s="155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491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6">
        <v>4</v>
      </c>
      <c r="X8" s="156">
        <v>8</v>
      </c>
      <c r="Y8" s="156">
        <v>8</v>
      </c>
      <c r="Z8" s="156">
        <v>10</v>
      </c>
      <c r="AA8" s="156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491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491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491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491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491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491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491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491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491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491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491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491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491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491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491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491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491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491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491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491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491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491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491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491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491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491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491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491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491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491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491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491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491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491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491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491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491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491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491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491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491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491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491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491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491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491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491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491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491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491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491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491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491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491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491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491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491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491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491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491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491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491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491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491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491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491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491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491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491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491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491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491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491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491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491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491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491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491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491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491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491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491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491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491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491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491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491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491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491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491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491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491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491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491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491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491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491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491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491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491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491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491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491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491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491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491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491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x14ac:dyDescent="0.4">
      <c r="B116" s="491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491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491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491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491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491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491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491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491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491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491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491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491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491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505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505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505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505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505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505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505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505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505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505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505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505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505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505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505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505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505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505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505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505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505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505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505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505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505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505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505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1"/>
    </row>
    <row r="165" spans="10:10" x14ac:dyDescent="0.4">
      <c r="J165" s="151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Construction DASHBOARD</vt:lpstr>
      <vt:lpstr>Sheet1</vt:lpstr>
      <vt:lpstr>Preliminary Activity</vt:lpstr>
      <vt:lpstr>Manpower</vt:lpstr>
      <vt:lpstr>Machinery</vt:lpstr>
      <vt:lpstr>Ordering</vt:lpstr>
      <vt:lpstr>MDL (2)</vt:lpstr>
      <vt:lpstr>Construction Status</vt:lpstr>
      <vt:lpstr>MDL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2025-07-15T05:32:22Z</dcterms:modified>
</cp:coreProperties>
</file>